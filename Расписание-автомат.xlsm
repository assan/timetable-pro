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240" yWindow="30" windowWidth="20115" windowHeight="8010"/>
  </bookViews>
  <sheets>
    <sheet name="СВ" sheetId="1" r:id="rId1"/>
    <sheet name="DV" sheetId="2" r:id="rId2"/>
    <sheet name="Constraints" sheetId="3" r:id="rId3"/>
    <sheet name="AC" sheetId="4" r:id="rId4"/>
    <sheet name="DC" sheetId="5" r:id="rId5"/>
    <sheet name="Audiences" sheetId="6" r:id="rId6"/>
    <sheet name="Расписание" sheetId="8" r:id="rId7"/>
  </sheets>
  <functionGroups/>
  <definedNames>
    <definedName name="OpenSolver_ChosenSolver" localSheetId="4" hidden="1">CBC</definedName>
    <definedName name="OpenSolver_ChosenSolver" localSheetId="1" hidden="1">CBC</definedName>
    <definedName name="OpenSolver_ChosenSolver" localSheetId="0" hidden="1">CBC</definedName>
    <definedName name="OpenSolver_DualsNewSheet" localSheetId="4" hidden="1">0</definedName>
    <definedName name="OpenSolver_DualsNewSheet" localSheetId="1" hidden="1">0</definedName>
    <definedName name="OpenSolver_LinearityCheck" localSheetId="1" hidden="1">1</definedName>
    <definedName name="OpenSolver_LinearityCheck" localSheetId="0" hidden="1">1</definedName>
    <definedName name="OpenSolver_UpdateSensitivity" localSheetId="4" hidden="1">1</definedName>
    <definedName name="OpenSolver_UpdateSensitivity" localSheetId="1" hidden="1">1</definedName>
    <definedName name="solver_adj" localSheetId="1" hidden="1">DV!$D$18:$BK$66</definedName>
    <definedName name="solver_cvg" localSheetId="5" hidden="1">0.0001</definedName>
    <definedName name="solver_cvg" localSheetId="4" hidden="1">0.0001</definedName>
    <definedName name="solver_cvg" localSheetId="1" hidden="1">0.0001</definedName>
    <definedName name="solver_drv" localSheetId="5" hidden="1">1</definedName>
    <definedName name="solver_drv" localSheetId="4" hidden="1">1</definedName>
    <definedName name="solver_drv" localSheetId="1" hidden="1">1</definedName>
    <definedName name="solver_est" localSheetId="5" hidden="1">1</definedName>
    <definedName name="solver_est" localSheetId="4" hidden="1">1</definedName>
    <definedName name="solver_est" localSheetId="1" hidden="1">1</definedName>
    <definedName name="solver_itr" localSheetId="5" hidden="1">100</definedName>
    <definedName name="solver_itr" localSheetId="1" hidden="1">100</definedName>
    <definedName name="solver_lhs1" localSheetId="1" hidden="1">DV!$H$4:$Q$4</definedName>
    <definedName name="solver_lhs2" localSheetId="1" hidden="1">DV!$D$18:$BK$66</definedName>
    <definedName name="solver_lhs3" localSheetId="1" hidden="1">DV!$E$128:$BL$242</definedName>
    <definedName name="solver_lhs4" localSheetId="1" hidden="1">DV!$E$250:$J$364</definedName>
    <definedName name="solver_lhs5" localSheetId="1" hidden="1">DV!$D$18:$BK$66</definedName>
    <definedName name="solver_lhs6" localSheetId="1" hidden="1">DV!$D$67:$BK$67</definedName>
    <definedName name="solver_lin" localSheetId="5" hidden="1">1</definedName>
    <definedName name="solver_lin" localSheetId="1" hidden="1">2</definedName>
    <definedName name="solver_neg" localSheetId="5" hidden="1">2</definedName>
    <definedName name="solver_neg" localSheetId="4" hidden="1">1</definedName>
    <definedName name="solver_neg" localSheetId="1" hidden="1">0</definedName>
    <definedName name="solver_num" localSheetId="5" hidden="1">0</definedName>
    <definedName name="solver_num" localSheetId="4" hidden="1">0</definedName>
    <definedName name="solver_num" localSheetId="1" hidden="1">6</definedName>
    <definedName name="solver_nwt" localSheetId="5" hidden="1">1</definedName>
    <definedName name="solver_nwt" localSheetId="4" hidden="1">1</definedName>
    <definedName name="solver_nwt" localSheetId="1" hidden="1">1</definedName>
    <definedName name="solver_opt" localSheetId="5" hidden="1">Audiences!$E$5</definedName>
    <definedName name="solver_opt" localSheetId="1" hidden="1">DV!$J$2</definedName>
    <definedName name="solver_pre" localSheetId="5" hidden="1">0.000001</definedName>
    <definedName name="solver_pre" localSheetId="1" hidden="1">0.000001</definedName>
    <definedName name="solver_rel1" localSheetId="1" hidden="1">1</definedName>
    <definedName name="solver_rel2" localSheetId="1" hidden="1">1</definedName>
    <definedName name="solver_rel3" localSheetId="1" hidden="1">1</definedName>
    <definedName name="solver_rel4" localSheetId="1" hidden="1">1</definedName>
    <definedName name="solver_rel5" localSheetId="1" hidden="1">5</definedName>
    <definedName name="solver_rel6" localSheetId="1" hidden="1">1</definedName>
    <definedName name="solver_rhs1" localSheetId="1" hidden="1">DV!$H$5:$Q$5</definedName>
    <definedName name="solver_rhs2" localSheetId="1" hidden="1">DV!$D$75:$BK$123</definedName>
    <definedName name="solver_rhs3" localSheetId="1" hidden="1">1</definedName>
    <definedName name="solver_rhs4" localSheetId="1" hidden="1">DV!$G$248</definedName>
    <definedName name="solver_rhs5" localSheetId="1" hidden="1">binary</definedName>
    <definedName name="solver_rhs6" localSheetId="1" hidden="1">1</definedName>
    <definedName name="solver_rlx" localSheetId="4" hidden="1">2</definedName>
    <definedName name="solver_rlx" localSheetId="1" hidden="1">2</definedName>
    <definedName name="solver_scl" localSheetId="5" hidden="1">2</definedName>
    <definedName name="solver_scl" localSheetId="4" hidden="1">2</definedName>
    <definedName name="solver_scl" localSheetId="1" hidden="1">2</definedName>
    <definedName name="solver_sho" localSheetId="5" hidden="1">2</definedName>
    <definedName name="solver_sho" localSheetId="1" hidden="1">2</definedName>
    <definedName name="solver_tim" localSheetId="5" hidden="1">100</definedName>
    <definedName name="solver_tim" localSheetId="1" hidden="1">100</definedName>
    <definedName name="solver_tol" localSheetId="5" hidden="1">0</definedName>
    <definedName name="solver_tol" localSheetId="1" hidden="1">0.05</definedName>
    <definedName name="solver_typ" localSheetId="5" hidden="1">1</definedName>
    <definedName name="solver_typ" localSheetId="4" hidden="1">2</definedName>
    <definedName name="solver_typ" localSheetId="1" hidden="1">1</definedName>
    <definedName name="solver_val" localSheetId="5" hidden="1">0</definedName>
    <definedName name="solver_val" localSheetId="4" hidden="1">0</definedName>
    <definedName name="solver_val" localSheetId="1" hidden="1">0</definedName>
  </definedNames>
  <calcPr calcId="125725"/>
</workbook>
</file>

<file path=xl/calcChain.xml><?xml version="1.0" encoding="utf-8"?>
<calcChain xmlns="http://schemas.openxmlformats.org/spreadsheetml/2006/main">
  <c r="J22" i="1"/>
  <c r="AV26"/>
  <c r="AW26" s="1"/>
  <c r="AX26" s="1"/>
  <c r="AY26" s="1"/>
  <c r="AZ26" s="1"/>
  <c r="BS26"/>
  <c r="BM26"/>
  <c r="BG26"/>
  <c r="BH26" s="1"/>
  <c r="BI26" s="1"/>
  <c r="BJ26" s="1"/>
  <c r="BK26" s="1"/>
  <c r="BL26" s="1"/>
  <c r="BA26"/>
  <c r="BB26" s="1"/>
  <c r="BC26" s="1"/>
  <c r="BD26" s="1"/>
  <c r="BE26" s="1"/>
  <c r="BF26" s="1"/>
  <c r="AU26"/>
  <c r="AO26"/>
  <c r="AP26" s="1"/>
  <c r="AQ26" s="1"/>
  <c r="AR26" s="1"/>
  <c r="AS26" s="1"/>
  <c r="AT26" s="1"/>
  <c r="AI26"/>
  <c r="AC26"/>
  <c r="AD26" s="1"/>
  <c r="AE26" s="1"/>
  <c r="AF26" s="1"/>
  <c r="AG26" s="1"/>
  <c r="AH26" s="1"/>
  <c r="W26"/>
  <c r="Q26"/>
  <c r="R26" s="1"/>
  <c r="S26" s="1"/>
  <c r="T26" s="1"/>
  <c r="U26" s="1"/>
  <c r="V26" s="1"/>
  <c r="K26"/>
  <c r="E26"/>
  <c r="F26" s="1"/>
  <c r="G26" s="1"/>
  <c r="H26" s="1"/>
  <c r="I26" s="1"/>
  <c r="J26" s="1"/>
  <c r="X26"/>
  <c r="Y26" s="1"/>
  <c r="Z26" s="1"/>
  <c r="AA26" s="1"/>
  <c r="AB26" s="1"/>
  <c r="L26"/>
  <c r="M26" s="1"/>
  <c r="N26" s="1"/>
  <c r="O26" s="1"/>
  <c r="P26" s="1"/>
  <c r="E246" i="2"/>
  <c r="E247"/>
  <c r="E248"/>
  <c r="G248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B74"/>
  <c r="D74"/>
  <c r="J74" s="1"/>
  <c r="P74" s="1"/>
  <c r="V74" s="1"/>
  <c r="AB74" s="1"/>
  <c r="AH74" s="1"/>
  <c r="AN74" s="1"/>
  <c r="AT74" s="1"/>
  <c r="AZ74" s="1"/>
  <c r="BF74" s="1"/>
  <c r="E74"/>
  <c r="K74" s="1"/>
  <c r="Q74" s="1"/>
  <c r="W74" s="1"/>
  <c r="AC74" s="1"/>
  <c r="AI74" s="1"/>
  <c r="AO74" s="1"/>
  <c r="AU74" s="1"/>
  <c r="BA74" s="1"/>
  <c r="BG74" s="1"/>
  <c r="F74"/>
  <c r="L74" s="1"/>
  <c r="R74" s="1"/>
  <c r="X74" s="1"/>
  <c r="AD74" s="1"/>
  <c r="AJ74" s="1"/>
  <c r="AP74" s="1"/>
  <c r="AV74" s="1"/>
  <c r="BB74" s="1"/>
  <c r="BH74" s="1"/>
  <c r="G74"/>
  <c r="M74" s="1"/>
  <c r="S74" s="1"/>
  <c r="Y74" s="1"/>
  <c r="AE74" s="1"/>
  <c r="AK74" s="1"/>
  <c r="AQ74" s="1"/>
  <c r="AW74" s="1"/>
  <c r="BC74" s="1"/>
  <c r="BI74" s="1"/>
  <c r="H74"/>
  <c r="N74" s="1"/>
  <c r="T74" s="1"/>
  <c r="Z74" s="1"/>
  <c r="AF74" s="1"/>
  <c r="AL74" s="1"/>
  <c r="AR74" s="1"/>
  <c r="AX74" s="1"/>
  <c r="BD74" s="1"/>
  <c r="BJ74" s="1"/>
  <c r="I74"/>
  <c r="O74" s="1"/>
  <c r="U74" s="1"/>
  <c r="AA74" s="1"/>
  <c r="AG74" s="1"/>
  <c r="AM74" s="1"/>
  <c r="AS74" s="1"/>
  <c r="AY74" s="1"/>
  <c r="BE74" s="1"/>
  <c r="BK74" s="1"/>
  <c r="B75"/>
  <c r="C75"/>
  <c r="B76"/>
  <c r="C76"/>
  <c r="B77"/>
  <c r="C77"/>
  <c r="B78"/>
  <c r="C78"/>
  <c r="B79"/>
  <c r="C79"/>
  <c r="B80"/>
  <c r="C80"/>
  <c r="B81"/>
  <c r="C81"/>
  <c r="B82"/>
  <c r="C82"/>
  <c r="B83"/>
  <c r="C83"/>
  <c r="B84"/>
  <c r="C84"/>
  <c r="B85"/>
  <c r="C85"/>
  <c r="B86"/>
  <c r="C86"/>
  <c r="B87"/>
  <c r="C87"/>
  <c r="B88"/>
  <c r="C88"/>
  <c r="B89"/>
  <c r="C89"/>
  <c r="B90"/>
  <c r="C90"/>
  <c r="B91"/>
  <c r="C91"/>
  <c r="B92"/>
  <c r="C92"/>
  <c r="B93"/>
  <c r="C93"/>
  <c r="B94"/>
  <c r="C94"/>
  <c r="B95"/>
  <c r="C95"/>
  <c r="B96"/>
  <c r="C96"/>
  <c r="B97"/>
  <c r="C97"/>
  <c r="B98"/>
  <c r="C98"/>
  <c r="B99"/>
  <c r="C99"/>
  <c r="B100"/>
  <c r="C100"/>
  <c r="B101"/>
  <c r="C101"/>
  <c r="B102"/>
  <c r="C102"/>
  <c r="B103"/>
  <c r="C103"/>
  <c r="B104"/>
  <c r="C104"/>
  <c r="B105"/>
  <c r="C105"/>
  <c r="B106"/>
  <c r="C106"/>
  <c r="B107"/>
  <c r="C107"/>
  <c r="B108"/>
  <c r="C108"/>
  <c r="B109"/>
  <c r="C109"/>
  <c r="B110"/>
  <c r="C110"/>
  <c r="B111"/>
  <c r="C111"/>
  <c r="B112"/>
  <c r="C112"/>
  <c r="B113"/>
  <c r="C113"/>
  <c r="B114"/>
  <c r="C114"/>
  <c r="B115"/>
  <c r="C115"/>
  <c r="B116"/>
  <c r="C116"/>
  <c r="B117"/>
  <c r="C117"/>
  <c r="B118"/>
  <c r="C118"/>
  <c r="B119"/>
  <c r="C119"/>
  <c r="B120"/>
  <c r="C120"/>
  <c r="B121"/>
  <c r="C121"/>
  <c r="B122"/>
  <c r="C122"/>
  <c r="B123"/>
  <c r="C123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BL119" i="5"/>
  <c r="BL242" i="2" s="1"/>
  <c r="BK119" i="5"/>
  <c r="BK242" i="2" s="1"/>
  <c r="BJ119" i="5"/>
  <c r="BJ242" i="2" s="1"/>
  <c r="BI119" i="5"/>
  <c r="BI242" i="2" s="1"/>
  <c r="BH119" i="5"/>
  <c r="BH242" i="2" s="1"/>
  <c r="BG119" i="5"/>
  <c r="BG242" i="2" s="1"/>
  <c r="BF119" i="5"/>
  <c r="BF242" i="2" s="1"/>
  <c r="BE119" i="5"/>
  <c r="BE242" i="2" s="1"/>
  <c r="BD119" i="5"/>
  <c r="BD242" i="2" s="1"/>
  <c r="BC119" i="5"/>
  <c r="BC242" i="2" s="1"/>
  <c r="BB119" i="5"/>
  <c r="BB242" i="2" s="1"/>
  <c r="BA119" i="5"/>
  <c r="BA242" i="2" s="1"/>
  <c r="AZ119" i="5"/>
  <c r="AZ242" i="2" s="1"/>
  <c r="AY119" i="5"/>
  <c r="AY242" i="2" s="1"/>
  <c r="AX119" i="5"/>
  <c r="AX242" i="2" s="1"/>
  <c r="AW119" i="5"/>
  <c r="AW242" i="2" s="1"/>
  <c r="AV119" i="5"/>
  <c r="AV242" i="2" s="1"/>
  <c r="AU119" i="5"/>
  <c r="AU242" i="2" s="1"/>
  <c r="AT119" i="5"/>
  <c r="AT242" i="2" s="1"/>
  <c r="AS119" i="5"/>
  <c r="AS242" i="2" s="1"/>
  <c r="AR119" i="5"/>
  <c r="AR242" i="2" s="1"/>
  <c r="AQ119" i="5"/>
  <c r="AQ242" i="2" s="1"/>
  <c r="AP119" i="5"/>
  <c r="AP242" i="2" s="1"/>
  <c r="AO119" i="5"/>
  <c r="AO242" i="2" s="1"/>
  <c r="AN119" i="5"/>
  <c r="AN242" i="2" s="1"/>
  <c r="AM119" i="5"/>
  <c r="AM242" i="2" s="1"/>
  <c r="AL119" i="5"/>
  <c r="AL242" i="2" s="1"/>
  <c r="AK119" i="5"/>
  <c r="AK242" i="2" s="1"/>
  <c r="AJ119" i="5"/>
  <c r="AJ242" i="2" s="1"/>
  <c r="AI119" i="5"/>
  <c r="AI242" i="2" s="1"/>
  <c r="AH119" i="5"/>
  <c r="AH242" i="2" s="1"/>
  <c r="AG119" i="5"/>
  <c r="AG242" i="2" s="1"/>
  <c r="AF119" i="5"/>
  <c r="AF242" i="2" s="1"/>
  <c r="AE119" i="5"/>
  <c r="AE242" i="2" s="1"/>
  <c r="AD119" i="5"/>
  <c r="AD242" i="2" s="1"/>
  <c r="AC119" i="5"/>
  <c r="AC242" i="2" s="1"/>
  <c r="AB119" i="5"/>
  <c r="AB242" i="2" s="1"/>
  <c r="AA119" i="5"/>
  <c r="AA242" i="2" s="1"/>
  <c r="Z119" i="5"/>
  <c r="Z242" i="2" s="1"/>
  <c r="Y119" i="5"/>
  <c r="Y242" i="2" s="1"/>
  <c r="X119" i="5"/>
  <c r="X242" i="2" s="1"/>
  <c r="W119" i="5"/>
  <c r="W242" i="2" s="1"/>
  <c r="V119" i="5"/>
  <c r="V242" i="2" s="1"/>
  <c r="U119" i="5"/>
  <c r="U242" i="2" s="1"/>
  <c r="T119" i="5"/>
  <c r="T242" i="2" s="1"/>
  <c r="S119" i="5"/>
  <c r="S242" i="2" s="1"/>
  <c r="R119" i="5"/>
  <c r="R242" i="2" s="1"/>
  <c r="Q119" i="5"/>
  <c r="Q242" i="2" s="1"/>
  <c r="P119" i="5"/>
  <c r="P242" i="2" s="1"/>
  <c r="O119" i="5"/>
  <c r="O242" i="2" s="1"/>
  <c r="N119" i="5"/>
  <c r="N242" i="2" s="1"/>
  <c r="M119" i="5"/>
  <c r="M242" i="2" s="1"/>
  <c r="L119" i="5"/>
  <c r="L242" i="2" s="1"/>
  <c r="K119" i="5"/>
  <c r="K242" i="2" s="1"/>
  <c r="J119" i="5"/>
  <c r="J242" i="2" s="1"/>
  <c r="I119" i="5"/>
  <c r="I242" i="2" s="1"/>
  <c r="H119" i="5"/>
  <c r="H242" i="2" s="1"/>
  <c r="G119" i="5"/>
  <c r="G242" i="2" s="1"/>
  <c r="F119" i="5"/>
  <c r="F242" i="2" s="1"/>
  <c r="E119" i="5"/>
  <c r="E242" i="2" s="1"/>
  <c r="BL118" i="5"/>
  <c r="BL241" i="2" s="1"/>
  <c r="BK118" i="5"/>
  <c r="BK241" i="2" s="1"/>
  <c r="BJ118" i="5"/>
  <c r="BJ241" i="2" s="1"/>
  <c r="BI118" i="5"/>
  <c r="BI241" i="2" s="1"/>
  <c r="BH118" i="5"/>
  <c r="BH241" i="2" s="1"/>
  <c r="BG118" i="5"/>
  <c r="BG241" i="2" s="1"/>
  <c r="BF118" i="5"/>
  <c r="BF241" i="2" s="1"/>
  <c r="BE118" i="5"/>
  <c r="BE241" i="2" s="1"/>
  <c r="BD118" i="5"/>
  <c r="BD241" i="2" s="1"/>
  <c r="BC118" i="5"/>
  <c r="BC241" i="2" s="1"/>
  <c r="BB118" i="5"/>
  <c r="BB241" i="2" s="1"/>
  <c r="BA118" i="5"/>
  <c r="BA241" i="2" s="1"/>
  <c r="AZ118" i="5"/>
  <c r="AZ241" i="2" s="1"/>
  <c r="AY118" i="5"/>
  <c r="AY241" i="2" s="1"/>
  <c r="AX118" i="5"/>
  <c r="AX241" i="2" s="1"/>
  <c r="AW118" i="5"/>
  <c r="AW241" i="2" s="1"/>
  <c r="AV118" i="5"/>
  <c r="AV241" i="2" s="1"/>
  <c r="AU118" i="5"/>
  <c r="AU241" i="2" s="1"/>
  <c r="AT118" i="5"/>
  <c r="AT241" i="2" s="1"/>
  <c r="AS118" i="5"/>
  <c r="AS241" i="2" s="1"/>
  <c r="AR118" i="5"/>
  <c r="AR241" i="2" s="1"/>
  <c r="AQ118" i="5"/>
  <c r="AQ241" i="2" s="1"/>
  <c r="AP118" i="5"/>
  <c r="AP241" i="2" s="1"/>
  <c r="AO118" i="5"/>
  <c r="AO241" i="2" s="1"/>
  <c r="AN118" i="5"/>
  <c r="AN241" i="2" s="1"/>
  <c r="AM118" i="5"/>
  <c r="AM241" i="2" s="1"/>
  <c r="AL118" i="5"/>
  <c r="AL241" i="2" s="1"/>
  <c r="AK118" i="5"/>
  <c r="AK241" i="2" s="1"/>
  <c r="AJ118" i="5"/>
  <c r="AJ241" i="2" s="1"/>
  <c r="AI118" i="5"/>
  <c r="AI241" i="2" s="1"/>
  <c r="AH118" i="5"/>
  <c r="AH241" i="2" s="1"/>
  <c r="AG118" i="5"/>
  <c r="AG241" i="2" s="1"/>
  <c r="AF118" i="5"/>
  <c r="AF241" i="2" s="1"/>
  <c r="AE118" i="5"/>
  <c r="AE241" i="2" s="1"/>
  <c r="AD118" i="5"/>
  <c r="AD241" i="2" s="1"/>
  <c r="AC118" i="5"/>
  <c r="AC241" i="2" s="1"/>
  <c r="AB118" i="5"/>
  <c r="AB241" i="2" s="1"/>
  <c r="AA118" i="5"/>
  <c r="AA241" i="2" s="1"/>
  <c r="Z118" i="5"/>
  <c r="Z241" i="2" s="1"/>
  <c r="Y118" i="5"/>
  <c r="Y241" i="2" s="1"/>
  <c r="X118" i="5"/>
  <c r="X241" i="2" s="1"/>
  <c r="W118" i="5"/>
  <c r="W241" i="2" s="1"/>
  <c r="V118" i="5"/>
  <c r="V241" i="2" s="1"/>
  <c r="U118" i="5"/>
  <c r="U241" i="2" s="1"/>
  <c r="T118" i="5"/>
  <c r="T241" i="2" s="1"/>
  <c r="S118" i="5"/>
  <c r="S241" i="2" s="1"/>
  <c r="R118" i="5"/>
  <c r="R241" i="2" s="1"/>
  <c r="Q118" i="5"/>
  <c r="Q241" i="2" s="1"/>
  <c r="P118" i="5"/>
  <c r="P241" i="2" s="1"/>
  <c r="O118" i="5"/>
  <c r="O241" i="2" s="1"/>
  <c r="N118" i="5"/>
  <c r="N241" i="2" s="1"/>
  <c r="M118" i="5"/>
  <c r="M241" i="2" s="1"/>
  <c r="L118" i="5"/>
  <c r="L241" i="2" s="1"/>
  <c r="K118" i="5"/>
  <c r="K241" i="2" s="1"/>
  <c r="J118" i="5"/>
  <c r="J241" i="2" s="1"/>
  <c r="I118" i="5"/>
  <c r="I241" i="2" s="1"/>
  <c r="H118" i="5"/>
  <c r="H241" i="2" s="1"/>
  <c r="G118" i="5"/>
  <c r="G241" i="2" s="1"/>
  <c r="F118" i="5"/>
  <c r="F241" i="2" s="1"/>
  <c r="E118" i="5"/>
  <c r="E241" i="2" s="1"/>
  <c r="BL117" i="5"/>
  <c r="BL240" i="2" s="1"/>
  <c r="BK117" i="5"/>
  <c r="BK240" i="2" s="1"/>
  <c r="BJ117" i="5"/>
  <c r="BJ240" i="2" s="1"/>
  <c r="BI117" i="5"/>
  <c r="BI240" i="2" s="1"/>
  <c r="BH117" i="5"/>
  <c r="BH240" i="2" s="1"/>
  <c r="BG117" i="5"/>
  <c r="BG240" i="2" s="1"/>
  <c r="BF117" i="5"/>
  <c r="BF240" i="2" s="1"/>
  <c r="BE117" i="5"/>
  <c r="BE240" i="2" s="1"/>
  <c r="BD117" i="5"/>
  <c r="BD240" i="2" s="1"/>
  <c r="BC117" i="5"/>
  <c r="BC240" i="2" s="1"/>
  <c r="BB117" i="5"/>
  <c r="BB240" i="2" s="1"/>
  <c r="BA117" i="5"/>
  <c r="BA240" i="2" s="1"/>
  <c r="AZ117" i="5"/>
  <c r="AZ240" i="2" s="1"/>
  <c r="AY117" i="5"/>
  <c r="AY240" i="2" s="1"/>
  <c r="AX117" i="5"/>
  <c r="AX240" i="2" s="1"/>
  <c r="AW117" i="5"/>
  <c r="AW240" i="2" s="1"/>
  <c r="AV117" i="5"/>
  <c r="AV240" i="2" s="1"/>
  <c r="AU117" i="5"/>
  <c r="AU240" i="2" s="1"/>
  <c r="AT117" i="5"/>
  <c r="AT240" i="2" s="1"/>
  <c r="AS117" i="5"/>
  <c r="AS240" i="2" s="1"/>
  <c r="AR117" i="5"/>
  <c r="AR240" i="2" s="1"/>
  <c r="AQ117" i="5"/>
  <c r="AQ240" i="2" s="1"/>
  <c r="AP117" i="5"/>
  <c r="AP240" i="2" s="1"/>
  <c r="AO117" i="5"/>
  <c r="AO240" i="2" s="1"/>
  <c r="AN117" i="5"/>
  <c r="AN240" i="2" s="1"/>
  <c r="AM117" i="5"/>
  <c r="AM240" i="2" s="1"/>
  <c r="AL117" i="5"/>
  <c r="AL240" i="2" s="1"/>
  <c r="AK117" i="5"/>
  <c r="AK240" i="2" s="1"/>
  <c r="AJ117" i="5"/>
  <c r="AJ240" i="2" s="1"/>
  <c r="AI117" i="5"/>
  <c r="AI240" i="2" s="1"/>
  <c r="AH117" i="5"/>
  <c r="AH240" i="2" s="1"/>
  <c r="AG117" i="5"/>
  <c r="AG240" i="2" s="1"/>
  <c r="AF117" i="5"/>
  <c r="AF240" i="2" s="1"/>
  <c r="AE117" i="5"/>
  <c r="AE240" i="2" s="1"/>
  <c r="AD117" i="5"/>
  <c r="AD240" i="2" s="1"/>
  <c r="AC117" i="5"/>
  <c r="AC240" i="2" s="1"/>
  <c r="AB117" i="5"/>
  <c r="AB240" i="2" s="1"/>
  <c r="AA117" i="5"/>
  <c r="AA240" i="2" s="1"/>
  <c r="Z117" i="5"/>
  <c r="Z240" i="2" s="1"/>
  <c r="Y117" i="5"/>
  <c r="Y240" i="2" s="1"/>
  <c r="X117" i="5"/>
  <c r="X240" i="2" s="1"/>
  <c r="W117" i="5"/>
  <c r="W240" i="2" s="1"/>
  <c r="V117" i="5"/>
  <c r="V240" i="2" s="1"/>
  <c r="U117" i="5"/>
  <c r="U240" i="2" s="1"/>
  <c r="T117" i="5"/>
  <c r="T240" i="2" s="1"/>
  <c r="S117" i="5"/>
  <c r="S240" i="2" s="1"/>
  <c r="R117" i="5"/>
  <c r="R240" i="2" s="1"/>
  <c r="Q117" i="5"/>
  <c r="Q240" i="2" s="1"/>
  <c r="P117" i="5"/>
  <c r="P240" i="2" s="1"/>
  <c r="O117" i="5"/>
  <c r="O240" i="2" s="1"/>
  <c r="N117" i="5"/>
  <c r="N240" i="2" s="1"/>
  <c r="M117" i="5"/>
  <c r="M240" i="2" s="1"/>
  <c r="L117" i="5"/>
  <c r="L240" i="2" s="1"/>
  <c r="K117" i="5"/>
  <c r="K240" i="2" s="1"/>
  <c r="J117" i="5"/>
  <c r="J240" i="2" s="1"/>
  <c r="I117" i="5"/>
  <c r="I240" i="2" s="1"/>
  <c r="H117" i="5"/>
  <c r="H240" i="2" s="1"/>
  <c r="G117" i="5"/>
  <c r="G240" i="2" s="1"/>
  <c r="F117" i="5"/>
  <c r="F240" i="2" s="1"/>
  <c r="E117" i="5"/>
  <c r="E240" i="2" s="1"/>
  <c r="BL116" i="5"/>
  <c r="BL239" i="2" s="1"/>
  <c r="BK116" i="5"/>
  <c r="BK239" i="2" s="1"/>
  <c r="BJ116" i="5"/>
  <c r="BJ239" i="2" s="1"/>
  <c r="BI116" i="5"/>
  <c r="BI239" i="2" s="1"/>
  <c r="BH116" i="5"/>
  <c r="BH239" i="2" s="1"/>
  <c r="BG116" i="5"/>
  <c r="BG239" i="2" s="1"/>
  <c r="BF116" i="5"/>
  <c r="BF239" i="2" s="1"/>
  <c r="BE116" i="5"/>
  <c r="BE239" i="2" s="1"/>
  <c r="BD116" i="5"/>
  <c r="BD239" i="2" s="1"/>
  <c r="BC116" i="5"/>
  <c r="BC239" i="2" s="1"/>
  <c r="BB116" i="5"/>
  <c r="BB239" i="2" s="1"/>
  <c r="BA116" i="5"/>
  <c r="BA239" i="2" s="1"/>
  <c r="AZ116" i="5"/>
  <c r="AZ239" i="2" s="1"/>
  <c r="AY116" i="5"/>
  <c r="AY239" i="2" s="1"/>
  <c r="AX116" i="5"/>
  <c r="AX239" i="2" s="1"/>
  <c r="AW116" i="5"/>
  <c r="AW239" i="2" s="1"/>
  <c r="AV116" i="5"/>
  <c r="AV239" i="2" s="1"/>
  <c r="AU116" i="5"/>
  <c r="AU239" i="2" s="1"/>
  <c r="AT116" i="5"/>
  <c r="AT239" i="2" s="1"/>
  <c r="AS116" i="5"/>
  <c r="AS239" i="2" s="1"/>
  <c r="AR116" i="5"/>
  <c r="AR239" i="2" s="1"/>
  <c r="AQ116" i="5"/>
  <c r="AQ239" i="2" s="1"/>
  <c r="AP116" i="5"/>
  <c r="AP239" i="2" s="1"/>
  <c r="AO116" i="5"/>
  <c r="AO239" i="2" s="1"/>
  <c r="AN116" i="5"/>
  <c r="AN239" i="2" s="1"/>
  <c r="AM116" i="5"/>
  <c r="AM239" i="2" s="1"/>
  <c r="AL116" i="5"/>
  <c r="AL239" i="2" s="1"/>
  <c r="AK116" i="5"/>
  <c r="AK239" i="2" s="1"/>
  <c r="AJ116" i="5"/>
  <c r="AJ239" i="2" s="1"/>
  <c r="AI116" i="5"/>
  <c r="AI239" i="2" s="1"/>
  <c r="AH116" i="5"/>
  <c r="AH239" i="2" s="1"/>
  <c r="AG116" i="5"/>
  <c r="AG239" i="2" s="1"/>
  <c r="AF116" i="5"/>
  <c r="AF239" i="2" s="1"/>
  <c r="AE116" i="5"/>
  <c r="AE239" i="2" s="1"/>
  <c r="AD116" i="5"/>
  <c r="AD239" i="2" s="1"/>
  <c r="AC116" i="5"/>
  <c r="AC239" i="2" s="1"/>
  <c r="AB116" i="5"/>
  <c r="AB239" i="2" s="1"/>
  <c r="AA116" i="5"/>
  <c r="AA239" i="2" s="1"/>
  <c r="Z116" i="5"/>
  <c r="Z239" i="2" s="1"/>
  <c r="Y116" i="5"/>
  <c r="Y239" i="2" s="1"/>
  <c r="X116" i="5"/>
  <c r="X239" i="2" s="1"/>
  <c r="W116" i="5"/>
  <c r="W239" i="2" s="1"/>
  <c r="V116" i="5"/>
  <c r="V239" i="2" s="1"/>
  <c r="U116" i="5"/>
  <c r="U239" i="2" s="1"/>
  <c r="T116" i="5"/>
  <c r="T239" i="2" s="1"/>
  <c r="S116" i="5"/>
  <c r="S239" i="2" s="1"/>
  <c r="R116" i="5"/>
  <c r="R239" i="2" s="1"/>
  <c r="Q116" i="5"/>
  <c r="Q239" i="2" s="1"/>
  <c r="P116" i="5"/>
  <c r="P239" i="2" s="1"/>
  <c r="O116" i="5"/>
  <c r="O239" i="2" s="1"/>
  <c r="N116" i="5"/>
  <c r="N239" i="2" s="1"/>
  <c r="M116" i="5"/>
  <c r="M239" i="2" s="1"/>
  <c r="L116" i="5"/>
  <c r="L239" i="2" s="1"/>
  <c r="K116" i="5"/>
  <c r="K239" i="2" s="1"/>
  <c r="J116" i="5"/>
  <c r="J239" i="2" s="1"/>
  <c r="I116" i="5"/>
  <c r="I239" i="2" s="1"/>
  <c r="H116" i="5"/>
  <c r="H239" i="2" s="1"/>
  <c r="G116" i="5"/>
  <c r="G239" i="2" s="1"/>
  <c r="F116" i="5"/>
  <c r="F239" i="2" s="1"/>
  <c r="E116" i="5"/>
  <c r="E239" i="2" s="1"/>
  <c r="BL115" i="5"/>
  <c r="BL238" i="2" s="1"/>
  <c r="BK115" i="5"/>
  <c r="BK238" i="2" s="1"/>
  <c r="BJ115" i="5"/>
  <c r="BJ238" i="2" s="1"/>
  <c r="BI115" i="5"/>
  <c r="BI238" i="2" s="1"/>
  <c r="BH115" i="5"/>
  <c r="BH238" i="2" s="1"/>
  <c r="BG115" i="5"/>
  <c r="BG238" i="2" s="1"/>
  <c r="BF115" i="5"/>
  <c r="BF238" i="2" s="1"/>
  <c r="BE115" i="5"/>
  <c r="BE238" i="2" s="1"/>
  <c r="BD115" i="5"/>
  <c r="BD238" i="2" s="1"/>
  <c r="BC115" i="5"/>
  <c r="BC238" i="2" s="1"/>
  <c r="BB115" i="5"/>
  <c r="BB238" i="2" s="1"/>
  <c r="BA115" i="5"/>
  <c r="BA238" i="2" s="1"/>
  <c r="AZ115" i="5"/>
  <c r="AZ238" i="2" s="1"/>
  <c r="AY115" i="5"/>
  <c r="AY238" i="2" s="1"/>
  <c r="AX115" i="5"/>
  <c r="AX238" i="2" s="1"/>
  <c r="AW115" i="5"/>
  <c r="AW238" i="2" s="1"/>
  <c r="AV115" i="5"/>
  <c r="AV238" i="2" s="1"/>
  <c r="AU115" i="5"/>
  <c r="AU238" i="2" s="1"/>
  <c r="AT115" i="5"/>
  <c r="AT238" i="2" s="1"/>
  <c r="AS115" i="5"/>
  <c r="AS238" i="2" s="1"/>
  <c r="AR115" i="5"/>
  <c r="AR238" i="2" s="1"/>
  <c r="AQ115" i="5"/>
  <c r="AQ238" i="2" s="1"/>
  <c r="AP115" i="5"/>
  <c r="AP238" i="2" s="1"/>
  <c r="AO115" i="5"/>
  <c r="AO238" i="2" s="1"/>
  <c r="AN115" i="5"/>
  <c r="AN238" i="2" s="1"/>
  <c r="AM115" i="5"/>
  <c r="AM238" i="2" s="1"/>
  <c r="AL115" i="5"/>
  <c r="AL238" i="2" s="1"/>
  <c r="AK115" i="5"/>
  <c r="AK238" i="2" s="1"/>
  <c r="AJ115" i="5"/>
  <c r="AJ238" i="2" s="1"/>
  <c r="AI115" i="5"/>
  <c r="AI238" i="2" s="1"/>
  <c r="AH115" i="5"/>
  <c r="AH238" i="2" s="1"/>
  <c r="AG115" i="5"/>
  <c r="AG238" i="2" s="1"/>
  <c r="AF115" i="5"/>
  <c r="AF238" i="2" s="1"/>
  <c r="AE115" i="5"/>
  <c r="AE238" i="2" s="1"/>
  <c r="AD115" i="5"/>
  <c r="AD238" i="2" s="1"/>
  <c r="AC115" i="5"/>
  <c r="AC238" i="2" s="1"/>
  <c r="AB115" i="5"/>
  <c r="AB238" i="2" s="1"/>
  <c r="AA115" i="5"/>
  <c r="AA238" i="2" s="1"/>
  <c r="Z115" i="5"/>
  <c r="Z238" i="2" s="1"/>
  <c r="Y115" i="5"/>
  <c r="Y238" i="2" s="1"/>
  <c r="X115" i="5"/>
  <c r="X238" i="2" s="1"/>
  <c r="W115" i="5"/>
  <c r="W238" i="2" s="1"/>
  <c r="V115" i="5"/>
  <c r="V238" i="2" s="1"/>
  <c r="U115" i="5"/>
  <c r="U238" i="2" s="1"/>
  <c r="T115" i="5"/>
  <c r="T238" i="2" s="1"/>
  <c r="S115" i="5"/>
  <c r="S238" i="2" s="1"/>
  <c r="R115" i="5"/>
  <c r="R238" i="2" s="1"/>
  <c r="Q115" i="5"/>
  <c r="Q238" i="2" s="1"/>
  <c r="P115" i="5"/>
  <c r="P238" i="2" s="1"/>
  <c r="O115" i="5"/>
  <c r="O238" i="2" s="1"/>
  <c r="N115" i="5"/>
  <c r="N238" i="2" s="1"/>
  <c r="M115" i="5"/>
  <c r="M238" i="2" s="1"/>
  <c r="L115" i="5"/>
  <c r="L238" i="2" s="1"/>
  <c r="K115" i="5"/>
  <c r="K238" i="2" s="1"/>
  <c r="J115" i="5"/>
  <c r="J238" i="2" s="1"/>
  <c r="I115" i="5"/>
  <c r="I238" i="2" s="1"/>
  <c r="H115" i="5"/>
  <c r="H238" i="2" s="1"/>
  <c r="G115" i="5"/>
  <c r="G238" i="2" s="1"/>
  <c r="F115" i="5"/>
  <c r="F238" i="2" s="1"/>
  <c r="E115" i="5"/>
  <c r="E238" i="2" s="1"/>
  <c r="BL114" i="5"/>
  <c r="BL237" i="2" s="1"/>
  <c r="BK114" i="5"/>
  <c r="BK237" i="2" s="1"/>
  <c r="BJ114" i="5"/>
  <c r="BJ237" i="2" s="1"/>
  <c r="BI114" i="5"/>
  <c r="BI237" i="2" s="1"/>
  <c r="BH114" i="5"/>
  <c r="BH237" i="2" s="1"/>
  <c r="BG114" i="5"/>
  <c r="BG237" i="2" s="1"/>
  <c r="BF114" i="5"/>
  <c r="BF237" i="2" s="1"/>
  <c r="BE114" i="5"/>
  <c r="BE237" i="2" s="1"/>
  <c r="BD114" i="5"/>
  <c r="BD237" i="2" s="1"/>
  <c r="BC114" i="5"/>
  <c r="BC237" i="2" s="1"/>
  <c r="BB114" i="5"/>
  <c r="BB237" i="2" s="1"/>
  <c r="BA114" i="5"/>
  <c r="BA237" i="2" s="1"/>
  <c r="AZ114" i="5"/>
  <c r="AZ237" i="2" s="1"/>
  <c r="AY114" i="5"/>
  <c r="AY237" i="2" s="1"/>
  <c r="AX114" i="5"/>
  <c r="AX237" i="2" s="1"/>
  <c r="AW114" i="5"/>
  <c r="AW237" i="2" s="1"/>
  <c r="AV114" i="5"/>
  <c r="AV237" i="2" s="1"/>
  <c r="AU114" i="5"/>
  <c r="AU237" i="2" s="1"/>
  <c r="AT114" i="5"/>
  <c r="AT237" i="2" s="1"/>
  <c r="AS114" i="5"/>
  <c r="AS237" i="2" s="1"/>
  <c r="AR114" i="5"/>
  <c r="AR237" i="2" s="1"/>
  <c r="AQ114" i="5"/>
  <c r="AQ237" i="2" s="1"/>
  <c r="AP114" i="5"/>
  <c r="AP237" i="2" s="1"/>
  <c r="AO114" i="5"/>
  <c r="AO237" i="2" s="1"/>
  <c r="AN114" i="5"/>
  <c r="AN237" i="2" s="1"/>
  <c r="AM114" i="5"/>
  <c r="AM237" i="2" s="1"/>
  <c r="AL114" i="5"/>
  <c r="AL237" i="2" s="1"/>
  <c r="AK114" i="5"/>
  <c r="AK237" i="2" s="1"/>
  <c r="AJ114" i="5"/>
  <c r="AJ237" i="2" s="1"/>
  <c r="AI114" i="5"/>
  <c r="AI237" i="2" s="1"/>
  <c r="AH114" i="5"/>
  <c r="AH237" i="2" s="1"/>
  <c r="AG114" i="5"/>
  <c r="AG237" i="2" s="1"/>
  <c r="AF114" i="5"/>
  <c r="AF237" i="2" s="1"/>
  <c r="AE114" i="5"/>
  <c r="AE237" i="2" s="1"/>
  <c r="AD114" i="5"/>
  <c r="AD237" i="2" s="1"/>
  <c r="AC114" i="5"/>
  <c r="AC237" i="2" s="1"/>
  <c r="AB114" i="5"/>
  <c r="AB237" i="2" s="1"/>
  <c r="AA114" i="5"/>
  <c r="AA237" i="2" s="1"/>
  <c r="Z114" i="5"/>
  <c r="Z237" i="2" s="1"/>
  <c r="Y114" i="5"/>
  <c r="Y237" i="2" s="1"/>
  <c r="X114" i="5"/>
  <c r="X237" i="2" s="1"/>
  <c r="W114" i="5"/>
  <c r="W237" i="2" s="1"/>
  <c r="V114" i="5"/>
  <c r="V237" i="2" s="1"/>
  <c r="U114" i="5"/>
  <c r="U237" i="2" s="1"/>
  <c r="T114" i="5"/>
  <c r="T237" i="2" s="1"/>
  <c r="S114" i="5"/>
  <c r="S237" i="2" s="1"/>
  <c r="R114" i="5"/>
  <c r="R237" i="2" s="1"/>
  <c r="Q114" i="5"/>
  <c r="Q237" i="2" s="1"/>
  <c r="P114" i="5"/>
  <c r="P237" i="2" s="1"/>
  <c r="O114" i="5"/>
  <c r="O237" i="2" s="1"/>
  <c r="N114" i="5"/>
  <c r="N237" i="2" s="1"/>
  <c r="M114" i="5"/>
  <c r="M237" i="2" s="1"/>
  <c r="L114" i="5"/>
  <c r="L237" i="2" s="1"/>
  <c r="K114" i="5"/>
  <c r="K237" i="2" s="1"/>
  <c r="J114" i="5"/>
  <c r="J237" i="2" s="1"/>
  <c r="I114" i="5"/>
  <c r="I237" i="2" s="1"/>
  <c r="H114" i="5"/>
  <c r="H237" i="2" s="1"/>
  <c r="G114" i="5"/>
  <c r="G237" i="2" s="1"/>
  <c r="F114" i="5"/>
  <c r="F237" i="2" s="1"/>
  <c r="E114" i="5"/>
  <c r="E237" i="2" s="1"/>
  <c r="BL113" i="5"/>
  <c r="BL236" i="2" s="1"/>
  <c r="BK113" i="5"/>
  <c r="BK236" i="2" s="1"/>
  <c r="BJ113" i="5"/>
  <c r="BJ236" i="2" s="1"/>
  <c r="BI113" i="5"/>
  <c r="BI236" i="2" s="1"/>
  <c r="BH113" i="5"/>
  <c r="BH236" i="2" s="1"/>
  <c r="BG113" i="5"/>
  <c r="BG236" i="2" s="1"/>
  <c r="BF113" i="5"/>
  <c r="BF236" i="2" s="1"/>
  <c r="BE113" i="5"/>
  <c r="BE236" i="2" s="1"/>
  <c r="BD113" i="5"/>
  <c r="BD236" i="2" s="1"/>
  <c r="BC113" i="5"/>
  <c r="BC236" i="2" s="1"/>
  <c r="BB113" i="5"/>
  <c r="BB236" i="2" s="1"/>
  <c r="BA113" i="5"/>
  <c r="BA236" i="2" s="1"/>
  <c r="AZ113" i="5"/>
  <c r="AZ236" i="2" s="1"/>
  <c r="AY113" i="5"/>
  <c r="AY236" i="2" s="1"/>
  <c r="AX113" i="5"/>
  <c r="AX236" i="2" s="1"/>
  <c r="AW113" i="5"/>
  <c r="AW236" i="2" s="1"/>
  <c r="AV113" i="5"/>
  <c r="AV236" i="2" s="1"/>
  <c r="AU113" i="5"/>
  <c r="AU236" i="2" s="1"/>
  <c r="AT113" i="5"/>
  <c r="AT236" i="2" s="1"/>
  <c r="AS113" i="5"/>
  <c r="AS236" i="2" s="1"/>
  <c r="AR113" i="5"/>
  <c r="AR236" i="2" s="1"/>
  <c r="AQ113" i="5"/>
  <c r="AQ236" i="2" s="1"/>
  <c r="AP113" i="5"/>
  <c r="AP236" i="2" s="1"/>
  <c r="AO113" i="5"/>
  <c r="AO236" i="2" s="1"/>
  <c r="AN113" i="5"/>
  <c r="AN236" i="2" s="1"/>
  <c r="AM113" i="5"/>
  <c r="AM236" i="2" s="1"/>
  <c r="AL113" i="5"/>
  <c r="AL236" i="2" s="1"/>
  <c r="AK113" i="5"/>
  <c r="AK236" i="2" s="1"/>
  <c r="AJ113" i="5"/>
  <c r="AJ236" i="2" s="1"/>
  <c r="AI113" i="5"/>
  <c r="AI236" i="2" s="1"/>
  <c r="AH113" i="5"/>
  <c r="AH236" i="2" s="1"/>
  <c r="AG113" i="5"/>
  <c r="AG236" i="2" s="1"/>
  <c r="AF113" i="5"/>
  <c r="AF236" i="2" s="1"/>
  <c r="AE113" i="5"/>
  <c r="AE236" i="2" s="1"/>
  <c r="AD113" i="5"/>
  <c r="AD236" i="2" s="1"/>
  <c r="AC113" i="5"/>
  <c r="AC236" i="2" s="1"/>
  <c r="AB113" i="5"/>
  <c r="AB236" i="2" s="1"/>
  <c r="AA113" i="5"/>
  <c r="AA236" i="2" s="1"/>
  <c r="Z113" i="5"/>
  <c r="Z236" i="2" s="1"/>
  <c r="Y113" i="5"/>
  <c r="Y236" i="2" s="1"/>
  <c r="X113" i="5"/>
  <c r="X236" i="2" s="1"/>
  <c r="W113" i="5"/>
  <c r="W236" i="2" s="1"/>
  <c r="V113" i="5"/>
  <c r="V236" i="2" s="1"/>
  <c r="U113" i="5"/>
  <c r="U236" i="2" s="1"/>
  <c r="T113" i="5"/>
  <c r="T236" i="2" s="1"/>
  <c r="S113" i="5"/>
  <c r="S236" i="2" s="1"/>
  <c r="R113" i="5"/>
  <c r="R236" i="2" s="1"/>
  <c r="Q113" i="5"/>
  <c r="Q236" i="2" s="1"/>
  <c r="P113" i="5"/>
  <c r="P236" i="2" s="1"/>
  <c r="O113" i="5"/>
  <c r="O236" i="2" s="1"/>
  <c r="N113" i="5"/>
  <c r="N236" i="2" s="1"/>
  <c r="M113" i="5"/>
  <c r="M236" i="2" s="1"/>
  <c r="L113" i="5"/>
  <c r="L236" i="2" s="1"/>
  <c r="K113" i="5"/>
  <c r="K236" i="2" s="1"/>
  <c r="J113" i="5"/>
  <c r="J236" i="2" s="1"/>
  <c r="I113" i="5"/>
  <c r="I236" i="2" s="1"/>
  <c r="H113" i="5"/>
  <c r="H236" i="2" s="1"/>
  <c r="G113" i="5"/>
  <c r="G236" i="2" s="1"/>
  <c r="F113" i="5"/>
  <c r="F236" i="2" s="1"/>
  <c r="E113" i="5"/>
  <c r="E236" i="2" s="1"/>
  <c r="BL112" i="5"/>
  <c r="BL235" i="2" s="1"/>
  <c r="BK112" i="5"/>
  <c r="BK235" i="2" s="1"/>
  <c r="BJ112" i="5"/>
  <c r="BJ235" i="2" s="1"/>
  <c r="BI112" i="5"/>
  <c r="BI235" i="2" s="1"/>
  <c r="BH112" i="5"/>
  <c r="BH235" i="2" s="1"/>
  <c r="BG112" i="5"/>
  <c r="BG235" i="2" s="1"/>
  <c r="BF112" i="5"/>
  <c r="BF235" i="2" s="1"/>
  <c r="BE112" i="5"/>
  <c r="BE235" i="2" s="1"/>
  <c r="BD112" i="5"/>
  <c r="BD235" i="2" s="1"/>
  <c r="BC112" i="5"/>
  <c r="BC235" i="2" s="1"/>
  <c r="BB112" i="5"/>
  <c r="BB235" i="2" s="1"/>
  <c r="BA112" i="5"/>
  <c r="BA235" i="2" s="1"/>
  <c r="AZ112" i="5"/>
  <c r="AZ235" i="2" s="1"/>
  <c r="AY112" i="5"/>
  <c r="AY235" i="2" s="1"/>
  <c r="AX112" i="5"/>
  <c r="AX235" i="2" s="1"/>
  <c r="AW112" i="5"/>
  <c r="AW235" i="2" s="1"/>
  <c r="AV112" i="5"/>
  <c r="AV235" i="2" s="1"/>
  <c r="AU112" i="5"/>
  <c r="AU235" i="2" s="1"/>
  <c r="AT112" i="5"/>
  <c r="AT235" i="2" s="1"/>
  <c r="AS112" i="5"/>
  <c r="AS235" i="2" s="1"/>
  <c r="AR112" i="5"/>
  <c r="AR235" i="2" s="1"/>
  <c r="AQ112" i="5"/>
  <c r="AQ235" i="2" s="1"/>
  <c r="AP112" i="5"/>
  <c r="AP235" i="2" s="1"/>
  <c r="AO112" i="5"/>
  <c r="AO235" i="2" s="1"/>
  <c r="AN112" i="5"/>
  <c r="AN235" i="2" s="1"/>
  <c r="AM112" i="5"/>
  <c r="AM235" i="2" s="1"/>
  <c r="AL112" i="5"/>
  <c r="AL235" i="2" s="1"/>
  <c r="AK112" i="5"/>
  <c r="AK235" i="2" s="1"/>
  <c r="AJ112" i="5"/>
  <c r="AJ235" i="2" s="1"/>
  <c r="AI112" i="5"/>
  <c r="AI235" i="2" s="1"/>
  <c r="AH112" i="5"/>
  <c r="AH235" i="2" s="1"/>
  <c r="AG112" i="5"/>
  <c r="AG235" i="2" s="1"/>
  <c r="AF112" i="5"/>
  <c r="AF235" i="2" s="1"/>
  <c r="AE112" i="5"/>
  <c r="AE235" i="2" s="1"/>
  <c r="AD112" i="5"/>
  <c r="AD235" i="2" s="1"/>
  <c r="AC112" i="5"/>
  <c r="AC235" i="2" s="1"/>
  <c r="AB112" i="5"/>
  <c r="AB235" i="2" s="1"/>
  <c r="AA112" i="5"/>
  <c r="AA235" i="2" s="1"/>
  <c r="Z112" i="5"/>
  <c r="Z235" i="2" s="1"/>
  <c r="Y112" i="5"/>
  <c r="Y235" i="2" s="1"/>
  <c r="X112" i="5"/>
  <c r="X235" i="2" s="1"/>
  <c r="W112" i="5"/>
  <c r="W235" i="2" s="1"/>
  <c r="V112" i="5"/>
  <c r="V235" i="2" s="1"/>
  <c r="U112" i="5"/>
  <c r="U235" i="2" s="1"/>
  <c r="T112" i="5"/>
  <c r="T235" i="2" s="1"/>
  <c r="S112" i="5"/>
  <c r="S235" i="2" s="1"/>
  <c r="R112" i="5"/>
  <c r="R235" i="2" s="1"/>
  <c r="Q112" i="5"/>
  <c r="Q235" i="2" s="1"/>
  <c r="P112" i="5"/>
  <c r="P235" i="2" s="1"/>
  <c r="O112" i="5"/>
  <c r="O235" i="2" s="1"/>
  <c r="N112" i="5"/>
  <c r="N235" i="2" s="1"/>
  <c r="M112" i="5"/>
  <c r="M235" i="2" s="1"/>
  <c r="L112" i="5"/>
  <c r="L235" i="2" s="1"/>
  <c r="K112" i="5"/>
  <c r="K235" i="2" s="1"/>
  <c r="J112" i="5"/>
  <c r="J235" i="2" s="1"/>
  <c r="I112" i="5"/>
  <c r="I235" i="2" s="1"/>
  <c r="H112" i="5"/>
  <c r="H235" i="2" s="1"/>
  <c r="G112" i="5"/>
  <c r="G235" i="2" s="1"/>
  <c r="F112" i="5"/>
  <c r="F235" i="2" s="1"/>
  <c r="E112" i="5"/>
  <c r="E235" i="2" s="1"/>
  <c r="BL111" i="5"/>
  <c r="BL234" i="2" s="1"/>
  <c r="BK111" i="5"/>
  <c r="BK234" i="2" s="1"/>
  <c r="BJ111" i="5"/>
  <c r="BJ234" i="2" s="1"/>
  <c r="BI111" i="5"/>
  <c r="BI234" i="2" s="1"/>
  <c r="BH111" i="5"/>
  <c r="BH234" i="2" s="1"/>
  <c r="BG111" i="5"/>
  <c r="BG234" i="2" s="1"/>
  <c r="BF111" i="5"/>
  <c r="BF234" i="2" s="1"/>
  <c r="BE111" i="5"/>
  <c r="BE234" i="2" s="1"/>
  <c r="BD111" i="5"/>
  <c r="BD234" i="2" s="1"/>
  <c r="BC111" i="5"/>
  <c r="BC234" i="2" s="1"/>
  <c r="BB111" i="5"/>
  <c r="BB234" i="2" s="1"/>
  <c r="BA111" i="5"/>
  <c r="BA234" i="2" s="1"/>
  <c r="AZ111" i="5"/>
  <c r="AZ234" i="2" s="1"/>
  <c r="AY111" i="5"/>
  <c r="AY234" i="2" s="1"/>
  <c r="AX111" i="5"/>
  <c r="AX234" i="2" s="1"/>
  <c r="AW111" i="5"/>
  <c r="AW234" i="2" s="1"/>
  <c r="AV111" i="5"/>
  <c r="AV234" i="2" s="1"/>
  <c r="AU111" i="5"/>
  <c r="AU234" i="2" s="1"/>
  <c r="AT111" i="5"/>
  <c r="AT234" i="2" s="1"/>
  <c r="AS111" i="5"/>
  <c r="AS234" i="2" s="1"/>
  <c r="AR111" i="5"/>
  <c r="AR234" i="2" s="1"/>
  <c r="AQ111" i="5"/>
  <c r="AQ234" i="2" s="1"/>
  <c r="AP111" i="5"/>
  <c r="AP234" i="2" s="1"/>
  <c r="AO111" i="5"/>
  <c r="AO234" i="2" s="1"/>
  <c r="AN111" i="5"/>
  <c r="AN234" i="2" s="1"/>
  <c r="AM111" i="5"/>
  <c r="AM234" i="2" s="1"/>
  <c r="AL111" i="5"/>
  <c r="AL234" i="2" s="1"/>
  <c r="AK111" i="5"/>
  <c r="AK234" i="2" s="1"/>
  <c r="AJ111" i="5"/>
  <c r="AJ234" i="2" s="1"/>
  <c r="AI111" i="5"/>
  <c r="AI234" i="2" s="1"/>
  <c r="AH111" i="5"/>
  <c r="AH234" i="2" s="1"/>
  <c r="AG111" i="5"/>
  <c r="AG234" i="2" s="1"/>
  <c r="AF111" i="5"/>
  <c r="AF234" i="2" s="1"/>
  <c r="AE111" i="5"/>
  <c r="AE234" i="2" s="1"/>
  <c r="AD111" i="5"/>
  <c r="AD234" i="2" s="1"/>
  <c r="AC111" i="5"/>
  <c r="AC234" i="2" s="1"/>
  <c r="AB111" i="5"/>
  <c r="AB234" i="2" s="1"/>
  <c r="AA111" i="5"/>
  <c r="AA234" i="2" s="1"/>
  <c r="Z111" i="5"/>
  <c r="Z234" i="2" s="1"/>
  <c r="Y111" i="5"/>
  <c r="Y234" i="2" s="1"/>
  <c r="X111" i="5"/>
  <c r="X234" i="2" s="1"/>
  <c r="W111" i="5"/>
  <c r="W234" i="2" s="1"/>
  <c r="V111" i="5"/>
  <c r="V234" i="2" s="1"/>
  <c r="U111" i="5"/>
  <c r="U234" i="2" s="1"/>
  <c r="T111" i="5"/>
  <c r="T234" i="2" s="1"/>
  <c r="S111" i="5"/>
  <c r="S234" i="2" s="1"/>
  <c r="R111" i="5"/>
  <c r="R234" i="2" s="1"/>
  <c r="Q111" i="5"/>
  <c r="Q234" i="2" s="1"/>
  <c r="P111" i="5"/>
  <c r="P234" i="2" s="1"/>
  <c r="O111" i="5"/>
  <c r="O234" i="2" s="1"/>
  <c r="N111" i="5"/>
  <c r="N234" i="2" s="1"/>
  <c r="M111" i="5"/>
  <c r="M234" i="2" s="1"/>
  <c r="L111" i="5"/>
  <c r="L234" i="2" s="1"/>
  <c r="K111" i="5"/>
  <c r="K234" i="2" s="1"/>
  <c r="J111" i="5"/>
  <c r="J234" i="2" s="1"/>
  <c r="I111" i="5"/>
  <c r="I234" i="2" s="1"/>
  <c r="H111" i="5"/>
  <c r="H234" i="2" s="1"/>
  <c r="G111" i="5"/>
  <c r="G234" i="2" s="1"/>
  <c r="F111" i="5"/>
  <c r="F234" i="2" s="1"/>
  <c r="E111" i="5"/>
  <c r="E234" i="2" s="1"/>
  <c r="BL110" i="5"/>
  <c r="BL233" i="2" s="1"/>
  <c r="BK110" i="5"/>
  <c r="BK233" i="2" s="1"/>
  <c r="BJ110" i="5"/>
  <c r="BJ233" i="2" s="1"/>
  <c r="BI110" i="5"/>
  <c r="BI233" i="2" s="1"/>
  <c r="BH110" i="5"/>
  <c r="BH233" i="2" s="1"/>
  <c r="BG110" i="5"/>
  <c r="BG233" i="2" s="1"/>
  <c r="BF110" i="5"/>
  <c r="BF233" i="2" s="1"/>
  <c r="BE110" i="5"/>
  <c r="BE233" i="2" s="1"/>
  <c r="BD110" i="5"/>
  <c r="BD233" i="2" s="1"/>
  <c r="BC110" i="5"/>
  <c r="BC233" i="2" s="1"/>
  <c r="BB110" i="5"/>
  <c r="BB233" i="2" s="1"/>
  <c r="BA110" i="5"/>
  <c r="BA233" i="2" s="1"/>
  <c r="AZ110" i="5"/>
  <c r="AZ233" i="2" s="1"/>
  <c r="AY110" i="5"/>
  <c r="AY233" i="2" s="1"/>
  <c r="AX110" i="5"/>
  <c r="AX233" i="2" s="1"/>
  <c r="AW110" i="5"/>
  <c r="AW233" i="2" s="1"/>
  <c r="AV110" i="5"/>
  <c r="AV233" i="2" s="1"/>
  <c r="AU110" i="5"/>
  <c r="AU233" i="2" s="1"/>
  <c r="AT110" i="5"/>
  <c r="AT233" i="2" s="1"/>
  <c r="AS110" i="5"/>
  <c r="AS233" i="2" s="1"/>
  <c r="AR110" i="5"/>
  <c r="AR233" i="2" s="1"/>
  <c r="AQ110" i="5"/>
  <c r="AQ233" i="2" s="1"/>
  <c r="AP110" i="5"/>
  <c r="AP233" i="2" s="1"/>
  <c r="AO110" i="5"/>
  <c r="AO233" i="2" s="1"/>
  <c r="AN110" i="5"/>
  <c r="AN233" i="2" s="1"/>
  <c r="AM110" i="5"/>
  <c r="AM233" i="2" s="1"/>
  <c r="AL110" i="5"/>
  <c r="AL233" i="2" s="1"/>
  <c r="AK110" i="5"/>
  <c r="AK233" i="2" s="1"/>
  <c r="AJ110" i="5"/>
  <c r="AJ233" i="2" s="1"/>
  <c r="AI110" i="5"/>
  <c r="AI233" i="2" s="1"/>
  <c r="AH110" i="5"/>
  <c r="AH233" i="2" s="1"/>
  <c r="AG110" i="5"/>
  <c r="AG233" i="2" s="1"/>
  <c r="AF110" i="5"/>
  <c r="AF233" i="2" s="1"/>
  <c r="AE110" i="5"/>
  <c r="AE233" i="2" s="1"/>
  <c r="AD110" i="5"/>
  <c r="AD233" i="2" s="1"/>
  <c r="AC110" i="5"/>
  <c r="AC233" i="2" s="1"/>
  <c r="AB110" i="5"/>
  <c r="AB233" i="2" s="1"/>
  <c r="AA110" i="5"/>
  <c r="AA233" i="2" s="1"/>
  <c r="Z110" i="5"/>
  <c r="Z233" i="2" s="1"/>
  <c r="Y110" i="5"/>
  <c r="Y233" i="2" s="1"/>
  <c r="X110" i="5"/>
  <c r="X233" i="2" s="1"/>
  <c r="W110" i="5"/>
  <c r="W233" i="2" s="1"/>
  <c r="V110" i="5"/>
  <c r="V233" i="2" s="1"/>
  <c r="U110" i="5"/>
  <c r="U233" i="2" s="1"/>
  <c r="T110" i="5"/>
  <c r="T233" i="2" s="1"/>
  <c r="S110" i="5"/>
  <c r="S233" i="2" s="1"/>
  <c r="R110" i="5"/>
  <c r="R233" i="2" s="1"/>
  <c r="Q110" i="5"/>
  <c r="Q233" i="2" s="1"/>
  <c r="P110" i="5"/>
  <c r="P233" i="2" s="1"/>
  <c r="O110" i="5"/>
  <c r="O233" i="2" s="1"/>
  <c r="N110" i="5"/>
  <c r="N233" i="2" s="1"/>
  <c r="M110" i="5"/>
  <c r="M233" i="2" s="1"/>
  <c r="L110" i="5"/>
  <c r="L233" i="2" s="1"/>
  <c r="K110" i="5"/>
  <c r="K233" i="2" s="1"/>
  <c r="J110" i="5"/>
  <c r="J233" i="2" s="1"/>
  <c r="I110" i="5"/>
  <c r="I233" i="2" s="1"/>
  <c r="H110" i="5"/>
  <c r="H233" i="2" s="1"/>
  <c r="G110" i="5"/>
  <c r="G233" i="2" s="1"/>
  <c r="F110" i="5"/>
  <c r="F233" i="2" s="1"/>
  <c r="E110" i="5"/>
  <c r="E233" i="2" s="1"/>
  <c r="BL109" i="5"/>
  <c r="BL232" i="2" s="1"/>
  <c r="BK109" i="5"/>
  <c r="BK232" i="2" s="1"/>
  <c r="BJ109" i="5"/>
  <c r="BJ232" i="2" s="1"/>
  <c r="BI109" i="5"/>
  <c r="BI232" i="2" s="1"/>
  <c r="BH109" i="5"/>
  <c r="BH232" i="2" s="1"/>
  <c r="BG109" i="5"/>
  <c r="BG232" i="2" s="1"/>
  <c r="BF109" i="5"/>
  <c r="BF232" i="2" s="1"/>
  <c r="BE109" i="5"/>
  <c r="BE232" i="2" s="1"/>
  <c r="BD109" i="5"/>
  <c r="BD232" i="2" s="1"/>
  <c r="BC109" i="5"/>
  <c r="BC232" i="2" s="1"/>
  <c r="BB109" i="5"/>
  <c r="BB232" i="2" s="1"/>
  <c r="BA109" i="5"/>
  <c r="BA232" i="2" s="1"/>
  <c r="AZ109" i="5"/>
  <c r="AZ232" i="2" s="1"/>
  <c r="AY109" i="5"/>
  <c r="AY232" i="2" s="1"/>
  <c r="AX109" i="5"/>
  <c r="AX232" i="2" s="1"/>
  <c r="AW109" i="5"/>
  <c r="AW232" i="2" s="1"/>
  <c r="AV109" i="5"/>
  <c r="AV232" i="2" s="1"/>
  <c r="AU109" i="5"/>
  <c r="AU232" i="2" s="1"/>
  <c r="AT109" i="5"/>
  <c r="AT232" i="2" s="1"/>
  <c r="AS109" i="5"/>
  <c r="AS232" i="2" s="1"/>
  <c r="AR109" i="5"/>
  <c r="AR232" i="2" s="1"/>
  <c r="AQ109" i="5"/>
  <c r="AQ232" i="2" s="1"/>
  <c r="AP109" i="5"/>
  <c r="AP232" i="2" s="1"/>
  <c r="AO109" i="5"/>
  <c r="AO232" i="2" s="1"/>
  <c r="AN109" i="5"/>
  <c r="AN232" i="2" s="1"/>
  <c r="AM109" i="5"/>
  <c r="AM232" i="2" s="1"/>
  <c r="AL109" i="5"/>
  <c r="AL232" i="2" s="1"/>
  <c r="AK109" i="5"/>
  <c r="AK232" i="2" s="1"/>
  <c r="AJ109" i="5"/>
  <c r="AJ232" i="2" s="1"/>
  <c r="AI109" i="5"/>
  <c r="AI232" i="2" s="1"/>
  <c r="AH109" i="5"/>
  <c r="AH232" i="2" s="1"/>
  <c r="AG109" i="5"/>
  <c r="AG232" i="2" s="1"/>
  <c r="AF109" i="5"/>
  <c r="AF232" i="2" s="1"/>
  <c r="AE109" i="5"/>
  <c r="AE232" i="2" s="1"/>
  <c r="AD109" i="5"/>
  <c r="AD232" i="2" s="1"/>
  <c r="AC109" i="5"/>
  <c r="AC232" i="2" s="1"/>
  <c r="AB109" i="5"/>
  <c r="AB232" i="2" s="1"/>
  <c r="AA109" i="5"/>
  <c r="AA232" i="2" s="1"/>
  <c r="Z109" i="5"/>
  <c r="Z232" i="2" s="1"/>
  <c r="Y109" i="5"/>
  <c r="Y232" i="2" s="1"/>
  <c r="X109" i="5"/>
  <c r="X232" i="2" s="1"/>
  <c r="W109" i="5"/>
  <c r="W232" i="2" s="1"/>
  <c r="V109" i="5"/>
  <c r="V232" i="2" s="1"/>
  <c r="U109" i="5"/>
  <c r="U232" i="2" s="1"/>
  <c r="T109" i="5"/>
  <c r="T232" i="2" s="1"/>
  <c r="S109" i="5"/>
  <c r="S232" i="2" s="1"/>
  <c r="R109" i="5"/>
  <c r="R232" i="2" s="1"/>
  <c r="Q109" i="5"/>
  <c r="Q232" i="2" s="1"/>
  <c r="P109" i="5"/>
  <c r="P232" i="2" s="1"/>
  <c r="O109" i="5"/>
  <c r="O232" i="2" s="1"/>
  <c r="N109" i="5"/>
  <c r="N232" i="2" s="1"/>
  <c r="M109" i="5"/>
  <c r="M232" i="2" s="1"/>
  <c r="L109" i="5"/>
  <c r="L232" i="2" s="1"/>
  <c r="K109" i="5"/>
  <c r="K232" i="2" s="1"/>
  <c r="J109" i="5"/>
  <c r="J232" i="2" s="1"/>
  <c r="I109" i="5"/>
  <c r="I232" i="2" s="1"/>
  <c r="H109" i="5"/>
  <c r="H232" i="2" s="1"/>
  <c r="G109" i="5"/>
  <c r="G232" i="2" s="1"/>
  <c r="F109" i="5"/>
  <c r="F232" i="2" s="1"/>
  <c r="E109" i="5"/>
  <c r="E232" i="2" s="1"/>
  <c r="BL108" i="5"/>
  <c r="BL231" i="2" s="1"/>
  <c r="BK108" i="5"/>
  <c r="BK231" i="2" s="1"/>
  <c r="BJ108" i="5"/>
  <c r="BJ231" i="2" s="1"/>
  <c r="BI108" i="5"/>
  <c r="BI231" i="2" s="1"/>
  <c r="BH108" i="5"/>
  <c r="BH231" i="2" s="1"/>
  <c r="BG108" i="5"/>
  <c r="BG231" i="2" s="1"/>
  <c r="BF108" i="5"/>
  <c r="BF231" i="2" s="1"/>
  <c r="BE108" i="5"/>
  <c r="BE231" i="2" s="1"/>
  <c r="BD108" i="5"/>
  <c r="BD231" i="2" s="1"/>
  <c r="BC108" i="5"/>
  <c r="BC231" i="2" s="1"/>
  <c r="BB108" i="5"/>
  <c r="BB231" i="2" s="1"/>
  <c r="BA108" i="5"/>
  <c r="BA231" i="2" s="1"/>
  <c r="AZ108" i="5"/>
  <c r="AZ231" i="2" s="1"/>
  <c r="AY108" i="5"/>
  <c r="AY231" i="2" s="1"/>
  <c r="AX108" i="5"/>
  <c r="AX231" i="2" s="1"/>
  <c r="AW108" i="5"/>
  <c r="AW231" i="2" s="1"/>
  <c r="AV108" i="5"/>
  <c r="AV231" i="2" s="1"/>
  <c r="AU108" i="5"/>
  <c r="AU231" i="2" s="1"/>
  <c r="AT108" i="5"/>
  <c r="AT231" i="2" s="1"/>
  <c r="AS108" i="5"/>
  <c r="AS231" i="2" s="1"/>
  <c r="AR108" i="5"/>
  <c r="AR231" i="2" s="1"/>
  <c r="AQ108" i="5"/>
  <c r="AQ231" i="2" s="1"/>
  <c r="AP108" i="5"/>
  <c r="AP231" i="2" s="1"/>
  <c r="AO108" i="5"/>
  <c r="AO231" i="2" s="1"/>
  <c r="AN108" i="5"/>
  <c r="AN231" i="2" s="1"/>
  <c r="AM108" i="5"/>
  <c r="AM231" i="2" s="1"/>
  <c r="AL108" i="5"/>
  <c r="AL231" i="2" s="1"/>
  <c r="AK108" i="5"/>
  <c r="AK231" i="2" s="1"/>
  <c r="AJ108" i="5"/>
  <c r="AJ231" i="2" s="1"/>
  <c r="AI108" i="5"/>
  <c r="AI231" i="2" s="1"/>
  <c r="AH108" i="5"/>
  <c r="AH231" i="2" s="1"/>
  <c r="AG108" i="5"/>
  <c r="AG231" i="2" s="1"/>
  <c r="AF108" i="5"/>
  <c r="AF231" i="2" s="1"/>
  <c r="AE108" i="5"/>
  <c r="AE231" i="2" s="1"/>
  <c r="AD108" i="5"/>
  <c r="AD231" i="2" s="1"/>
  <c r="AC108" i="5"/>
  <c r="AC231" i="2" s="1"/>
  <c r="AB108" i="5"/>
  <c r="AB231" i="2" s="1"/>
  <c r="AA108" i="5"/>
  <c r="AA231" i="2" s="1"/>
  <c r="Z108" i="5"/>
  <c r="Z231" i="2" s="1"/>
  <c r="Y108" i="5"/>
  <c r="Y231" i="2" s="1"/>
  <c r="X108" i="5"/>
  <c r="X231" i="2" s="1"/>
  <c r="W108" i="5"/>
  <c r="W231" i="2" s="1"/>
  <c r="V108" i="5"/>
  <c r="V231" i="2" s="1"/>
  <c r="U108" i="5"/>
  <c r="U231" i="2" s="1"/>
  <c r="T108" i="5"/>
  <c r="T231" i="2" s="1"/>
  <c r="S108" i="5"/>
  <c r="S231" i="2" s="1"/>
  <c r="R108" i="5"/>
  <c r="R231" i="2" s="1"/>
  <c r="Q108" i="5"/>
  <c r="Q231" i="2" s="1"/>
  <c r="P108" i="5"/>
  <c r="P231" i="2" s="1"/>
  <c r="O108" i="5"/>
  <c r="O231" i="2" s="1"/>
  <c r="N108" i="5"/>
  <c r="N231" i="2" s="1"/>
  <c r="M108" i="5"/>
  <c r="M231" i="2" s="1"/>
  <c r="L108" i="5"/>
  <c r="L231" i="2" s="1"/>
  <c r="K108" i="5"/>
  <c r="K231" i="2" s="1"/>
  <c r="J108" i="5"/>
  <c r="J231" i="2" s="1"/>
  <c r="I108" i="5"/>
  <c r="I231" i="2" s="1"/>
  <c r="H108" i="5"/>
  <c r="H231" i="2" s="1"/>
  <c r="G108" i="5"/>
  <c r="G231" i="2" s="1"/>
  <c r="F108" i="5"/>
  <c r="F231" i="2" s="1"/>
  <c r="E108" i="5"/>
  <c r="E231" i="2" s="1"/>
  <c r="BL107" i="5"/>
  <c r="BL230" i="2" s="1"/>
  <c r="BK107" i="5"/>
  <c r="BK230" i="2" s="1"/>
  <c r="BJ107" i="5"/>
  <c r="BJ230" i="2" s="1"/>
  <c r="BI107" i="5"/>
  <c r="BI230" i="2" s="1"/>
  <c r="BH107" i="5"/>
  <c r="BH230" i="2" s="1"/>
  <c r="BG107" i="5"/>
  <c r="BG230" i="2" s="1"/>
  <c r="BF107" i="5"/>
  <c r="BF230" i="2" s="1"/>
  <c r="BE107" i="5"/>
  <c r="BE230" i="2" s="1"/>
  <c r="BD107" i="5"/>
  <c r="BD230" i="2" s="1"/>
  <c r="BC107" i="5"/>
  <c r="BC230" i="2" s="1"/>
  <c r="BB107" i="5"/>
  <c r="BB230" i="2" s="1"/>
  <c r="BA107" i="5"/>
  <c r="BA230" i="2" s="1"/>
  <c r="AZ107" i="5"/>
  <c r="AZ230" i="2" s="1"/>
  <c r="AY107" i="5"/>
  <c r="AY230" i="2" s="1"/>
  <c r="AX107" i="5"/>
  <c r="AX230" i="2" s="1"/>
  <c r="AW107" i="5"/>
  <c r="AW230" i="2" s="1"/>
  <c r="AV107" i="5"/>
  <c r="AV230" i="2" s="1"/>
  <c r="AU107" i="5"/>
  <c r="AU230" i="2" s="1"/>
  <c r="AT107" i="5"/>
  <c r="AT230" i="2" s="1"/>
  <c r="AS107" i="5"/>
  <c r="AS230" i="2" s="1"/>
  <c r="AR107" i="5"/>
  <c r="AR230" i="2" s="1"/>
  <c r="AQ107" i="5"/>
  <c r="AQ230" i="2" s="1"/>
  <c r="AP107" i="5"/>
  <c r="AP230" i="2" s="1"/>
  <c r="AO107" i="5"/>
  <c r="AO230" i="2" s="1"/>
  <c r="AN107" i="5"/>
  <c r="AN230" i="2" s="1"/>
  <c r="AM107" i="5"/>
  <c r="AM230" i="2" s="1"/>
  <c r="AL107" i="5"/>
  <c r="AL230" i="2" s="1"/>
  <c r="AK107" i="5"/>
  <c r="AK230" i="2" s="1"/>
  <c r="AJ107" i="5"/>
  <c r="AJ230" i="2" s="1"/>
  <c r="AI107" i="5"/>
  <c r="AI230" i="2" s="1"/>
  <c r="AH107" i="5"/>
  <c r="AH230" i="2" s="1"/>
  <c r="AG107" i="5"/>
  <c r="AG230" i="2" s="1"/>
  <c r="AF107" i="5"/>
  <c r="AF230" i="2" s="1"/>
  <c r="AE107" i="5"/>
  <c r="AE230" i="2" s="1"/>
  <c r="AD107" i="5"/>
  <c r="AD230" i="2" s="1"/>
  <c r="AC107" i="5"/>
  <c r="AC230" i="2" s="1"/>
  <c r="AB107" i="5"/>
  <c r="AB230" i="2" s="1"/>
  <c r="AA107" i="5"/>
  <c r="AA230" i="2" s="1"/>
  <c r="Z107" i="5"/>
  <c r="Z230" i="2" s="1"/>
  <c r="Y107" i="5"/>
  <c r="Y230" i="2" s="1"/>
  <c r="X107" i="5"/>
  <c r="X230" i="2" s="1"/>
  <c r="W107" i="5"/>
  <c r="W230" i="2" s="1"/>
  <c r="V107" i="5"/>
  <c r="V230" i="2" s="1"/>
  <c r="U107" i="5"/>
  <c r="U230" i="2" s="1"/>
  <c r="T107" i="5"/>
  <c r="T230" i="2" s="1"/>
  <c r="S107" i="5"/>
  <c r="S230" i="2" s="1"/>
  <c r="R107" i="5"/>
  <c r="R230" i="2" s="1"/>
  <c r="Q107" i="5"/>
  <c r="Q230" i="2" s="1"/>
  <c r="P107" i="5"/>
  <c r="P230" i="2" s="1"/>
  <c r="O107" i="5"/>
  <c r="O230" i="2" s="1"/>
  <c r="N107" i="5"/>
  <c r="N230" i="2" s="1"/>
  <c r="M107" i="5"/>
  <c r="M230" i="2" s="1"/>
  <c r="L107" i="5"/>
  <c r="L230" i="2" s="1"/>
  <c r="K107" i="5"/>
  <c r="K230" i="2" s="1"/>
  <c r="J107" i="5"/>
  <c r="J230" i="2" s="1"/>
  <c r="I107" i="5"/>
  <c r="I230" i="2" s="1"/>
  <c r="H107" i="5"/>
  <c r="H230" i="2" s="1"/>
  <c r="G107" i="5"/>
  <c r="G230" i="2" s="1"/>
  <c r="F107" i="5"/>
  <c r="F230" i="2" s="1"/>
  <c r="E107" i="5"/>
  <c r="E230" i="2" s="1"/>
  <c r="BL106" i="5"/>
  <c r="BL229" i="2" s="1"/>
  <c r="BK106" i="5"/>
  <c r="BK229" i="2" s="1"/>
  <c r="BJ106" i="5"/>
  <c r="BJ229" i="2" s="1"/>
  <c r="BI106" i="5"/>
  <c r="BI229" i="2" s="1"/>
  <c r="BH106" i="5"/>
  <c r="BH229" i="2" s="1"/>
  <c r="BG106" i="5"/>
  <c r="BG229" i="2" s="1"/>
  <c r="BF106" i="5"/>
  <c r="BF229" i="2" s="1"/>
  <c r="BE106" i="5"/>
  <c r="BE229" i="2" s="1"/>
  <c r="BD106" i="5"/>
  <c r="BD229" i="2" s="1"/>
  <c r="BC106" i="5"/>
  <c r="BC229" i="2" s="1"/>
  <c r="BB106" i="5"/>
  <c r="BB229" i="2" s="1"/>
  <c r="BA106" i="5"/>
  <c r="BA229" i="2" s="1"/>
  <c r="AZ106" i="5"/>
  <c r="AZ229" i="2" s="1"/>
  <c r="AY106" i="5"/>
  <c r="AY229" i="2" s="1"/>
  <c r="AX106" i="5"/>
  <c r="AX229" i="2" s="1"/>
  <c r="AW106" i="5"/>
  <c r="AW229" i="2" s="1"/>
  <c r="AV106" i="5"/>
  <c r="AV229" i="2" s="1"/>
  <c r="AU106" i="5"/>
  <c r="AU229" i="2" s="1"/>
  <c r="AT106" i="5"/>
  <c r="AT229" i="2" s="1"/>
  <c r="AS106" i="5"/>
  <c r="AS229" i="2" s="1"/>
  <c r="AR106" i="5"/>
  <c r="AR229" i="2" s="1"/>
  <c r="AQ106" i="5"/>
  <c r="AQ229" i="2" s="1"/>
  <c r="AP106" i="5"/>
  <c r="AP229" i="2" s="1"/>
  <c r="AO106" i="5"/>
  <c r="AO229" i="2" s="1"/>
  <c r="AN106" i="5"/>
  <c r="AN229" i="2" s="1"/>
  <c r="AM106" i="5"/>
  <c r="AM229" i="2" s="1"/>
  <c r="AL106" i="5"/>
  <c r="AL229" i="2" s="1"/>
  <c r="AK106" i="5"/>
  <c r="AK229" i="2" s="1"/>
  <c r="AJ106" i="5"/>
  <c r="AJ229" i="2" s="1"/>
  <c r="AI106" i="5"/>
  <c r="AI229" i="2" s="1"/>
  <c r="AH106" i="5"/>
  <c r="AH229" i="2" s="1"/>
  <c r="AG106" i="5"/>
  <c r="AG229" i="2" s="1"/>
  <c r="AF106" i="5"/>
  <c r="AF229" i="2" s="1"/>
  <c r="AE106" i="5"/>
  <c r="AE229" i="2" s="1"/>
  <c r="AD106" i="5"/>
  <c r="AD229" i="2" s="1"/>
  <c r="AC106" i="5"/>
  <c r="AC229" i="2" s="1"/>
  <c r="AB106" i="5"/>
  <c r="AB229" i="2" s="1"/>
  <c r="AA106" i="5"/>
  <c r="AA229" i="2" s="1"/>
  <c r="Z106" i="5"/>
  <c r="Z229" i="2" s="1"/>
  <c r="Y106" i="5"/>
  <c r="Y229" i="2" s="1"/>
  <c r="X106" i="5"/>
  <c r="X229" i="2" s="1"/>
  <c r="W106" i="5"/>
  <c r="W229" i="2" s="1"/>
  <c r="V106" i="5"/>
  <c r="V229" i="2" s="1"/>
  <c r="U106" i="5"/>
  <c r="U229" i="2" s="1"/>
  <c r="T106" i="5"/>
  <c r="T229" i="2" s="1"/>
  <c r="S106" i="5"/>
  <c r="S229" i="2" s="1"/>
  <c r="R106" i="5"/>
  <c r="R229" i="2" s="1"/>
  <c r="Q106" i="5"/>
  <c r="Q229" i="2" s="1"/>
  <c r="P106" i="5"/>
  <c r="P229" i="2" s="1"/>
  <c r="O106" i="5"/>
  <c r="O229" i="2" s="1"/>
  <c r="N106" i="5"/>
  <c r="N229" i="2" s="1"/>
  <c r="M106" i="5"/>
  <c r="M229" i="2" s="1"/>
  <c r="L106" i="5"/>
  <c r="L229" i="2" s="1"/>
  <c r="K106" i="5"/>
  <c r="K229" i="2" s="1"/>
  <c r="J106" i="5"/>
  <c r="J229" i="2" s="1"/>
  <c r="I106" i="5"/>
  <c r="I229" i="2" s="1"/>
  <c r="H106" i="5"/>
  <c r="H229" i="2" s="1"/>
  <c r="G106" i="5"/>
  <c r="G229" i="2" s="1"/>
  <c r="F106" i="5"/>
  <c r="F229" i="2" s="1"/>
  <c r="E106" i="5"/>
  <c r="E229" i="2" s="1"/>
  <c r="BL105" i="5"/>
  <c r="BL228" i="2" s="1"/>
  <c r="BK105" i="5"/>
  <c r="BK228" i="2" s="1"/>
  <c r="BJ105" i="5"/>
  <c r="BJ228" i="2" s="1"/>
  <c r="BI105" i="5"/>
  <c r="BI228" i="2" s="1"/>
  <c r="BH105" i="5"/>
  <c r="BH228" i="2" s="1"/>
  <c r="BG105" i="5"/>
  <c r="BG228" i="2" s="1"/>
  <c r="BF105" i="5"/>
  <c r="BF228" i="2" s="1"/>
  <c r="BE105" i="5"/>
  <c r="BE228" i="2" s="1"/>
  <c r="BD105" i="5"/>
  <c r="BD228" i="2" s="1"/>
  <c r="BC105" i="5"/>
  <c r="BC228" i="2" s="1"/>
  <c r="BB105" i="5"/>
  <c r="BB228" i="2" s="1"/>
  <c r="BA105" i="5"/>
  <c r="BA228" i="2" s="1"/>
  <c r="AZ105" i="5"/>
  <c r="AZ228" i="2" s="1"/>
  <c r="AY105" i="5"/>
  <c r="AY228" i="2" s="1"/>
  <c r="AX105" i="5"/>
  <c r="AX228" i="2" s="1"/>
  <c r="AW105" i="5"/>
  <c r="AW228" i="2" s="1"/>
  <c r="AV105" i="5"/>
  <c r="AV228" i="2" s="1"/>
  <c r="AU105" i="5"/>
  <c r="AU228" i="2" s="1"/>
  <c r="AT105" i="5"/>
  <c r="AT228" i="2" s="1"/>
  <c r="AS105" i="5"/>
  <c r="AS228" i="2" s="1"/>
  <c r="AR105" i="5"/>
  <c r="AR228" i="2" s="1"/>
  <c r="AQ105" i="5"/>
  <c r="AQ228" i="2" s="1"/>
  <c r="AP105" i="5"/>
  <c r="AP228" i="2" s="1"/>
  <c r="AO105" i="5"/>
  <c r="AO228" i="2" s="1"/>
  <c r="AN105" i="5"/>
  <c r="AN228" i="2" s="1"/>
  <c r="AM105" i="5"/>
  <c r="AM228" i="2" s="1"/>
  <c r="AL105" i="5"/>
  <c r="AL228" i="2" s="1"/>
  <c r="AK105" i="5"/>
  <c r="AK228" i="2" s="1"/>
  <c r="AJ105" i="5"/>
  <c r="AJ228" i="2" s="1"/>
  <c r="AI105" i="5"/>
  <c r="AI228" i="2" s="1"/>
  <c r="AH105" i="5"/>
  <c r="AH228" i="2" s="1"/>
  <c r="AG105" i="5"/>
  <c r="AG228" i="2" s="1"/>
  <c r="AF105" i="5"/>
  <c r="AF228" i="2" s="1"/>
  <c r="AE105" i="5"/>
  <c r="AE228" i="2" s="1"/>
  <c r="AD105" i="5"/>
  <c r="AD228" i="2" s="1"/>
  <c r="AC105" i="5"/>
  <c r="AC228" i="2" s="1"/>
  <c r="AB105" i="5"/>
  <c r="AB228" i="2" s="1"/>
  <c r="AA105" i="5"/>
  <c r="AA228" i="2" s="1"/>
  <c r="Z105" i="5"/>
  <c r="Z228" i="2" s="1"/>
  <c r="Y105" i="5"/>
  <c r="Y228" i="2" s="1"/>
  <c r="X105" i="5"/>
  <c r="X228" i="2" s="1"/>
  <c r="W105" i="5"/>
  <c r="W228" i="2" s="1"/>
  <c r="V105" i="5"/>
  <c r="V228" i="2" s="1"/>
  <c r="U105" i="5"/>
  <c r="U228" i="2" s="1"/>
  <c r="T105" i="5"/>
  <c r="T228" i="2" s="1"/>
  <c r="S105" i="5"/>
  <c r="S228" i="2" s="1"/>
  <c r="R105" i="5"/>
  <c r="R228" i="2" s="1"/>
  <c r="Q105" i="5"/>
  <c r="Q228" i="2" s="1"/>
  <c r="P105" i="5"/>
  <c r="P228" i="2" s="1"/>
  <c r="O105" i="5"/>
  <c r="O228" i="2" s="1"/>
  <c r="N105" i="5"/>
  <c r="N228" i="2" s="1"/>
  <c r="M105" i="5"/>
  <c r="M228" i="2" s="1"/>
  <c r="L105" i="5"/>
  <c r="L228" i="2" s="1"/>
  <c r="K105" i="5"/>
  <c r="K228" i="2" s="1"/>
  <c r="J105" i="5"/>
  <c r="J228" i="2" s="1"/>
  <c r="I105" i="5"/>
  <c r="I228" i="2" s="1"/>
  <c r="H105" i="5"/>
  <c r="H228" i="2" s="1"/>
  <c r="G105" i="5"/>
  <c r="G228" i="2" s="1"/>
  <c r="F105" i="5"/>
  <c r="F228" i="2" s="1"/>
  <c r="E105" i="5"/>
  <c r="E228" i="2" s="1"/>
  <c r="BL104" i="5"/>
  <c r="BL227" i="2" s="1"/>
  <c r="BK104" i="5"/>
  <c r="BK227" i="2" s="1"/>
  <c r="BJ104" i="5"/>
  <c r="BJ227" i="2" s="1"/>
  <c r="BI104" i="5"/>
  <c r="BI227" i="2" s="1"/>
  <c r="BH104" i="5"/>
  <c r="BH227" i="2" s="1"/>
  <c r="BG104" i="5"/>
  <c r="BG227" i="2" s="1"/>
  <c r="BF104" i="5"/>
  <c r="BF227" i="2" s="1"/>
  <c r="BE104" i="5"/>
  <c r="BE227" i="2" s="1"/>
  <c r="BD104" i="5"/>
  <c r="BD227" i="2" s="1"/>
  <c r="BC104" i="5"/>
  <c r="BC227" i="2" s="1"/>
  <c r="BB104" i="5"/>
  <c r="BB227" i="2" s="1"/>
  <c r="BA104" i="5"/>
  <c r="BA227" i="2" s="1"/>
  <c r="AZ104" i="5"/>
  <c r="AZ227" i="2" s="1"/>
  <c r="AY104" i="5"/>
  <c r="AY227" i="2" s="1"/>
  <c r="AX104" i="5"/>
  <c r="AX227" i="2" s="1"/>
  <c r="AW104" i="5"/>
  <c r="AW227" i="2" s="1"/>
  <c r="AV104" i="5"/>
  <c r="AV227" i="2" s="1"/>
  <c r="AU104" i="5"/>
  <c r="AU227" i="2" s="1"/>
  <c r="AT104" i="5"/>
  <c r="AT227" i="2" s="1"/>
  <c r="AS104" i="5"/>
  <c r="AS227" i="2" s="1"/>
  <c r="AR104" i="5"/>
  <c r="AR227" i="2" s="1"/>
  <c r="AQ104" i="5"/>
  <c r="AQ227" i="2" s="1"/>
  <c r="AP104" i="5"/>
  <c r="AP227" i="2" s="1"/>
  <c r="AO104" i="5"/>
  <c r="AO227" i="2" s="1"/>
  <c r="AN104" i="5"/>
  <c r="AN227" i="2" s="1"/>
  <c r="AM104" i="5"/>
  <c r="AM227" i="2" s="1"/>
  <c r="AL104" i="5"/>
  <c r="AL227" i="2" s="1"/>
  <c r="AK104" i="5"/>
  <c r="AK227" i="2" s="1"/>
  <c r="AJ104" i="5"/>
  <c r="AJ227" i="2" s="1"/>
  <c r="AI104" i="5"/>
  <c r="AI227" i="2" s="1"/>
  <c r="AH104" i="5"/>
  <c r="AH227" i="2" s="1"/>
  <c r="AG104" i="5"/>
  <c r="AG227" i="2" s="1"/>
  <c r="AF104" i="5"/>
  <c r="AF227" i="2" s="1"/>
  <c r="AE104" i="5"/>
  <c r="AE227" i="2" s="1"/>
  <c r="AD104" i="5"/>
  <c r="AD227" i="2" s="1"/>
  <c r="AC104" i="5"/>
  <c r="AC227" i="2" s="1"/>
  <c r="AB104" i="5"/>
  <c r="AB227" i="2" s="1"/>
  <c r="AA104" i="5"/>
  <c r="AA227" i="2" s="1"/>
  <c r="Z104" i="5"/>
  <c r="Z227" i="2" s="1"/>
  <c r="Y104" i="5"/>
  <c r="Y227" i="2" s="1"/>
  <c r="X104" i="5"/>
  <c r="X227" i="2" s="1"/>
  <c r="W104" i="5"/>
  <c r="W227" i="2" s="1"/>
  <c r="V104" i="5"/>
  <c r="V227" i="2" s="1"/>
  <c r="U104" i="5"/>
  <c r="U227" i="2" s="1"/>
  <c r="T104" i="5"/>
  <c r="T227" i="2" s="1"/>
  <c r="S104" i="5"/>
  <c r="S227" i="2" s="1"/>
  <c r="R104" i="5"/>
  <c r="R227" i="2" s="1"/>
  <c r="Q104" i="5"/>
  <c r="Q227" i="2" s="1"/>
  <c r="P104" i="5"/>
  <c r="P227" i="2" s="1"/>
  <c r="O104" i="5"/>
  <c r="O227" i="2" s="1"/>
  <c r="N104" i="5"/>
  <c r="N227" i="2" s="1"/>
  <c r="M104" i="5"/>
  <c r="M227" i="2" s="1"/>
  <c r="L104" i="5"/>
  <c r="L227" i="2" s="1"/>
  <c r="K104" i="5"/>
  <c r="K227" i="2" s="1"/>
  <c r="J104" i="5"/>
  <c r="J227" i="2" s="1"/>
  <c r="I104" i="5"/>
  <c r="I227" i="2" s="1"/>
  <c r="H104" i="5"/>
  <c r="H227" i="2" s="1"/>
  <c r="G104" i="5"/>
  <c r="G227" i="2" s="1"/>
  <c r="F104" i="5"/>
  <c r="F227" i="2" s="1"/>
  <c r="E104" i="5"/>
  <c r="E227" i="2" s="1"/>
  <c r="BL103" i="5"/>
  <c r="BL226" i="2" s="1"/>
  <c r="BK103" i="5"/>
  <c r="BK226" i="2" s="1"/>
  <c r="BJ103" i="5"/>
  <c r="BJ226" i="2" s="1"/>
  <c r="BI103" i="5"/>
  <c r="BI226" i="2" s="1"/>
  <c r="BH103" i="5"/>
  <c r="BH226" i="2" s="1"/>
  <c r="BG103" i="5"/>
  <c r="BG226" i="2" s="1"/>
  <c r="BF103" i="5"/>
  <c r="BF226" i="2" s="1"/>
  <c r="BE103" i="5"/>
  <c r="BE226" i="2" s="1"/>
  <c r="BD103" i="5"/>
  <c r="BD226" i="2" s="1"/>
  <c r="BC103" i="5"/>
  <c r="BC226" i="2" s="1"/>
  <c r="BB103" i="5"/>
  <c r="BB226" i="2" s="1"/>
  <c r="BA103" i="5"/>
  <c r="BA226" i="2" s="1"/>
  <c r="AZ103" i="5"/>
  <c r="AZ226" i="2" s="1"/>
  <c r="AY103" i="5"/>
  <c r="AY226" i="2" s="1"/>
  <c r="AX103" i="5"/>
  <c r="AX226" i="2" s="1"/>
  <c r="AW103" i="5"/>
  <c r="AW226" i="2" s="1"/>
  <c r="AV103" i="5"/>
  <c r="AV226" i="2" s="1"/>
  <c r="AU103" i="5"/>
  <c r="AU226" i="2" s="1"/>
  <c r="AT103" i="5"/>
  <c r="AT226" i="2" s="1"/>
  <c r="AS103" i="5"/>
  <c r="AS226" i="2" s="1"/>
  <c r="AR103" i="5"/>
  <c r="AR226" i="2" s="1"/>
  <c r="AQ103" i="5"/>
  <c r="AQ226" i="2" s="1"/>
  <c r="AP103" i="5"/>
  <c r="AP226" i="2" s="1"/>
  <c r="AO103" i="5"/>
  <c r="AO226" i="2" s="1"/>
  <c r="AN103" i="5"/>
  <c r="AN226" i="2" s="1"/>
  <c r="AM103" i="5"/>
  <c r="AM226" i="2" s="1"/>
  <c r="AL103" i="5"/>
  <c r="AL226" i="2" s="1"/>
  <c r="AK103" i="5"/>
  <c r="AK226" i="2" s="1"/>
  <c r="AJ103" i="5"/>
  <c r="AJ226" i="2" s="1"/>
  <c r="AI103" i="5"/>
  <c r="AI226" i="2" s="1"/>
  <c r="AH103" i="5"/>
  <c r="AH226" i="2" s="1"/>
  <c r="AG103" i="5"/>
  <c r="AG226" i="2" s="1"/>
  <c r="AF103" i="5"/>
  <c r="AF226" i="2" s="1"/>
  <c r="AE103" i="5"/>
  <c r="AE226" i="2" s="1"/>
  <c r="AD103" i="5"/>
  <c r="AD226" i="2" s="1"/>
  <c r="AC103" i="5"/>
  <c r="AC226" i="2" s="1"/>
  <c r="AB103" i="5"/>
  <c r="AB226" i="2" s="1"/>
  <c r="AA103" i="5"/>
  <c r="AA226" i="2" s="1"/>
  <c r="Z103" i="5"/>
  <c r="Z226" i="2" s="1"/>
  <c r="Y103" i="5"/>
  <c r="Y226" i="2" s="1"/>
  <c r="X103" i="5"/>
  <c r="X226" i="2" s="1"/>
  <c r="W103" i="5"/>
  <c r="W226" i="2" s="1"/>
  <c r="V103" i="5"/>
  <c r="V226" i="2" s="1"/>
  <c r="U103" i="5"/>
  <c r="U226" i="2" s="1"/>
  <c r="T103" i="5"/>
  <c r="T226" i="2" s="1"/>
  <c r="S103" i="5"/>
  <c r="S226" i="2" s="1"/>
  <c r="R103" i="5"/>
  <c r="R226" i="2" s="1"/>
  <c r="Q103" i="5"/>
  <c r="Q226" i="2" s="1"/>
  <c r="P103" i="5"/>
  <c r="P226" i="2" s="1"/>
  <c r="O103" i="5"/>
  <c r="O226" i="2" s="1"/>
  <c r="N103" i="5"/>
  <c r="N226" i="2" s="1"/>
  <c r="M103" i="5"/>
  <c r="M226" i="2" s="1"/>
  <c r="L103" i="5"/>
  <c r="L226" i="2" s="1"/>
  <c r="K103" i="5"/>
  <c r="K226" i="2" s="1"/>
  <c r="J103" i="5"/>
  <c r="J226" i="2" s="1"/>
  <c r="I103" i="5"/>
  <c r="I226" i="2" s="1"/>
  <c r="H103" i="5"/>
  <c r="H226" i="2" s="1"/>
  <c r="G103" i="5"/>
  <c r="G226" i="2" s="1"/>
  <c r="F103" i="5"/>
  <c r="F226" i="2" s="1"/>
  <c r="E103" i="5"/>
  <c r="E226" i="2" s="1"/>
  <c r="BL102" i="5"/>
  <c r="BL225" i="2" s="1"/>
  <c r="BK102" i="5"/>
  <c r="BK225" i="2" s="1"/>
  <c r="BJ102" i="5"/>
  <c r="BJ225" i="2" s="1"/>
  <c r="BI102" i="5"/>
  <c r="BI225" i="2" s="1"/>
  <c r="BH102" i="5"/>
  <c r="BH225" i="2" s="1"/>
  <c r="BG102" i="5"/>
  <c r="BG225" i="2" s="1"/>
  <c r="BF102" i="5"/>
  <c r="BF225" i="2" s="1"/>
  <c r="BE102" i="5"/>
  <c r="BE225" i="2" s="1"/>
  <c r="BD102" i="5"/>
  <c r="BD225" i="2" s="1"/>
  <c r="BC102" i="5"/>
  <c r="BC225" i="2" s="1"/>
  <c r="BB102" i="5"/>
  <c r="BB225" i="2" s="1"/>
  <c r="BA102" i="5"/>
  <c r="BA225" i="2" s="1"/>
  <c r="AZ102" i="5"/>
  <c r="AZ225" i="2" s="1"/>
  <c r="AY102" i="5"/>
  <c r="AY225" i="2" s="1"/>
  <c r="AX102" i="5"/>
  <c r="AX225" i="2" s="1"/>
  <c r="AW102" i="5"/>
  <c r="AW225" i="2" s="1"/>
  <c r="AV102" i="5"/>
  <c r="AV225" i="2" s="1"/>
  <c r="AU102" i="5"/>
  <c r="AU225" i="2" s="1"/>
  <c r="AT102" i="5"/>
  <c r="AT225" i="2" s="1"/>
  <c r="AS102" i="5"/>
  <c r="AS225" i="2" s="1"/>
  <c r="AR102" i="5"/>
  <c r="AR225" i="2" s="1"/>
  <c r="AQ102" i="5"/>
  <c r="AQ225" i="2" s="1"/>
  <c r="AP102" i="5"/>
  <c r="AP225" i="2" s="1"/>
  <c r="AO102" i="5"/>
  <c r="AO225" i="2" s="1"/>
  <c r="AN102" i="5"/>
  <c r="AN225" i="2" s="1"/>
  <c r="AM102" i="5"/>
  <c r="AM225" i="2" s="1"/>
  <c r="AL102" i="5"/>
  <c r="AL225" i="2" s="1"/>
  <c r="AK102" i="5"/>
  <c r="AK225" i="2" s="1"/>
  <c r="AJ102" i="5"/>
  <c r="AJ225" i="2" s="1"/>
  <c r="AI102" i="5"/>
  <c r="AI225" i="2" s="1"/>
  <c r="AH102" i="5"/>
  <c r="AH225" i="2" s="1"/>
  <c r="AG102" i="5"/>
  <c r="AG225" i="2" s="1"/>
  <c r="AF102" i="5"/>
  <c r="AF225" i="2" s="1"/>
  <c r="AE102" i="5"/>
  <c r="AE225" i="2" s="1"/>
  <c r="AD102" i="5"/>
  <c r="AD225" i="2" s="1"/>
  <c r="AC102" i="5"/>
  <c r="AC225" i="2" s="1"/>
  <c r="AB102" i="5"/>
  <c r="AB225" i="2" s="1"/>
  <c r="AA102" i="5"/>
  <c r="AA225" i="2" s="1"/>
  <c r="Z102" i="5"/>
  <c r="Z225" i="2" s="1"/>
  <c r="Y102" i="5"/>
  <c r="Y225" i="2" s="1"/>
  <c r="X102" i="5"/>
  <c r="X225" i="2" s="1"/>
  <c r="W102" i="5"/>
  <c r="W225" i="2" s="1"/>
  <c r="V102" i="5"/>
  <c r="V225" i="2" s="1"/>
  <c r="U102" i="5"/>
  <c r="U225" i="2" s="1"/>
  <c r="T102" i="5"/>
  <c r="T225" i="2" s="1"/>
  <c r="S102" i="5"/>
  <c r="S225" i="2" s="1"/>
  <c r="R102" i="5"/>
  <c r="R225" i="2" s="1"/>
  <c r="Q102" i="5"/>
  <c r="Q225" i="2" s="1"/>
  <c r="P102" i="5"/>
  <c r="P225" i="2" s="1"/>
  <c r="O102" i="5"/>
  <c r="O225" i="2" s="1"/>
  <c r="N102" i="5"/>
  <c r="N225" i="2" s="1"/>
  <c r="M102" i="5"/>
  <c r="M225" i="2" s="1"/>
  <c r="L102" i="5"/>
  <c r="L225" i="2" s="1"/>
  <c r="K102" i="5"/>
  <c r="K225" i="2" s="1"/>
  <c r="J102" i="5"/>
  <c r="J225" i="2" s="1"/>
  <c r="I102" i="5"/>
  <c r="I225" i="2" s="1"/>
  <c r="H102" i="5"/>
  <c r="H225" i="2" s="1"/>
  <c r="G102" i="5"/>
  <c r="G225" i="2" s="1"/>
  <c r="F102" i="5"/>
  <c r="F225" i="2" s="1"/>
  <c r="E102" i="5"/>
  <c r="E225" i="2" s="1"/>
  <c r="BL101" i="5"/>
  <c r="BL224" i="2" s="1"/>
  <c r="BK101" i="5"/>
  <c r="BK224" i="2" s="1"/>
  <c r="BJ101" i="5"/>
  <c r="BJ224" i="2" s="1"/>
  <c r="BI101" i="5"/>
  <c r="BI224" i="2" s="1"/>
  <c r="BH101" i="5"/>
  <c r="BH224" i="2" s="1"/>
  <c r="BG101" i="5"/>
  <c r="BG224" i="2" s="1"/>
  <c r="BF101" i="5"/>
  <c r="BF224" i="2" s="1"/>
  <c r="BE101" i="5"/>
  <c r="BE224" i="2" s="1"/>
  <c r="BD101" i="5"/>
  <c r="BD224" i="2" s="1"/>
  <c r="BC101" i="5"/>
  <c r="BC224" i="2" s="1"/>
  <c r="BB101" i="5"/>
  <c r="BB224" i="2" s="1"/>
  <c r="BA101" i="5"/>
  <c r="BA224" i="2" s="1"/>
  <c r="AZ101" i="5"/>
  <c r="AZ224" i="2" s="1"/>
  <c r="AY101" i="5"/>
  <c r="AY224" i="2" s="1"/>
  <c r="AX101" i="5"/>
  <c r="AX224" i="2" s="1"/>
  <c r="AW101" i="5"/>
  <c r="AW224" i="2" s="1"/>
  <c r="AV101" i="5"/>
  <c r="AV224" i="2" s="1"/>
  <c r="AU101" i="5"/>
  <c r="AU224" i="2" s="1"/>
  <c r="AT101" i="5"/>
  <c r="AT224" i="2" s="1"/>
  <c r="AS101" i="5"/>
  <c r="AS224" i="2" s="1"/>
  <c r="AR101" i="5"/>
  <c r="AR224" i="2" s="1"/>
  <c r="AQ101" i="5"/>
  <c r="AQ224" i="2" s="1"/>
  <c r="AP101" i="5"/>
  <c r="AP224" i="2" s="1"/>
  <c r="AO101" i="5"/>
  <c r="AO224" i="2" s="1"/>
  <c r="AN101" i="5"/>
  <c r="AN224" i="2" s="1"/>
  <c r="AM101" i="5"/>
  <c r="AM224" i="2" s="1"/>
  <c r="AL101" i="5"/>
  <c r="AL224" i="2" s="1"/>
  <c r="AK101" i="5"/>
  <c r="AK224" i="2" s="1"/>
  <c r="AJ101" i="5"/>
  <c r="AJ224" i="2" s="1"/>
  <c r="AI101" i="5"/>
  <c r="AI224" i="2" s="1"/>
  <c r="AH101" i="5"/>
  <c r="AH224" i="2" s="1"/>
  <c r="AG101" i="5"/>
  <c r="AG224" i="2" s="1"/>
  <c r="AF101" i="5"/>
  <c r="AF224" i="2" s="1"/>
  <c r="AE101" i="5"/>
  <c r="AE224" i="2" s="1"/>
  <c r="AD101" i="5"/>
  <c r="AD224" i="2" s="1"/>
  <c r="AC101" i="5"/>
  <c r="AC224" i="2" s="1"/>
  <c r="AB101" i="5"/>
  <c r="AB224" i="2" s="1"/>
  <c r="AA101" i="5"/>
  <c r="AA224" i="2" s="1"/>
  <c r="Z101" i="5"/>
  <c r="Z224" i="2" s="1"/>
  <c r="Y101" i="5"/>
  <c r="Y224" i="2" s="1"/>
  <c r="X101" i="5"/>
  <c r="X224" i="2" s="1"/>
  <c r="W101" i="5"/>
  <c r="W224" i="2" s="1"/>
  <c r="V101" i="5"/>
  <c r="V224" i="2" s="1"/>
  <c r="U101" i="5"/>
  <c r="U224" i="2" s="1"/>
  <c r="T101" i="5"/>
  <c r="T224" i="2" s="1"/>
  <c r="S101" i="5"/>
  <c r="S224" i="2" s="1"/>
  <c r="R101" i="5"/>
  <c r="R224" i="2" s="1"/>
  <c r="Q101" i="5"/>
  <c r="Q224" i="2" s="1"/>
  <c r="P101" i="5"/>
  <c r="P224" i="2" s="1"/>
  <c r="O101" i="5"/>
  <c r="O224" i="2" s="1"/>
  <c r="N101" i="5"/>
  <c r="N224" i="2" s="1"/>
  <c r="M101" i="5"/>
  <c r="M224" i="2" s="1"/>
  <c r="L101" i="5"/>
  <c r="L224" i="2" s="1"/>
  <c r="K101" i="5"/>
  <c r="K224" i="2" s="1"/>
  <c r="J101" i="5"/>
  <c r="J224" i="2" s="1"/>
  <c r="I101" i="5"/>
  <c r="I224" i="2" s="1"/>
  <c r="H101" i="5"/>
  <c r="H224" i="2" s="1"/>
  <c r="G101" i="5"/>
  <c r="G224" i="2" s="1"/>
  <c r="F101" i="5"/>
  <c r="F224" i="2" s="1"/>
  <c r="E101" i="5"/>
  <c r="E224" i="2" s="1"/>
  <c r="BL100" i="5"/>
  <c r="BL223" i="2" s="1"/>
  <c r="BK100" i="5"/>
  <c r="BK223" i="2" s="1"/>
  <c r="BJ100" i="5"/>
  <c r="BJ223" i="2" s="1"/>
  <c r="BI100" i="5"/>
  <c r="BI223" i="2" s="1"/>
  <c r="BH100" i="5"/>
  <c r="BH223" i="2" s="1"/>
  <c r="BG100" i="5"/>
  <c r="BG223" i="2" s="1"/>
  <c r="BF100" i="5"/>
  <c r="BF223" i="2" s="1"/>
  <c r="BE100" i="5"/>
  <c r="BE223" i="2" s="1"/>
  <c r="BD100" i="5"/>
  <c r="BD223" i="2" s="1"/>
  <c r="BC100" i="5"/>
  <c r="BC223" i="2" s="1"/>
  <c r="BB100" i="5"/>
  <c r="BB223" i="2" s="1"/>
  <c r="BA100" i="5"/>
  <c r="BA223" i="2" s="1"/>
  <c r="AZ100" i="5"/>
  <c r="AZ223" i="2" s="1"/>
  <c r="AY100" i="5"/>
  <c r="AY223" i="2" s="1"/>
  <c r="AX100" i="5"/>
  <c r="AX223" i="2" s="1"/>
  <c r="AW100" i="5"/>
  <c r="AW223" i="2" s="1"/>
  <c r="AV100" i="5"/>
  <c r="AV223" i="2" s="1"/>
  <c r="AU100" i="5"/>
  <c r="AU223" i="2" s="1"/>
  <c r="AT100" i="5"/>
  <c r="AT223" i="2" s="1"/>
  <c r="AS100" i="5"/>
  <c r="AS223" i="2" s="1"/>
  <c r="AR100" i="5"/>
  <c r="AR223" i="2" s="1"/>
  <c r="AQ100" i="5"/>
  <c r="AQ223" i="2" s="1"/>
  <c r="AP100" i="5"/>
  <c r="AP223" i="2" s="1"/>
  <c r="AO100" i="5"/>
  <c r="AO223" i="2" s="1"/>
  <c r="AN100" i="5"/>
  <c r="AN223" i="2" s="1"/>
  <c r="AM100" i="5"/>
  <c r="AM223" i="2" s="1"/>
  <c r="AL100" i="5"/>
  <c r="AL223" i="2" s="1"/>
  <c r="AK100" i="5"/>
  <c r="AK223" i="2" s="1"/>
  <c r="AJ100" i="5"/>
  <c r="AJ223" i="2" s="1"/>
  <c r="AI100" i="5"/>
  <c r="AI223" i="2" s="1"/>
  <c r="AH100" i="5"/>
  <c r="AH223" i="2" s="1"/>
  <c r="AG100" i="5"/>
  <c r="AG223" i="2" s="1"/>
  <c r="AF100" i="5"/>
  <c r="AF223" i="2" s="1"/>
  <c r="AE100" i="5"/>
  <c r="AE223" i="2" s="1"/>
  <c r="AD100" i="5"/>
  <c r="AD223" i="2" s="1"/>
  <c r="AC100" i="5"/>
  <c r="AC223" i="2" s="1"/>
  <c r="AB100" i="5"/>
  <c r="AB223" i="2" s="1"/>
  <c r="AA100" i="5"/>
  <c r="AA223" i="2" s="1"/>
  <c r="Z100" i="5"/>
  <c r="Z223" i="2" s="1"/>
  <c r="Y100" i="5"/>
  <c r="Y223" i="2" s="1"/>
  <c r="X100" i="5"/>
  <c r="X223" i="2" s="1"/>
  <c r="W100" i="5"/>
  <c r="W223" i="2" s="1"/>
  <c r="V100" i="5"/>
  <c r="V223" i="2" s="1"/>
  <c r="U100" i="5"/>
  <c r="U223" i="2" s="1"/>
  <c r="T100" i="5"/>
  <c r="T223" i="2" s="1"/>
  <c r="S100" i="5"/>
  <c r="S223" i="2" s="1"/>
  <c r="R100" i="5"/>
  <c r="R223" i="2" s="1"/>
  <c r="Q100" i="5"/>
  <c r="Q223" i="2" s="1"/>
  <c r="P100" i="5"/>
  <c r="P223" i="2" s="1"/>
  <c r="O100" i="5"/>
  <c r="O223" i="2" s="1"/>
  <c r="N100" i="5"/>
  <c r="N223" i="2" s="1"/>
  <c r="M100" i="5"/>
  <c r="M223" i="2" s="1"/>
  <c r="L100" i="5"/>
  <c r="L223" i="2" s="1"/>
  <c r="K100" i="5"/>
  <c r="K223" i="2" s="1"/>
  <c r="J100" i="5"/>
  <c r="J223" i="2" s="1"/>
  <c r="I100" i="5"/>
  <c r="I223" i="2" s="1"/>
  <c r="H100" i="5"/>
  <c r="H223" i="2" s="1"/>
  <c r="G100" i="5"/>
  <c r="G223" i="2" s="1"/>
  <c r="F100" i="5"/>
  <c r="F223" i="2" s="1"/>
  <c r="E100" i="5"/>
  <c r="E223" i="2" s="1"/>
  <c r="BL99" i="5"/>
  <c r="BL222" i="2" s="1"/>
  <c r="BK99" i="5"/>
  <c r="BK222" i="2" s="1"/>
  <c r="BJ99" i="5"/>
  <c r="BJ222" i="2" s="1"/>
  <c r="BI99" i="5"/>
  <c r="BI222" i="2" s="1"/>
  <c r="BH99" i="5"/>
  <c r="BH222" i="2" s="1"/>
  <c r="BG99" i="5"/>
  <c r="BG222" i="2" s="1"/>
  <c r="BF99" i="5"/>
  <c r="BF222" i="2" s="1"/>
  <c r="BE99" i="5"/>
  <c r="BE222" i="2" s="1"/>
  <c r="BD99" i="5"/>
  <c r="BD222" i="2" s="1"/>
  <c r="BC99" i="5"/>
  <c r="BC222" i="2" s="1"/>
  <c r="BB99" i="5"/>
  <c r="BB222" i="2" s="1"/>
  <c r="BA99" i="5"/>
  <c r="BA222" i="2" s="1"/>
  <c r="AZ99" i="5"/>
  <c r="AZ222" i="2" s="1"/>
  <c r="AY99" i="5"/>
  <c r="AY222" i="2" s="1"/>
  <c r="AX99" i="5"/>
  <c r="AX222" i="2" s="1"/>
  <c r="AW99" i="5"/>
  <c r="AW222" i="2" s="1"/>
  <c r="AV99" i="5"/>
  <c r="AV222" i="2" s="1"/>
  <c r="AU99" i="5"/>
  <c r="AU222" i="2" s="1"/>
  <c r="AT99" i="5"/>
  <c r="AT222" i="2" s="1"/>
  <c r="AS99" i="5"/>
  <c r="AS222" i="2" s="1"/>
  <c r="AR99" i="5"/>
  <c r="AR222" i="2" s="1"/>
  <c r="AQ99" i="5"/>
  <c r="AQ222" i="2" s="1"/>
  <c r="AP99" i="5"/>
  <c r="AP222" i="2" s="1"/>
  <c r="AO99" i="5"/>
  <c r="AO222" i="2" s="1"/>
  <c r="AN99" i="5"/>
  <c r="AN222" i="2" s="1"/>
  <c r="AM99" i="5"/>
  <c r="AM222" i="2" s="1"/>
  <c r="AL99" i="5"/>
  <c r="AL222" i="2" s="1"/>
  <c r="AK99" i="5"/>
  <c r="AK222" i="2" s="1"/>
  <c r="AJ99" i="5"/>
  <c r="AJ222" i="2" s="1"/>
  <c r="AI99" i="5"/>
  <c r="AI222" i="2" s="1"/>
  <c r="AH99" i="5"/>
  <c r="AH222" i="2" s="1"/>
  <c r="AG99" i="5"/>
  <c r="AG222" i="2" s="1"/>
  <c r="AF99" i="5"/>
  <c r="AF222" i="2" s="1"/>
  <c r="AE99" i="5"/>
  <c r="AE222" i="2" s="1"/>
  <c r="AD99" i="5"/>
  <c r="AD222" i="2" s="1"/>
  <c r="AC99" i="5"/>
  <c r="AC222" i="2" s="1"/>
  <c r="AB99" i="5"/>
  <c r="AB222" i="2" s="1"/>
  <c r="AA99" i="5"/>
  <c r="AA222" i="2" s="1"/>
  <c r="Z99" i="5"/>
  <c r="Z222" i="2" s="1"/>
  <c r="Y99" i="5"/>
  <c r="Y222" i="2" s="1"/>
  <c r="X99" i="5"/>
  <c r="X222" i="2" s="1"/>
  <c r="W99" i="5"/>
  <c r="W222" i="2" s="1"/>
  <c r="V99" i="5"/>
  <c r="V222" i="2" s="1"/>
  <c r="U99" i="5"/>
  <c r="U222" i="2" s="1"/>
  <c r="T99" i="5"/>
  <c r="T222" i="2" s="1"/>
  <c r="S99" i="5"/>
  <c r="S222" i="2" s="1"/>
  <c r="R99" i="5"/>
  <c r="R222" i="2" s="1"/>
  <c r="Q99" i="5"/>
  <c r="Q222" i="2" s="1"/>
  <c r="P99" i="5"/>
  <c r="P222" i="2" s="1"/>
  <c r="O99" i="5"/>
  <c r="O222" i="2" s="1"/>
  <c r="N99" i="5"/>
  <c r="N222" i="2" s="1"/>
  <c r="M99" i="5"/>
  <c r="M222" i="2" s="1"/>
  <c r="L99" i="5"/>
  <c r="L222" i="2" s="1"/>
  <c r="K99" i="5"/>
  <c r="K222" i="2" s="1"/>
  <c r="J99" i="5"/>
  <c r="J222" i="2" s="1"/>
  <c r="I99" i="5"/>
  <c r="I222" i="2" s="1"/>
  <c r="H99" i="5"/>
  <c r="H222" i="2" s="1"/>
  <c r="G99" i="5"/>
  <c r="G222" i="2" s="1"/>
  <c r="F99" i="5"/>
  <c r="F222" i="2" s="1"/>
  <c r="E99" i="5"/>
  <c r="E222" i="2" s="1"/>
  <c r="BL98" i="5"/>
  <c r="BL221" i="2" s="1"/>
  <c r="BK98" i="5"/>
  <c r="BK221" i="2" s="1"/>
  <c r="BJ98" i="5"/>
  <c r="BJ221" i="2" s="1"/>
  <c r="BI98" i="5"/>
  <c r="BI221" i="2" s="1"/>
  <c r="BH98" i="5"/>
  <c r="BH221" i="2" s="1"/>
  <c r="BG98" i="5"/>
  <c r="BG221" i="2" s="1"/>
  <c r="BF98" i="5"/>
  <c r="BF221" i="2" s="1"/>
  <c r="BE98" i="5"/>
  <c r="BE221" i="2" s="1"/>
  <c r="BD98" i="5"/>
  <c r="BD221" i="2" s="1"/>
  <c r="BC98" i="5"/>
  <c r="BC221" i="2" s="1"/>
  <c r="BB98" i="5"/>
  <c r="BB221" i="2" s="1"/>
  <c r="BA98" i="5"/>
  <c r="BA221" i="2" s="1"/>
  <c r="AZ98" i="5"/>
  <c r="AZ221" i="2" s="1"/>
  <c r="AY98" i="5"/>
  <c r="AY221" i="2" s="1"/>
  <c r="AX98" i="5"/>
  <c r="AX221" i="2" s="1"/>
  <c r="AW98" i="5"/>
  <c r="AW221" i="2" s="1"/>
  <c r="AV98" i="5"/>
  <c r="AV221" i="2" s="1"/>
  <c r="AU98" i="5"/>
  <c r="AU221" i="2" s="1"/>
  <c r="AT98" i="5"/>
  <c r="AT221" i="2" s="1"/>
  <c r="AS98" i="5"/>
  <c r="AS221" i="2" s="1"/>
  <c r="AR98" i="5"/>
  <c r="AR221" i="2" s="1"/>
  <c r="AQ98" i="5"/>
  <c r="AQ221" i="2" s="1"/>
  <c r="AP98" i="5"/>
  <c r="AP221" i="2" s="1"/>
  <c r="AO98" i="5"/>
  <c r="AO221" i="2" s="1"/>
  <c r="AN98" i="5"/>
  <c r="AN221" i="2" s="1"/>
  <c r="AM98" i="5"/>
  <c r="AM221" i="2" s="1"/>
  <c r="AL98" i="5"/>
  <c r="AL221" i="2" s="1"/>
  <c r="AK98" i="5"/>
  <c r="AK221" i="2" s="1"/>
  <c r="AJ98" i="5"/>
  <c r="AJ221" i="2" s="1"/>
  <c r="AI98" i="5"/>
  <c r="AI221" i="2" s="1"/>
  <c r="AH98" i="5"/>
  <c r="AH221" i="2" s="1"/>
  <c r="AG98" i="5"/>
  <c r="AG221" i="2" s="1"/>
  <c r="AF98" i="5"/>
  <c r="AF221" i="2" s="1"/>
  <c r="AE98" i="5"/>
  <c r="AE221" i="2" s="1"/>
  <c r="AD98" i="5"/>
  <c r="AD221" i="2" s="1"/>
  <c r="AC98" i="5"/>
  <c r="AC221" i="2" s="1"/>
  <c r="AB98" i="5"/>
  <c r="AB221" i="2" s="1"/>
  <c r="AA98" i="5"/>
  <c r="AA221" i="2" s="1"/>
  <c r="Z98" i="5"/>
  <c r="Z221" i="2" s="1"/>
  <c r="Y98" i="5"/>
  <c r="Y221" i="2" s="1"/>
  <c r="X98" i="5"/>
  <c r="X221" i="2" s="1"/>
  <c r="W98" i="5"/>
  <c r="W221" i="2" s="1"/>
  <c r="V98" i="5"/>
  <c r="V221" i="2" s="1"/>
  <c r="U98" i="5"/>
  <c r="U221" i="2" s="1"/>
  <c r="T98" i="5"/>
  <c r="T221" i="2" s="1"/>
  <c r="S98" i="5"/>
  <c r="S221" i="2" s="1"/>
  <c r="R98" i="5"/>
  <c r="R221" i="2" s="1"/>
  <c r="Q98" i="5"/>
  <c r="Q221" i="2" s="1"/>
  <c r="P98" i="5"/>
  <c r="P221" i="2" s="1"/>
  <c r="O98" i="5"/>
  <c r="O221" i="2" s="1"/>
  <c r="N98" i="5"/>
  <c r="N221" i="2" s="1"/>
  <c r="M98" i="5"/>
  <c r="M221" i="2" s="1"/>
  <c r="L98" i="5"/>
  <c r="L221" i="2" s="1"/>
  <c r="K98" i="5"/>
  <c r="K221" i="2" s="1"/>
  <c r="J98" i="5"/>
  <c r="J221" i="2" s="1"/>
  <c r="I98" i="5"/>
  <c r="I221" i="2" s="1"/>
  <c r="H98" i="5"/>
  <c r="H221" i="2" s="1"/>
  <c r="G98" i="5"/>
  <c r="G221" i="2" s="1"/>
  <c r="F98" i="5"/>
  <c r="F221" i="2" s="1"/>
  <c r="E98" i="5"/>
  <c r="E221" i="2" s="1"/>
  <c r="BL97" i="5"/>
  <c r="BL220" i="2" s="1"/>
  <c r="BK97" i="5"/>
  <c r="BK220" i="2" s="1"/>
  <c r="BJ97" i="5"/>
  <c r="BJ220" i="2" s="1"/>
  <c r="BI97" i="5"/>
  <c r="BI220" i="2" s="1"/>
  <c r="BH97" i="5"/>
  <c r="BH220" i="2" s="1"/>
  <c r="BG97" i="5"/>
  <c r="BG220" i="2" s="1"/>
  <c r="BF97" i="5"/>
  <c r="BF220" i="2" s="1"/>
  <c r="BE97" i="5"/>
  <c r="BE220" i="2" s="1"/>
  <c r="BD97" i="5"/>
  <c r="BD220" i="2" s="1"/>
  <c r="BC97" i="5"/>
  <c r="BC220" i="2" s="1"/>
  <c r="BB97" i="5"/>
  <c r="BB220" i="2" s="1"/>
  <c r="BA97" i="5"/>
  <c r="BA220" i="2" s="1"/>
  <c r="AZ97" i="5"/>
  <c r="AZ220" i="2" s="1"/>
  <c r="AY97" i="5"/>
  <c r="AY220" i="2" s="1"/>
  <c r="AX97" i="5"/>
  <c r="AX220" i="2" s="1"/>
  <c r="AW97" i="5"/>
  <c r="AW220" i="2" s="1"/>
  <c r="AV97" i="5"/>
  <c r="AV220" i="2" s="1"/>
  <c r="AU97" i="5"/>
  <c r="AU220" i="2" s="1"/>
  <c r="AT97" i="5"/>
  <c r="AT220" i="2" s="1"/>
  <c r="AS97" i="5"/>
  <c r="AS220" i="2" s="1"/>
  <c r="AR97" i="5"/>
  <c r="AR220" i="2" s="1"/>
  <c r="AQ97" i="5"/>
  <c r="AQ220" i="2" s="1"/>
  <c r="AP97" i="5"/>
  <c r="AP220" i="2" s="1"/>
  <c r="AO97" i="5"/>
  <c r="AO220" i="2" s="1"/>
  <c r="AN97" i="5"/>
  <c r="AN220" i="2" s="1"/>
  <c r="AM97" i="5"/>
  <c r="AM220" i="2" s="1"/>
  <c r="AL97" i="5"/>
  <c r="AL220" i="2" s="1"/>
  <c r="AK97" i="5"/>
  <c r="AK220" i="2" s="1"/>
  <c r="AJ97" i="5"/>
  <c r="AJ220" i="2" s="1"/>
  <c r="AI97" i="5"/>
  <c r="AI220" i="2" s="1"/>
  <c r="AH97" i="5"/>
  <c r="AH220" i="2" s="1"/>
  <c r="AG97" i="5"/>
  <c r="AG220" i="2" s="1"/>
  <c r="AF97" i="5"/>
  <c r="AF220" i="2" s="1"/>
  <c r="AE97" i="5"/>
  <c r="AE220" i="2" s="1"/>
  <c r="AD97" i="5"/>
  <c r="AD220" i="2" s="1"/>
  <c r="AC97" i="5"/>
  <c r="AC220" i="2" s="1"/>
  <c r="AB97" i="5"/>
  <c r="AB220" i="2" s="1"/>
  <c r="AA97" i="5"/>
  <c r="AA220" i="2" s="1"/>
  <c r="Z97" i="5"/>
  <c r="Z220" i="2" s="1"/>
  <c r="Y97" i="5"/>
  <c r="Y220" i="2" s="1"/>
  <c r="X97" i="5"/>
  <c r="X220" i="2" s="1"/>
  <c r="W97" i="5"/>
  <c r="W220" i="2" s="1"/>
  <c r="V97" i="5"/>
  <c r="V220" i="2" s="1"/>
  <c r="U97" i="5"/>
  <c r="U220" i="2" s="1"/>
  <c r="T97" i="5"/>
  <c r="T220" i="2" s="1"/>
  <c r="S97" i="5"/>
  <c r="S220" i="2" s="1"/>
  <c r="R97" i="5"/>
  <c r="R220" i="2" s="1"/>
  <c r="Q97" i="5"/>
  <c r="Q220" i="2" s="1"/>
  <c r="P97" i="5"/>
  <c r="P220" i="2" s="1"/>
  <c r="O97" i="5"/>
  <c r="O220" i="2" s="1"/>
  <c r="N97" i="5"/>
  <c r="N220" i="2" s="1"/>
  <c r="M97" i="5"/>
  <c r="M220" i="2" s="1"/>
  <c r="L97" i="5"/>
  <c r="L220" i="2" s="1"/>
  <c r="K97" i="5"/>
  <c r="K220" i="2" s="1"/>
  <c r="J97" i="5"/>
  <c r="J220" i="2" s="1"/>
  <c r="I97" i="5"/>
  <c r="I220" i="2" s="1"/>
  <c r="H97" i="5"/>
  <c r="H220" i="2" s="1"/>
  <c r="G97" i="5"/>
  <c r="G220" i="2" s="1"/>
  <c r="F97" i="5"/>
  <c r="F220" i="2" s="1"/>
  <c r="E97" i="5"/>
  <c r="E220" i="2" s="1"/>
  <c r="BL96" i="5"/>
  <c r="BL219" i="2" s="1"/>
  <c r="BK96" i="5"/>
  <c r="BK219" i="2" s="1"/>
  <c r="BJ96" i="5"/>
  <c r="BJ219" i="2" s="1"/>
  <c r="BI96" i="5"/>
  <c r="BI219" i="2" s="1"/>
  <c r="BH96" i="5"/>
  <c r="BH219" i="2" s="1"/>
  <c r="BG96" i="5"/>
  <c r="BG219" i="2" s="1"/>
  <c r="BF96" i="5"/>
  <c r="BF219" i="2" s="1"/>
  <c r="BE96" i="5"/>
  <c r="BE219" i="2" s="1"/>
  <c r="BD96" i="5"/>
  <c r="BD219" i="2" s="1"/>
  <c r="BC96" i="5"/>
  <c r="BC219" i="2" s="1"/>
  <c r="BB96" i="5"/>
  <c r="BB219" i="2" s="1"/>
  <c r="BA96" i="5"/>
  <c r="BA219" i="2" s="1"/>
  <c r="AZ96" i="5"/>
  <c r="AZ219" i="2" s="1"/>
  <c r="AY96" i="5"/>
  <c r="AY219" i="2" s="1"/>
  <c r="AX96" i="5"/>
  <c r="AX219" i="2" s="1"/>
  <c r="AW96" i="5"/>
  <c r="AW219" i="2" s="1"/>
  <c r="AV96" i="5"/>
  <c r="AV219" i="2" s="1"/>
  <c r="AU96" i="5"/>
  <c r="AU219" i="2" s="1"/>
  <c r="AT96" i="5"/>
  <c r="AT219" i="2" s="1"/>
  <c r="AS96" i="5"/>
  <c r="AS219" i="2" s="1"/>
  <c r="AR96" i="5"/>
  <c r="AR219" i="2" s="1"/>
  <c r="AQ96" i="5"/>
  <c r="AQ219" i="2" s="1"/>
  <c r="AP96" i="5"/>
  <c r="AP219" i="2" s="1"/>
  <c r="AO96" i="5"/>
  <c r="AO219" i="2" s="1"/>
  <c r="AN96" i="5"/>
  <c r="AN219" i="2" s="1"/>
  <c r="AM96" i="5"/>
  <c r="AM219" i="2" s="1"/>
  <c r="AL96" i="5"/>
  <c r="AL219" i="2" s="1"/>
  <c r="AK96" i="5"/>
  <c r="AK219" i="2" s="1"/>
  <c r="AJ96" i="5"/>
  <c r="AJ219" i="2" s="1"/>
  <c r="AI96" i="5"/>
  <c r="AI219" i="2" s="1"/>
  <c r="AH96" i="5"/>
  <c r="AH219" i="2" s="1"/>
  <c r="AG96" i="5"/>
  <c r="AG219" i="2" s="1"/>
  <c r="AF96" i="5"/>
  <c r="AF219" i="2" s="1"/>
  <c r="AE96" i="5"/>
  <c r="AE219" i="2" s="1"/>
  <c r="AD96" i="5"/>
  <c r="AD219" i="2" s="1"/>
  <c r="AC96" i="5"/>
  <c r="AC219" i="2" s="1"/>
  <c r="AB96" i="5"/>
  <c r="AB219" i="2" s="1"/>
  <c r="AA96" i="5"/>
  <c r="AA219" i="2" s="1"/>
  <c r="Z96" i="5"/>
  <c r="Z219" i="2" s="1"/>
  <c r="Y96" i="5"/>
  <c r="Y219" i="2" s="1"/>
  <c r="X96" i="5"/>
  <c r="X219" i="2" s="1"/>
  <c r="W96" i="5"/>
  <c r="W219" i="2" s="1"/>
  <c r="V96" i="5"/>
  <c r="V219" i="2" s="1"/>
  <c r="U96" i="5"/>
  <c r="U219" i="2" s="1"/>
  <c r="T96" i="5"/>
  <c r="T219" i="2" s="1"/>
  <c r="S96" i="5"/>
  <c r="S219" i="2" s="1"/>
  <c r="R96" i="5"/>
  <c r="R219" i="2" s="1"/>
  <c r="Q96" i="5"/>
  <c r="Q219" i="2" s="1"/>
  <c r="P96" i="5"/>
  <c r="P219" i="2" s="1"/>
  <c r="O96" i="5"/>
  <c r="O219" i="2" s="1"/>
  <c r="N96" i="5"/>
  <c r="N219" i="2" s="1"/>
  <c r="M96" i="5"/>
  <c r="M219" i="2" s="1"/>
  <c r="L96" i="5"/>
  <c r="L219" i="2" s="1"/>
  <c r="K96" i="5"/>
  <c r="K219" i="2" s="1"/>
  <c r="J96" i="5"/>
  <c r="J219" i="2" s="1"/>
  <c r="I96" i="5"/>
  <c r="I219" i="2" s="1"/>
  <c r="H96" i="5"/>
  <c r="H219" i="2" s="1"/>
  <c r="G96" i="5"/>
  <c r="G219" i="2" s="1"/>
  <c r="F96" i="5"/>
  <c r="F219" i="2" s="1"/>
  <c r="E96" i="5"/>
  <c r="E219" i="2" s="1"/>
  <c r="BL95" i="5"/>
  <c r="BL218" i="2" s="1"/>
  <c r="BK95" i="5"/>
  <c r="BK218" i="2" s="1"/>
  <c r="BJ95" i="5"/>
  <c r="BJ218" i="2" s="1"/>
  <c r="BI95" i="5"/>
  <c r="BI218" i="2" s="1"/>
  <c r="BH95" i="5"/>
  <c r="BH218" i="2" s="1"/>
  <c r="BG95" i="5"/>
  <c r="BG218" i="2" s="1"/>
  <c r="BF95" i="5"/>
  <c r="BF218" i="2" s="1"/>
  <c r="BE95" i="5"/>
  <c r="BE218" i="2" s="1"/>
  <c r="BD95" i="5"/>
  <c r="BD218" i="2" s="1"/>
  <c r="BC95" i="5"/>
  <c r="BC218" i="2" s="1"/>
  <c r="BB95" i="5"/>
  <c r="BB218" i="2" s="1"/>
  <c r="BA95" i="5"/>
  <c r="BA218" i="2" s="1"/>
  <c r="AZ95" i="5"/>
  <c r="AZ218" i="2" s="1"/>
  <c r="AY95" i="5"/>
  <c r="AY218" i="2" s="1"/>
  <c r="AX95" i="5"/>
  <c r="AX218" i="2" s="1"/>
  <c r="AW95" i="5"/>
  <c r="AW218" i="2" s="1"/>
  <c r="AV95" i="5"/>
  <c r="AV218" i="2" s="1"/>
  <c r="AU95" i="5"/>
  <c r="AU218" i="2" s="1"/>
  <c r="AT95" i="5"/>
  <c r="AT218" i="2" s="1"/>
  <c r="AS95" i="5"/>
  <c r="AS218" i="2" s="1"/>
  <c r="AR95" i="5"/>
  <c r="AR218" i="2" s="1"/>
  <c r="AQ95" i="5"/>
  <c r="AQ218" i="2" s="1"/>
  <c r="AP95" i="5"/>
  <c r="AP218" i="2" s="1"/>
  <c r="AO95" i="5"/>
  <c r="AO218" i="2" s="1"/>
  <c r="AN95" i="5"/>
  <c r="AN218" i="2" s="1"/>
  <c r="AM95" i="5"/>
  <c r="AM218" i="2" s="1"/>
  <c r="AL95" i="5"/>
  <c r="AL218" i="2" s="1"/>
  <c r="AK95" i="5"/>
  <c r="AK218" i="2" s="1"/>
  <c r="AJ95" i="5"/>
  <c r="AJ218" i="2" s="1"/>
  <c r="AI95" i="5"/>
  <c r="AI218" i="2" s="1"/>
  <c r="AH95" i="5"/>
  <c r="AH218" i="2" s="1"/>
  <c r="AG95" i="5"/>
  <c r="AG218" i="2" s="1"/>
  <c r="AF95" i="5"/>
  <c r="AF218" i="2" s="1"/>
  <c r="AE95" i="5"/>
  <c r="AE218" i="2" s="1"/>
  <c r="AD95" i="5"/>
  <c r="AD218" i="2" s="1"/>
  <c r="AC95" i="5"/>
  <c r="AC218" i="2" s="1"/>
  <c r="AB95" i="5"/>
  <c r="AB218" i="2" s="1"/>
  <c r="AA95" i="5"/>
  <c r="AA218" i="2" s="1"/>
  <c r="Z95" i="5"/>
  <c r="Z218" i="2" s="1"/>
  <c r="Y95" i="5"/>
  <c r="Y218" i="2" s="1"/>
  <c r="X95" i="5"/>
  <c r="X218" i="2" s="1"/>
  <c r="W95" i="5"/>
  <c r="W218" i="2" s="1"/>
  <c r="V95" i="5"/>
  <c r="V218" i="2" s="1"/>
  <c r="U95" i="5"/>
  <c r="U218" i="2" s="1"/>
  <c r="T95" i="5"/>
  <c r="T218" i="2" s="1"/>
  <c r="S95" i="5"/>
  <c r="S218" i="2" s="1"/>
  <c r="R95" i="5"/>
  <c r="R218" i="2" s="1"/>
  <c r="Q95" i="5"/>
  <c r="Q218" i="2" s="1"/>
  <c r="P95" i="5"/>
  <c r="P218" i="2" s="1"/>
  <c r="O95" i="5"/>
  <c r="O218" i="2" s="1"/>
  <c r="N95" i="5"/>
  <c r="N218" i="2" s="1"/>
  <c r="M95" i="5"/>
  <c r="M218" i="2" s="1"/>
  <c r="L95" i="5"/>
  <c r="L218" i="2" s="1"/>
  <c r="K95" i="5"/>
  <c r="K218" i="2" s="1"/>
  <c r="J95" i="5"/>
  <c r="J218" i="2" s="1"/>
  <c r="I95" i="5"/>
  <c r="I218" i="2" s="1"/>
  <c r="H95" i="5"/>
  <c r="H218" i="2" s="1"/>
  <c r="G95" i="5"/>
  <c r="G218" i="2" s="1"/>
  <c r="F95" i="5"/>
  <c r="F218" i="2" s="1"/>
  <c r="E95" i="5"/>
  <c r="E218" i="2" s="1"/>
  <c r="BL94" i="5"/>
  <c r="BL217" i="2" s="1"/>
  <c r="BK94" i="5"/>
  <c r="BK217" i="2" s="1"/>
  <c r="BJ94" i="5"/>
  <c r="BJ217" i="2" s="1"/>
  <c r="BI94" i="5"/>
  <c r="BI217" i="2" s="1"/>
  <c r="BH94" i="5"/>
  <c r="BH217" i="2" s="1"/>
  <c r="BG94" i="5"/>
  <c r="BG217" i="2" s="1"/>
  <c r="BF94" i="5"/>
  <c r="BF217" i="2" s="1"/>
  <c r="BE94" i="5"/>
  <c r="BE217" i="2" s="1"/>
  <c r="BD94" i="5"/>
  <c r="BD217" i="2" s="1"/>
  <c r="BC94" i="5"/>
  <c r="BC217" i="2" s="1"/>
  <c r="BB94" i="5"/>
  <c r="BB217" i="2" s="1"/>
  <c r="BA94" i="5"/>
  <c r="BA217" i="2" s="1"/>
  <c r="AZ94" i="5"/>
  <c r="AZ217" i="2" s="1"/>
  <c r="AY94" i="5"/>
  <c r="AY217" i="2" s="1"/>
  <c r="AX94" i="5"/>
  <c r="AX217" i="2" s="1"/>
  <c r="AW94" i="5"/>
  <c r="AW217" i="2" s="1"/>
  <c r="AV94" i="5"/>
  <c r="AV217" i="2" s="1"/>
  <c r="AU94" i="5"/>
  <c r="AU217" i="2" s="1"/>
  <c r="AT94" i="5"/>
  <c r="AT217" i="2" s="1"/>
  <c r="AS94" i="5"/>
  <c r="AS217" i="2" s="1"/>
  <c r="AR94" i="5"/>
  <c r="AR217" i="2" s="1"/>
  <c r="AQ94" i="5"/>
  <c r="AQ217" i="2" s="1"/>
  <c r="AP94" i="5"/>
  <c r="AP217" i="2" s="1"/>
  <c r="AO94" i="5"/>
  <c r="AO217" i="2" s="1"/>
  <c r="AN94" i="5"/>
  <c r="AN217" i="2" s="1"/>
  <c r="AM94" i="5"/>
  <c r="AM217" i="2" s="1"/>
  <c r="AL94" i="5"/>
  <c r="AL217" i="2" s="1"/>
  <c r="AK94" i="5"/>
  <c r="AK217" i="2" s="1"/>
  <c r="AJ94" i="5"/>
  <c r="AJ217" i="2" s="1"/>
  <c r="AI94" i="5"/>
  <c r="AI217" i="2" s="1"/>
  <c r="AH94" i="5"/>
  <c r="AH217" i="2" s="1"/>
  <c r="AG94" i="5"/>
  <c r="AG217" i="2" s="1"/>
  <c r="AF94" i="5"/>
  <c r="AF217" i="2" s="1"/>
  <c r="AE94" i="5"/>
  <c r="AE217" i="2" s="1"/>
  <c r="AD94" i="5"/>
  <c r="AD217" i="2" s="1"/>
  <c r="AC94" i="5"/>
  <c r="AC217" i="2" s="1"/>
  <c r="AB94" i="5"/>
  <c r="AB217" i="2" s="1"/>
  <c r="AA94" i="5"/>
  <c r="AA217" i="2" s="1"/>
  <c r="Z94" i="5"/>
  <c r="Z217" i="2" s="1"/>
  <c r="Y94" i="5"/>
  <c r="Y217" i="2" s="1"/>
  <c r="X94" i="5"/>
  <c r="X217" i="2" s="1"/>
  <c r="W94" i="5"/>
  <c r="W217" i="2" s="1"/>
  <c r="V94" i="5"/>
  <c r="V217" i="2" s="1"/>
  <c r="U94" i="5"/>
  <c r="U217" i="2" s="1"/>
  <c r="T94" i="5"/>
  <c r="T217" i="2" s="1"/>
  <c r="S94" i="5"/>
  <c r="S217" i="2" s="1"/>
  <c r="R94" i="5"/>
  <c r="R217" i="2" s="1"/>
  <c r="Q94" i="5"/>
  <c r="Q217" i="2" s="1"/>
  <c r="P94" i="5"/>
  <c r="P217" i="2" s="1"/>
  <c r="O94" i="5"/>
  <c r="O217" i="2" s="1"/>
  <c r="N94" i="5"/>
  <c r="N217" i="2" s="1"/>
  <c r="M94" i="5"/>
  <c r="M217" i="2" s="1"/>
  <c r="L94" i="5"/>
  <c r="L217" i="2" s="1"/>
  <c r="K94" i="5"/>
  <c r="K217" i="2" s="1"/>
  <c r="J94" i="5"/>
  <c r="J217" i="2" s="1"/>
  <c r="I94" i="5"/>
  <c r="I217" i="2" s="1"/>
  <c r="H94" i="5"/>
  <c r="H217" i="2" s="1"/>
  <c r="G94" i="5"/>
  <c r="G217" i="2" s="1"/>
  <c r="F94" i="5"/>
  <c r="F217" i="2" s="1"/>
  <c r="E94" i="5"/>
  <c r="E217" i="2" s="1"/>
  <c r="BL93" i="5"/>
  <c r="BL216" i="2" s="1"/>
  <c r="BK93" i="5"/>
  <c r="BK216" i="2" s="1"/>
  <c r="BJ93" i="5"/>
  <c r="BJ216" i="2" s="1"/>
  <c r="BI93" i="5"/>
  <c r="BI216" i="2" s="1"/>
  <c r="BH93" i="5"/>
  <c r="BH216" i="2" s="1"/>
  <c r="BG93" i="5"/>
  <c r="BG216" i="2" s="1"/>
  <c r="BF93" i="5"/>
  <c r="BF216" i="2" s="1"/>
  <c r="BE93" i="5"/>
  <c r="BE216" i="2" s="1"/>
  <c r="BD93" i="5"/>
  <c r="BD216" i="2" s="1"/>
  <c r="BC93" i="5"/>
  <c r="BC216" i="2" s="1"/>
  <c r="BB93" i="5"/>
  <c r="BB216" i="2" s="1"/>
  <c r="BA93" i="5"/>
  <c r="BA216" i="2" s="1"/>
  <c r="AZ93" i="5"/>
  <c r="AZ216" i="2" s="1"/>
  <c r="AY93" i="5"/>
  <c r="AY216" i="2" s="1"/>
  <c r="AX93" i="5"/>
  <c r="AX216" i="2" s="1"/>
  <c r="AW93" i="5"/>
  <c r="AW216" i="2" s="1"/>
  <c r="AV93" i="5"/>
  <c r="AV216" i="2" s="1"/>
  <c r="AU93" i="5"/>
  <c r="AU216" i="2" s="1"/>
  <c r="AT93" i="5"/>
  <c r="AT216" i="2" s="1"/>
  <c r="AS93" i="5"/>
  <c r="AS216" i="2" s="1"/>
  <c r="AR93" i="5"/>
  <c r="AR216" i="2" s="1"/>
  <c r="AQ93" i="5"/>
  <c r="AQ216" i="2" s="1"/>
  <c r="AP93" i="5"/>
  <c r="AP216" i="2" s="1"/>
  <c r="AO93" i="5"/>
  <c r="AO216" i="2" s="1"/>
  <c r="AN93" i="5"/>
  <c r="AN216" i="2" s="1"/>
  <c r="AM93" i="5"/>
  <c r="AM216" i="2" s="1"/>
  <c r="AL93" i="5"/>
  <c r="AL216" i="2" s="1"/>
  <c r="AK93" i="5"/>
  <c r="AK216" i="2" s="1"/>
  <c r="AJ93" i="5"/>
  <c r="AJ216" i="2" s="1"/>
  <c r="AI93" i="5"/>
  <c r="AI216" i="2" s="1"/>
  <c r="AH93" i="5"/>
  <c r="AH216" i="2" s="1"/>
  <c r="AG93" i="5"/>
  <c r="AG216" i="2" s="1"/>
  <c r="AF93" i="5"/>
  <c r="AF216" i="2" s="1"/>
  <c r="AE93" i="5"/>
  <c r="AE216" i="2" s="1"/>
  <c r="AD93" i="5"/>
  <c r="AD216" i="2" s="1"/>
  <c r="AC93" i="5"/>
  <c r="AC216" i="2" s="1"/>
  <c r="AB93" i="5"/>
  <c r="AB216" i="2" s="1"/>
  <c r="AA93" i="5"/>
  <c r="AA216" i="2" s="1"/>
  <c r="Z93" i="5"/>
  <c r="Z216" i="2" s="1"/>
  <c r="Y93" i="5"/>
  <c r="Y216" i="2" s="1"/>
  <c r="X93" i="5"/>
  <c r="X216" i="2" s="1"/>
  <c r="W93" i="5"/>
  <c r="W216" i="2" s="1"/>
  <c r="V93" i="5"/>
  <c r="V216" i="2" s="1"/>
  <c r="U93" i="5"/>
  <c r="U216" i="2" s="1"/>
  <c r="T93" i="5"/>
  <c r="T216" i="2" s="1"/>
  <c r="S93" i="5"/>
  <c r="S216" i="2" s="1"/>
  <c r="R93" i="5"/>
  <c r="R216" i="2" s="1"/>
  <c r="Q93" i="5"/>
  <c r="Q216" i="2" s="1"/>
  <c r="P93" i="5"/>
  <c r="P216" i="2" s="1"/>
  <c r="O93" i="5"/>
  <c r="O216" i="2" s="1"/>
  <c r="N93" i="5"/>
  <c r="N216" i="2" s="1"/>
  <c r="M93" i="5"/>
  <c r="M216" i="2" s="1"/>
  <c r="L93" i="5"/>
  <c r="L216" i="2" s="1"/>
  <c r="K93" i="5"/>
  <c r="K216" i="2" s="1"/>
  <c r="J93" i="5"/>
  <c r="J216" i="2" s="1"/>
  <c r="I93" i="5"/>
  <c r="I216" i="2" s="1"/>
  <c r="H93" i="5"/>
  <c r="H216" i="2" s="1"/>
  <c r="G93" i="5"/>
  <c r="G216" i="2" s="1"/>
  <c r="F93" i="5"/>
  <c r="F216" i="2" s="1"/>
  <c r="E93" i="5"/>
  <c r="E216" i="2" s="1"/>
  <c r="BL92" i="5"/>
  <c r="BL215" i="2" s="1"/>
  <c r="BK92" i="5"/>
  <c r="BK215" i="2" s="1"/>
  <c r="BJ92" i="5"/>
  <c r="BJ215" i="2" s="1"/>
  <c r="BI92" i="5"/>
  <c r="BI215" i="2" s="1"/>
  <c r="BH92" i="5"/>
  <c r="BH215" i="2" s="1"/>
  <c r="BG92" i="5"/>
  <c r="BG215" i="2" s="1"/>
  <c r="BF92" i="5"/>
  <c r="BF215" i="2" s="1"/>
  <c r="BE92" i="5"/>
  <c r="BE215" i="2" s="1"/>
  <c r="BD92" i="5"/>
  <c r="BD215" i="2" s="1"/>
  <c r="BC92" i="5"/>
  <c r="BC215" i="2" s="1"/>
  <c r="BB92" i="5"/>
  <c r="BB215" i="2" s="1"/>
  <c r="BA92" i="5"/>
  <c r="BA215" i="2" s="1"/>
  <c r="AZ92" i="5"/>
  <c r="AZ215" i="2" s="1"/>
  <c r="AY92" i="5"/>
  <c r="AY215" i="2" s="1"/>
  <c r="AX92" i="5"/>
  <c r="AX215" i="2" s="1"/>
  <c r="AW92" i="5"/>
  <c r="AW215" i="2" s="1"/>
  <c r="AV92" i="5"/>
  <c r="AV215" i="2" s="1"/>
  <c r="AU92" i="5"/>
  <c r="AU215" i="2" s="1"/>
  <c r="AT92" i="5"/>
  <c r="AT215" i="2" s="1"/>
  <c r="AS92" i="5"/>
  <c r="AS215" i="2" s="1"/>
  <c r="AR92" i="5"/>
  <c r="AR215" i="2" s="1"/>
  <c r="AQ92" i="5"/>
  <c r="AQ215" i="2" s="1"/>
  <c r="AP92" i="5"/>
  <c r="AP215" i="2" s="1"/>
  <c r="AO92" i="5"/>
  <c r="AO215" i="2" s="1"/>
  <c r="AN92" i="5"/>
  <c r="AN215" i="2" s="1"/>
  <c r="AM92" i="5"/>
  <c r="AM215" i="2" s="1"/>
  <c r="AL92" i="5"/>
  <c r="AL215" i="2" s="1"/>
  <c r="AK92" i="5"/>
  <c r="AK215" i="2" s="1"/>
  <c r="AJ92" i="5"/>
  <c r="AJ215" i="2" s="1"/>
  <c r="AI92" i="5"/>
  <c r="AI215" i="2" s="1"/>
  <c r="AH92" i="5"/>
  <c r="AH215" i="2" s="1"/>
  <c r="AG92" i="5"/>
  <c r="AG215" i="2" s="1"/>
  <c r="AF92" i="5"/>
  <c r="AF215" i="2" s="1"/>
  <c r="AE92" i="5"/>
  <c r="AE215" i="2" s="1"/>
  <c r="AD92" i="5"/>
  <c r="AD215" i="2" s="1"/>
  <c r="AC92" i="5"/>
  <c r="AC215" i="2" s="1"/>
  <c r="AB92" i="5"/>
  <c r="AB215" i="2" s="1"/>
  <c r="AA92" i="5"/>
  <c r="AA215" i="2" s="1"/>
  <c r="Z92" i="5"/>
  <c r="Z215" i="2" s="1"/>
  <c r="Y92" i="5"/>
  <c r="Y215" i="2" s="1"/>
  <c r="X92" i="5"/>
  <c r="X215" i="2" s="1"/>
  <c r="W92" i="5"/>
  <c r="W215" i="2" s="1"/>
  <c r="V92" i="5"/>
  <c r="V215" i="2" s="1"/>
  <c r="U92" i="5"/>
  <c r="U215" i="2" s="1"/>
  <c r="T92" i="5"/>
  <c r="T215" i="2" s="1"/>
  <c r="S92" i="5"/>
  <c r="S215" i="2" s="1"/>
  <c r="R92" i="5"/>
  <c r="R215" i="2" s="1"/>
  <c r="Q92" i="5"/>
  <c r="Q215" i="2" s="1"/>
  <c r="P92" i="5"/>
  <c r="P215" i="2" s="1"/>
  <c r="O92" i="5"/>
  <c r="O215" i="2" s="1"/>
  <c r="N92" i="5"/>
  <c r="N215" i="2" s="1"/>
  <c r="M92" i="5"/>
  <c r="M215" i="2" s="1"/>
  <c r="L92" i="5"/>
  <c r="L215" i="2" s="1"/>
  <c r="K92" i="5"/>
  <c r="K215" i="2" s="1"/>
  <c r="J92" i="5"/>
  <c r="J215" i="2" s="1"/>
  <c r="I92" i="5"/>
  <c r="I215" i="2" s="1"/>
  <c r="H92" i="5"/>
  <c r="H215" i="2" s="1"/>
  <c r="G92" i="5"/>
  <c r="G215" i="2" s="1"/>
  <c r="F92" i="5"/>
  <c r="F215" i="2" s="1"/>
  <c r="E92" i="5"/>
  <c r="E215" i="2" s="1"/>
  <c r="BL91" i="5"/>
  <c r="BL214" i="2" s="1"/>
  <c r="BK91" i="5"/>
  <c r="BK214" i="2" s="1"/>
  <c r="BJ91" i="5"/>
  <c r="BJ214" i="2" s="1"/>
  <c r="BI91" i="5"/>
  <c r="BI214" i="2" s="1"/>
  <c r="BH91" i="5"/>
  <c r="BH214" i="2" s="1"/>
  <c r="BG91" i="5"/>
  <c r="BG214" i="2" s="1"/>
  <c r="BF91" i="5"/>
  <c r="BF214" i="2" s="1"/>
  <c r="BE91" i="5"/>
  <c r="BE214" i="2" s="1"/>
  <c r="BD91" i="5"/>
  <c r="BD214" i="2" s="1"/>
  <c r="BC91" i="5"/>
  <c r="BC214" i="2" s="1"/>
  <c r="BB91" i="5"/>
  <c r="BB214" i="2" s="1"/>
  <c r="BA91" i="5"/>
  <c r="BA214" i="2" s="1"/>
  <c r="AZ91" i="5"/>
  <c r="AZ214" i="2" s="1"/>
  <c r="AY91" i="5"/>
  <c r="AY214" i="2" s="1"/>
  <c r="AX91" i="5"/>
  <c r="AX214" i="2" s="1"/>
  <c r="AW91" i="5"/>
  <c r="AW214" i="2" s="1"/>
  <c r="AV91" i="5"/>
  <c r="AV214" i="2" s="1"/>
  <c r="AU91" i="5"/>
  <c r="AU214" i="2" s="1"/>
  <c r="AT91" i="5"/>
  <c r="AT214" i="2" s="1"/>
  <c r="AS91" i="5"/>
  <c r="AS214" i="2" s="1"/>
  <c r="AR91" i="5"/>
  <c r="AR214" i="2" s="1"/>
  <c r="AQ91" i="5"/>
  <c r="AQ214" i="2" s="1"/>
  <c r="AP91" i="5"/>
  <c r="AP214" i="2" s="1"/>
  <c r="AO91" i="5"/>
  <c r="AO214" i="2" s="1"/>
  <c r="AN91" i="5"/>
  <c r="AN214" i="2" s="1"/>
  <c r="AM91" i="5"/>
  <c r="AM214" i="2" s="1"/>
  <c r="AL91" i="5"/>
  <c r="AL214" i="2" s="1"/>
  <c r="AK91" i="5"/>
  <c r="AK214" i="2" s="1"/>
  <c r="AJ91" i="5"/>
  <c r="AJ214" i="2" s="1"/>
  <c r="AI91" i="5"/>
  <c r="AI214" i="2" s="1"/>
  <c r="AH91" i="5"/>
  <c r="AH214" i="2" s="1"/>
  <c r="AG91" i="5"/>
  <c r="AG214" i="2" s="1"/>
  <c r="AF91" i="5"/>
  <c r="AF214" i="2" s="1"/>
  <c r="AE91" i="5"/>
  <c r="AE214" i="2" s="1"/>
  <c r="AD91" i="5"/>
  <c r="AD214" i="2" s="1"/>
  <c r="AC91" i="5"/>
  <c r="AC214" i="2" s="1"/>
  <c r="AB91" i="5"/>
  <c r="AB214" i="2" s="1"/>
  <c r="AA91" i="5"/>
  <c r="AA214" i="2" s="1"/>
  <c r="Z91" i="5"/>
  <c r="Z214" i="2" s="1"/>
  <c r="Y91" i="5"/>
  <c r="Y214" i="2" s="1"/>
  <c r="X91" i="5"/>
  <c r="X214" i="2" s="1"/>
  <c r="W91" i="5"/>
  <c r="W214" i="2" s="1"/>
  <c r="V91" i="5"/>
  <c r="V214" i="2" s="1"/>
  <c r="U91" i="5"/>
  <c r="U214" i="2" s="1"/>
  <c r="T91" i="5"/>
  <c r="T214" i="2" s="1"/>
  <c r="S91" i="5"/>
  <c r="S214" i="2" s="1"/>
  <c r="R91" i="5"/>
  <c r="R214" i="2" s="1"/>
  <c r="Q91" i="5"/>
  <c r="Q214" i="2" s="1"/>
  <c r="P91" i="5"/>
  <c r="P214" i="2" s="1"/>
  <c r="O91" i="5"/>
  <c r="O214" i="2" s="1"/>
  <c r="N91" i="5"/>
  <c r="N214" i="2" s="1"/>
  <c r="M91" i="5"/>
  <c r="M214" i="2" s="1"/>
  <c r="L91" i="5"/>
  <c r="L214" i="2" s="1"/>
  <c r="K91" i="5"/>
  <c r="K214" i="2" s="1"/>
  <c r="J91" i="5"/>
  <c r="J214" i="2" s="1"/>
  <c r="I91" i="5"/>
  <c r="I214" i="2" s="1"/>
  <c r="H91" i="5"/>
  <c r="H214" i="2" s="1"/>
  <c r="G91" i="5"/>
  <c r="G214" i="2" s="1"/>
  <c r="F91" i="5"/>
  <c r="F214" i="2" s="1"/>
  <c r="E91" i="5"/>
  <c r="E214" i="2" s="1"/>
  <c r="BL90" i="5"/>
  <c r="BL213" i="2" s="1"/>
  <c r="BK90" i="5"/>
  <c r="BK213" i="2" s="1"/>
  <c r="BJ90" i="5"/>
  <c r="BJ213" i="2" s="1"/>
  <c r="BI90" i="5"/>
  <c r="BI213" i="2" s="1"/>
  <c r="BH90" i="5"/>
  <c r="BH213" i="2" s="1"/>
  <c r="BG90" i="5"/>
  <c r="BG213" i="2" s="1"/>
  <c r="BF90" i="5"/>
  <c r="BF213" i="2" s="1"/>
  <c r="BE90" i="5"/>
  <c r="BE213" i="2" s="1"/>
  <c r="BD90" i="5"/>
  <c r="BD213" i="2" s="1"/>
  <c r="BC90" i="5"/>
  <c r="BC213" i="2" s="1"/>
  <c r="BB90" i="5"/>
  <c r="BB213" i="2" s="1"/>
  <c r="BA90" i="5"/>
  <c r="BA213" i="2" s="1"/>
  <c r="AZ90" i="5"/>
  <c r="AZ213" i="2" s="1"/>
  <c r="AY90" i="5"/>
  <c r="AY213" i="2" s="1"/>
  <c r="AX90" i="5"/>
  <c r="AX213" i="2" s="1"/>
  <c r="AW90" i="5"/>
  <c r="AW213" i="2" s="1"/>
  <c r="AV90" i="5"/>
  <c r="AV213" i="2" s="1"/>
  <c r="AU90" i="5"/>
  <c r="AU213" i="2" s="1"/>
  <c r="AT90" i="5"/>
  <c r="AT213" i="2" s="1"/>
  <c r="AS90" i="5"/>
  <c r="AS213" i="2" s="1"/>
  <c r="AR90" i="5"/>
  <c r="AR213" i="2" s="1"/>
  <c r="AQ90" i="5"/>
  <c r="AQ213" i="2" s="1"/>
  <c r="AP90" i="5"/>
  <c r="AP213" i="2" s="1"/>
  <c r="AO90" i="5"/>
  <c r="AO213" i="2" s="1"/>
  <c r="AN90" i="5"/>
  <c r="AN213" i="2" s="1"/>
  <c r="AM90" i="5"/>
  <c r="AM213" i="2" s="1"/>
  <c r="AL90" i="5"/>
  <c r="AL213" i="2" s="1"/>
  <c r="AK90" i="5"/>
  <c r="AK213" i="2" s="1"/>
  <c r="AJ90" i="5"/>
  <c r="AJ213" i="2" s="1"/>
  <c r="AI90" i="5"/>
  <c r="AI213" i="2" s="1"/>
  <c r="AH90" i="5"/>
  <c r="AH213" i="2" s="1"/>
  <c r="AG90" i="5"/>
  <c r="AG213" i="2" s="1"/>
  <c r="AF90" i="5"/>
  <c r="AF213" i="2" s="1"/>
  <c r="AE90" i="5"/>
  <c r="AE213" i="2" s="1"/>
  <c r="AD90" i="5"/>
  <c r="AD213" i="2" s="1"/>
  <c r="AC90" i="5"/>
  <c r="AC213" i="2" s="1"/>
  <c r="AB90" i="5"/>
  <c r="AB213" i="2" s="1"/>
  <c r="AA90" i="5"/>
  <c r="AA213" i="2" s="1"/>
  <c r="Z90" i="5"/>
  <c r="Z213" i="2" s="1"/>
  <c r="Y90" i="5"/>
  <c r="Y213" i="2" s="1"/>
  <c r="X90" i="5"/>
  <c r="X213" i="2" s="1"/>
  <c r="W90" i="5"/>
  <c r="W213" i="2" s="1"/>
  <c r="V90" i="5"/>
  <c r="V213" i="2" s="1"/>
  <c r="U90" i="5"/>
  <c r="U213" i="2" s="1"/>
  <c r="T90" i="5"/>
  <c r="T213" i="2" s="1"/>
  <c r="S90" i="5"/>
  <c r="S213" i="2" s="1"/>
  <c r="R90" i="5"/>
  <c r="R213" i="2" s="1"/>
  <c r="Q90" i="5"/>
  <c r="Q213" i="2" s="1"/>
  <c r="P90" i="5"/>
  <c r="P213" i="2" s="1"/>
  <c r="O90" i="5"/>
  <c r="O213" i="2" s="1"/>
  <c r="N90" i="5"/>
  <c r="N213" i="2" s="1"/>
  <c r="M90" i="5"/>
  <c r="M213" i="2" s="1"/>
  <c r="L90" i="5"/>
  <c r="L213" i="2" s="1"/>
  <c r="K90" i="5"/>
  <c r="K213" i="2" s="1"/>
  <c r="J90" i="5"/>
  <c r="J213" i="2" s="1"/>
  <c r="I90" i="5"/>
  <c r="I213" i="2" s="1"/>
  <c r="H90" i="5"/>
  <c r="H213" i="2" s="1"/>
  <c r="G90" i="5"/>
  <c r="G213" i="2" s="1"/>
  <c r="F90" i="5"/>
  <c r="F213" i="2" s="1"/>
  <c r="E90" i="5"/>
  <c r="E213" i="2" s="1"/>
  <c r="BL89" i="5"/>
  <c r="BL212" i="2" s="1"/>
  <c r="BK89" i="5"/>
  <c r="BK212" i="2" s="1"/>
  <c r="BJ89" i="5"/>
  <c r="BJ212" i="2" s="1"/>
  <c r="BI89" i="5"/>
  <c r="BI212" i="2" s="1"/>
  <c r="BH89" i="5"/>
  <c r="BH212" i="2" s="1"/>
  <c r="BG89" i="5"/>
  <c r="BG212" i="2" s="1"/>
  <c r="BF89" i="5"/>
  <c r="BF212" i="2" s="1"/>
  <c r="BE89" i="5"/>
  <c r="BE212" i="2" s="1"/>
  <c r="BD89" i="5"/>
  <c r="BD212" i="2" s="1"/>
  <c r="BC89" i="5"/>
  <c r="BC212" i="2" s="1"/>
  <c r="BB89" i="5"/>
  <c r="BB212" i="2" s="1"/>
  <c r="BA89" i="5"/>
  <c r="BA212" i="2" s="1"/>
  <c r="AZ89" i="5"/>
  <c r="AZ212" i="2" s="1"/>
  <c r="AY89" i="5"/>
  <c r="AY212" i="2" s="1"/>
  <c r="AX89" i="5"/>
  <c r="AX212" i="2" s="1"/>
  <c r="AW89" i="5"/>
  <c r="AW212" i="2" s="1"/>
  <c r="AV89" i="5"/>
  <c r="AV212" i="2" s="1"/>
  <c r="AU89" i="5"/>
  <c r="AU212" i="2" s="1"/>
  <c r="AT89" i="5"/>
  <c r="AT212" i="2" s="1"/>
  <c r="AS89" i="5"/>
  <c r="AS212" i="2" s="1"/>
  <c r="AR89" i="5"/>
  <c r="AR212" i="2" s="1"/>
  <c r="AQ89" i="5"/>
  <c r="AQ212" i="2" s="1"/>
  <c r="AP89" i="5"/>
  <c r="AP212" i="2" s="1"/>
  <c r="AO89" i="5"/>
  <c r="AO212" i="2" s="1"/>
  <c r="AN89" i="5"/>
  <c r="AN212" i="2" s="1"/>
  <c r="AM89" i="5"/>
  <c r="AM212" i="2" s="1"/>
  <c r="AL89" i="5"/>
  <c r="AL212" i="2" s="1"/>
  <c r="AK89" i="5"/>
  <c r="AK212" i="2" s="1"/>
  <c r="AJ89" i="5"/>
  <c r="AJ212" i="2" s="1"/>
  <c r="AI89" i="5"/>
  <c r="AI212" i="2" s="1"/>
  <c r="AH89" i="5"/>
  <c r="AH212" i="2" s="1"/>
  <c r="AG89" i="5"/>
  <c r="AG212" i="2" s="1"/>
  <c r="AF89" i="5"/>
  <c r="AF212" i="2" s="1"/>
  <c r="AE89" i="5"/>
  <c r="AE212" i="2" s="1"/>
  <c r="AD89" i="5"/>
  <c r="AD212" i="2" s="1"/>
  <c r="AC89" i="5"/>
  <c r="AC212" i="2" s="1"/>
  <c r="AB89" i="5"/>
  <c r="AB212" i="2" s="1"/>
  <c r="AA89" i="5"/>
  <c r="AA212" i="2" s="1"/>
  <c r="Z89" i="5"/>
  <c r="Z212" i="2" s="1"/>
  <c r="Y89" i="5"/>
  <c r="Y212" i="2" s="1"/>
  <c r="X89" i="5"/>
  <c r="X212" i="2" s="1"/>
  <c r="W89" i="5"/>
  <c r="W212" i="2" s="1"/>
  <c r="V89" i="5"/>
  <c r="V212" i="2" s="1"/>
  <c r="U89" i="5"/>
  <c r="U212" i="2" s="1"/>
  <c r="T89" i="5"/>
  <c r="T212" i="2" s="1"/>
  <c r="S89" i="5"/>
  <c r="S212" i="2" s="1"/>
  <c r="R89" i="5"/>
  <c r="R212" i="2" s="1"/>
  <c r="Q89" i="5"/>
  <c r="Q212" i="2" s="1"/>
  <c r="P89" i="5"/>
  <c r="P212" i="2" s="1"/>
  <c r="O89" i="5"/>
  <c r="O212" i="2" s="1"/>
  <c r="N89" i="5"/>
  <c r="N212" i="2" s="1"/>
  <c r="M89" i="5"/>
  <c r="M212" i="2" s="1"/>
  <c r="L89" i="5"/>
  <c r="L212" i="2" s="1"/>
  <c r="K89" i="5"/>
  <c r="K212" i="2" s="1"/>
  <c r="J89" i="5"/>
  <c r="J212" i="2" s="1"/>
  <c r="I89" i="5"/>
  <c r="I212" i="2" s="1"/>
  <c r="H89" i="5"/>
  <c r="H212" i="2" s="1"/>
  <c r="G89" i="5"/>
  <c r="G212" i="2" s="1"/>
  <c r="F89" i="5"/>
  <c r="F212" i="2" s="1"/>
  <c r="E89" i="5"/>
  <c r="E212" i="2" s="1"/>
  <c r="BL88" i="5"/>
  <c r="BL211" i="2" s="1"/>
  <c r="BK88" i="5"/>
  <c r="BK211" i="2" s="1"/>
  <c r="BJ88" i="5"/>
  <c r="BJ211" i="2" s="1"/>
  <c r="BI88" i="5"/>
  <c r="BI211" i="2" s="1"/>
  <c r="BH88" i="5"/>
  <c r="BH211" i="2" s="1"/>
  <c r="BG88" i="5"/>
  <c r="BG211" i="2" s="1"/>
  <c r="BF88" i="5"/>
  <c r="BF211" i="2" s="1"/>
  <c r="BE88" i="5"/>
  <c r="BE211" i="2" s="1"/>
  <c r="BD88" i="5"/>
  <c r="BD211" i="2" s="1"/>
  <c r="BC88" i="5"/>
  <c r="BC211" i="2" s="1"/>
  <c r="BB88" i="5"/>
  <c r="BB211" i="2" s="1"/>
  <c r="BA88" i="5"/>
  <c r="BA211" i="2" s="1"/>
  <c r="AZ88" i="5"/>
  <c r="AZ211" i="2" s="1"/>
  <c r="AY88" i="5"/>
  <c r="AY211" i="2" s="1"/>
  <c r="AX88" i="5"/>
  <c r="AX211" i="2" s="1"/>
  <c r="AW88" i="5"/>
  <c r="AW211" i="2" s="1"/>
  <c r="AV88" i="5"/>
  <c r="AV211" i="2" s="1"/>
  <c r="AU88" i="5"/>
  <c r="AU211" i="2" s="1"/>
  <c r="AT88" i="5"/>
  <c r="AT211" i="2" s="1"/>
  <c r="AS88" i="5"/>
  <c r="AS211" i="2" s="1"/>
  <c r="AR88" i="5"/>
  <c r="AR211" i="2" s="1"/>
  <c r="AQ88" i="5"/>
  <c r="AQ211" i="2" s="1"/>
  <c r="AP88" i="5"/>
  <c r="AP211" i="2" s="1"/>
  <c r="AO88" i="5"/>
  <c r="AO211" i="2" s="1"/>
  <c r="AN88" i="5"/>
  <c r="AN211" i="2" s="1"/>
  <c r="AM88" i="5"/>
  <c r="AM211" i="2" s="1"/>
  <c r="AL88" i="5"/>
  <c r="AL211" i="2" s="1"/>
  <c r="AK88" i="5"/>
  <c r="AK211" i="2" s="1"/>
  <c r="AJ88" i="5"/>
  <c r="AJ211" i="2" s="1"/>
  <c r="AI88" i="5"/>
  <c r="AI211" i="2" s="1"/>
  <c r="AH88" i="5"/>
  <c r="AH211" i="2" s="1"/>
  <c r="AG88" i="5"/>
  <c r="AG211" i="2" s="1"/>
  <c r="AF88" i="5"/>
  <c r="AF211" i="2" s="1"/>
  <c r="AE88" i="5"/>
  <c r="AE211" i="2" s="1"/>
  <c r="AD88" i="5"/>
  <c r="AD211" i="2" s="1"/>
  <c r="AC88" i="5"/>
  <c r="AC211" i="2" s="1"/>
  <c r="AB88" i="5"/>
  <c r="AB211" i="2" s="1"/>
  <c r="AA88" i="5"/>
  <c r="AA211" i="2" s="1"/>
  <c r="Z88" i="5"/>
  <c r="Z211" i="2" s="1"/>
  <c r="Y88" i="5"/>
  <c r="Y211" i="2" s="1"/>
  <c r="X88" i="5"/>
  <c r="X211" i="2" s="1"/>
  <c r="W88" i="5"/>
  <c r="W211" i="2" s="1"/>
  <c r="V88" i="5"/>
  <c r="V211" i="2" s="1"/>
  <c r="U88" i="5"/>
  <c r="U211" i="2" s="1"/>
  <c r="T88" i="5"/>
  <c r="T211" i="2" s="1"/>
  <c r="S88" i="5"/>
  <c r="S211" i="2" s="1"/>
  <c r="R88" i="5"/>
  <c r="R211" i="2" s="1"/>
  <c r="Q88" i="5"/>
  <c r="Q211" i="2" s="1"/>
  <c r="P88" i="5"/>
  <c r="P211" i="2" s="1"/>
  <c r="O88" i="5"/>
  <c r="O211" i="2" s="1"/>
  <c r="N88" i="5"/>
  <c r="N211" i="2" s="1"/>
  <c r="M88" i="5"/>
  <c r="M211" i="2" s="1"/>
  <c r="L88" i="5"/>
  <c r="L211" i="2" s="1"/>
  <c r="K88" i="5"/>
  <c r="K211" i="2" s="1"/>
  <c r="J88" i="5"/>
  <c r="J211" i="2" s="1"/>
  <c r="I88" i="5"/>
  <c r="I211" i="2" s="1"/>
  <c r="H88" i="5"/>
  <c r="H211" i="2" s="1"/>
  <c r="G88" i="5"/>
  <c r="G211" i="2" s="1"/>
  <c r="F88" i="5"/>
  <c r="F211" i="2" s="1"/>
  <c r="E88" i="5"/>
  <c r="E211" i="2" s="1"/>
  <c r="BL87" i="5"/>
  <c r="BL210" i="2" s="1"/>
  <c r="BK87" i="5"/>
  <c r="BK210" i="2" s="1"/>
  <c r="BJ87" i="5"/>
  <c r="BJ210" i="2" s="1"/>
  <c r="BI87" i="5"/>
  <c r="BI210" i="2" s="1"/>
  <c r="BH87" i="5"/>
  <c r="BH210" i="2" s="1"/>
  <c r="BG87" i="5"/>
  <c r="BG210" i="2" s="1"/>
  <c r="BF87" i="5"/>
  <c r="BF210" i="2" s="1"/>
  <c r="BE87" i="5"/>
  <c r="BE210" i="2" s="1"/>
  <c r="BD87" i="5"/>
  <c r="BD210" i="2" s="1"/>
  <c r="BC87" i="5"/>
  <c r="BC210" i="2" s="1"/>
  <c r="BB87" i="5"/>
  <c r="BB210" i="2" s="1"/>
  <c r="BA87" i="5"/>
  <c r="BA210" i="2" s="1"/>
  <c r="AZ87" i="5"/>
  <c r="AZ210" i="2" s="1"/>
  <c r="AY87" i="5"/>
  <c r="AY210" i="2" s="1"/>
  <c r="AX87" i="5"/>
  <c r="AX210" i="2" s="1"/>
  <c r="AW87" i="5"/>
  <c r="AW210" i="2" s="1"/>
  <c r="AV87" i="5"/>
  <c r="AV210" i="2" s="1"/>
  <c r="AU87" i="5"/>
  <c r="AU210" i="2" s="1"/>
  <c r="AT87" i="5"/>
  <c r="AT210" i="2" s="1"/>
  <c r="AS87" i="5"/>
  <c r="AS210" i="2" s="1"/>
  <c r="AR87" i="5"/>
  <c r="AR210" i="2" s="1"/>
  <c r="AQ87" i="5"/>
  <c r="AQ210" i="2" s="1"/>
  <c r="AP87" i="5"/>
  <c r="AP210" i="2" s="1"/>
  <c r="AO87" i="5"/>
  <c r="AO210" i="2" s="1"/>
  <c r="AN87" i="5"/>
  <c r="AN210" i="2" s="1"/>
  <c r="AM87" i="5"/>
  <c r="AM210" i="2" s="1"/>
  <c r="AL87" i="5"/>
  <c r="AL210" i="2" s="1"/>
  <c r="AK87" i="5"/>
  <c r="AK210" i="2" s="1"/>
  <c r="AJ87" i="5"/>
  <c r="AJ210" i="2" s="1"/>
  <c r="AI87" i="5"/>
  <c r="AI210" i="2" s="1"/>
  <c r="AH87" i="5"/>
  <c r="AH210" i="2" s="1"/>
  <c r="AG87" i="5"/>
  <c r="AG210" i="2" s="1"/>
  <c r="AF87" i="5"/>
  <c r="AF210" i="2" s="1"/>
  <c r="AE87" i="5"/>
  <c r="AE210" i="2" s="1"/>
  <c r="AD87" i="5"/>
  <c r="AD210" i="2" s="1"/>
  <c r="AC87" i="5"/>
  <c r="AC210" i="2" s="1"/>
  <c r="AB87" i="5"/>
  <c r="AB210" i="2" s="1"/>
  <c r="AA87" i="5"/>
  <c r="AA210" i="2" s="1"/>
  <c r="Z87" i="5"/>
  <c r="Z210" i="2" s="1"/>
  <c r="Y87" i="5"/>
  <c r="Y210" i="2" s="1"/>
  <c r="X87" i="5"/>
  <c r="X210" i="2" s="1"/>
  <c r="W87" i="5"/>
  <c r="W210" i="2" s="1"/>
  <c r="V87" i="5"/>
  <c r="V210" i="2" s="1"/>
  <c r="U87" i="5"/>
  <c r="U210" i="2" s="1"/>
  <c r="T87" i="5"/>
  <c r="T210" i="2" s="1"/>
  <c r="S87" i="5"/>
  <c r="S210" i="2" s="1"/>
  <c r="R87" i="5"/>
  <c r="R210" i="2" s="1"/>
  <c r="Q87" i="5"/>
  <c r="Q210" i="2" s="1"/>
  <c r="P87" i="5"/>
  <c r="P210" i="2" s="1"/>
  <c r="O87" i="5"/>
  <c r="O210" i="2" s="1"/>
  <c r="N87" i="5"/>
  <c r="N210" i="2" s="1"/>
  <c r="M87" i="5"/>
  <c r="M210" i="2" s="1"/>
  <c r="L87" i="5"/>
  <c r="L210" i="2" s="1"/>
  <c r="K87" i="5"/>
  <c r="K210" i="2" s="1"/>
  <c r="J87" i="5"/>
  <c r="J210" i="2" s="1"/>
  <c r="I87" i="5"/>
  <c r="I210" i="2" s="1"/>
  <c r="H87" i="5"/>
  <c r="H210" i="2" s="1"/>
  <c r="G87" i="5"/>
  <c r="G210" i="2" s="1"/>
  <c r="F87" i="5"/>
  <c r="F210" i="2" s="1"/>
  <c r="E87" i="5"/>
  <c r="E210" i="2" s="1"/>
  <c r="BL86" i="5"/>
  <c r="BL209" i="2" s="1"/>
  <c r="BK86" i="5"/>
  <c r="BK209" i="2" s="1"/>
  <c r="BJ86" i="5"/>
  <c r="BJ209" i="2" s="1"/>
  <c r="BI86" i="5"/>
  <c r="BI209" i="2" s="1"/>
  <c r="BH86" i="5"/>
  <c r="BH209" i="2" s="1"/>
  <c r="BG86" i="5"/>
  <c r="BG209" i="2" s="1"/>
  <c r="BF86" i="5"/>
  <c r="BF209" i="2" s="1"/>
  <c r="BE86" i="5"/>
  <c r="BE209" i="2" s="1"/>
  <c r="BD86" i="5"/>
  <c r="BD209" i="2" s="1"/>
  <c r="BC86" i="5"/>
  <c r="BC209" i="2" s="1"/>
  <c r="BB86" i="5"/>
  <c r="BB209" i="2" s="1"/>
  <c r="BA86" i="5"/>
  <c r="BA209" i="2" s="1"/>
  <c r="AZ86" i="5"/>
  <c r="AZ209" i="2" s="1"/>
  <c r="AY86" i="5"/>
  <c r="AY209" i="2" s="1"/>
  <c r="AX86" i="5"/>
  <c r="AX209" i="2" s="1"/>
  <c r="AW86" i="5"/>
  <c r="AW209" i="2" s="1"/>
  <c r="AV86" i="5"/>
  <c r="AV209" i="2" s="1"/>
  <c r="AU86" i="5"/>
  <c r="AU209" i="2" s="1"/>
  <c r="AT86" i="5"/>
  <c r="AT209" i="2" s="1"/>
  <c r="AS86" i="5"/>
  <c r="AS209" i="2" s="1"/>
  <c r="AR86" i="5"/>
  <c r="AR209" i="2" s="1"/>
  <c r="AQ86" i="5"/>
  <c r="AQ209" i="2" s="1"/>
  <c r="AP86" i="5"/>
  <c r="AP209" i="2" s="1"/>
  <c r="AO86" i="5"/>
  <c r="AO209" i="2" s="1"/>
  <c r="AN86" i="5"/>
  <c r="AN209" i="2" s="1"/>
  <c r="AM86" i="5"/>
  <c r="AM209" i="2" s="1"/>
  <c r="AL86" i="5"/>
  <c r="AL209" i="2" s="1"/>
  <c r="AK86" i="5"/>
  <c r="AK209" i="2" s="1"/>
  <c r="AJ86" i="5"/>
  <c r="AJ209" i="2" s="1"/>
  <c r="AI86" i="5"/>
  <c r="AI209" i="2" s="1"/>
  <c r="AH86" i="5"/>
  <c r="AH209" i="2" s="1"/>
  <c r="AG86" i="5"/>
  <c r="AG209" i="2" s="1"/>
  <c r="AF86" i="5"/>
  <c r="AF209" i="2" s="1"/>
  <c r="AE86" i="5"/>
  <c r="AE209" i="2" s="1"/>
  <c r="AD86" i="5"/>
  <c r="AD209" i="2" s="1"/>
  <c r="AC86" i="5"/>
  <c r="AC209" i="2" s="1"/>
  <c r="AB86" i="5"/>
  <c r="AB209" i="2" s="1"/>
  <c r="AA86" i="5"/>
  <c r="AA209" i="2" s="1"/>
  <c r="Z86" i="5"/>
  <c r="Z209" i="2" s="1"/>
  <c r="Y86" i="5"/>
  <c r="Y209" i="2" s="1"/>
  <c r="X86" i="5"/>
  <c r="X209" i="2" s="1"/>
  <c r="W86" i="5"/>
  <c r="W209" i="2" s="1"/>
  <c r="V86" i="5"/>
  <c r="V209" i="2" s="1"/>
  <c r="U86" i="5"/>
  <c r="U209" i="2" s="1"/>
  <c r="T86" i="5"/>
  <c r="T209" i="2" s="1"/>
  <c r="S86" i="5"/>
  <c r="S209" i="2" s="1"/>
  <c r="R86" i="5"/>
  <c r="R209" i="2" s="1"/>
  <c r="Q86" i="5"/>
  <c r="Q209" i="2" s="1"/>
  <c r="P86" i="5"/>
  <c r="P209" i="2" s="1"/>
  <c r="O86" i="5"/>
  <c r="O209" i="2" s="1"/>
  <c r="N86" i="5"/>
  <c r="N209" i="2" s="1"/>
  <c r="M86" i="5"/>
  <c r="M209" i="2" s="1"/>
  <c r="L86" i="5"/>
  <c r="L209" i="2" s="1"/>
  <c r="K86" i="5"/>
  <c r="K209" i="2" s="1"/>
  <c r="J86" i="5"/>
  <c r="J209" i="2" s="1"/>
  <c r="I86" i="5"/>
  <c r="I209" i="2" s="1"/>
  <c r="H86" i="5"/>
  <c r="H209" i="2" s="1"/>
  <c r="G86" i="5"/>
  <c r="G209" i="2" s="1"/>
  <c r="F86" i="5"/>
  <c r="F209" i="2" s="1"/>
  <c r="E86" i="5"/>
  <c r="E209" i="2" s="1"/>
  <c r="BL85" i="5"/>
  <c r="BL208" i="2" s="1"/>
  <c r="BK85" i="5"/>
  <c r="BK208" i="2" s="1"/>
  <c r="BJ85" i="5"/>
  <c r="BJ208" i="2" s="1"/>
  <c r="BI85" i="5"/>
  <c r="BI208" i="2" s="1"/>
  <c r="BH85" i="5"/>
  <c r="BH208" i="2" s="1"/>
  <c r="BG85" i="5"/>
  <c r="BG208" i="2" s="1"/>
  <c r="BF85" i="5"/>
  <c r="BF208" i="2" s="1"/>
  <c r="BE85" i="5"/>
  <c r="BE208" i="2" s="1"/>
  <c r="BD85" i="5"/>
  <c r="BD208" i="2" s="1"/>
  <c r="BC85" i="5"/>
  <c r="BC208" i="2" s="1"/>
  <c r="BB85" i="5"/>
  <c r="BB208" i="2" s="1"/>
  <c r="BA85" i="5"/>
  <c r="BA208" i="2" s="1"/>
  <c r="AZ85" i="5"/>
  <c r="AZ208" i="2" s="1"/>
  <c r="AY85" i="5"/>
  <c r="AY208" i="2" s="1"/>
  <c r="AX85" i="5"/>
  <c r="AX208" i="2" s="1"/>
  <c r="AW85" i="5"/>
  <c r="AW208" i="2" s="1"/>
  <c r="AV85" i="5"/>
  <c r="AV208" i="2" s="1"/>
  <c r="AU85" i="5"/>
  <c r="AU208" i="2" s="1"/>
  <c r="AT85" i="5"/>
  <c r="AT208" i="2" s="1"/>
  <c r="AS85" i="5"/>
  <c r="AS208" i="2" s="1"/>
  <c r="AR85" i="5"/>
  <c r="AR208" i="2" s="1"/>
  <c r="AQ85" i="5"/>
  <c r="AQ208" i="2" s="1"/>
  <c r="AP85" i="5"/>
  <c r="AP208" i="2" s="1"/>
  <c r="AO85" i="5"/>
  <c r="AO208" i="2" s="1"/>
  <c r="AN85" i="5"/>
  <c r="AN208" i="2" s="1"/>
  <c r="AM85" i="5"/>
  <c r="AM208" i="2" s="1"/>
  <c r="AL85" i="5"/>
  <c r="AL208" i="2" s="1"/>
  <c r="AK85" i="5"/>
  <c r="AK208" i="2" s="1"/>
  <c r="AJ85" i="5"/>
  <c r="AJ208" i="2" s="1"/>
  <c r="AI85" i="5"/>
  <c r="AI208" i="2" s="1"/>
  <c r="AH85" i="5"/>
  <c r="AH208" i="2" s="1"/>
  <c r="AG85" i="5"/>
  <c r="AG208" i="2" s="1"/>
  <c r="AF85" i="5"/>
  <c r="AF208" i="2" s="1"/>
  <c r="AE85" i="5"/>
  <c r="AE208" i="2" s="1"/>
  <c r="AD85" i="5"/>
  <c r="AD208" i="2" s="1"/>
  <c r="AC85" i="5"/>
  <c r="AC208" i="2" s="1"/>
  <c r="AB85" i="5"/>
  <c r="AB208" i="2" s="1"/>
  <c r="AA85" i="5"/>
  <c r="AA208" i="2" s="1"/>
  <c r="Z85" i="5"/>
  <c r="Z208" i="2" s="1"/>
  <c r="Y85" i="5"/>
  <c r="Y208" i="2" s="1"/>
  <c r="X85" i="5"/>
  <c r="X208" i="2" s="1"/>
  <c r="W85" i="5"/>
  <c r="W208" i="2" s="1"/>
  <c r="V85" i="5"/>
  <c r="V208" i="2" s="1"/>
  <c r="U85" i="5"/>
  <c r="U208" i="2" s="1"/>
  <c r="T85" i="5"/>
  <c r="T208" i="2" s="1"/>
  <c r="S85" i="5"/>
  <c r="S208" i="2" s="1"/>
  <c r="R85" i="5"/>
  <c r="R208" i="2" s="1"/>
  <c r="Q85" i="5"/>
  <c r="Q208" i="2" s="1"/>
  <c r="P85" i="5"/>
  <c r="P208" i="2" s="1"/>
  <c r="O85" i="5"/>
  <c r="O208" i="2" s="1"/>
  <c r="N85" i="5"/>
  <c r="N208" i="2" s="1"/>
  <c r="M85" i="5"/>
  <c r="M208" i="2" s="1"/>
  <c r="L85" i="5"/>
  <c r="L208" i="2" s="1"/>
  <c r="K85" i="5"/>
  <c r="K208" i="2" s="1"/>
  <c r="J85" i="5"/>
  <c r="J208" i="2" s="1"/>
  <c r="I85" i="5"/>
  <c r="I208" i="2" s="1"/>
  <c r="H85" i="5"/>
  <c r="H208" i="2" s="1"/>
  <c r="G85" i="5"/>
  <c r="G208" i="2" s="1"/>
  <c r="F85" i="5"/>
  <c r="F208" i="2" s="1"/>
  <c r="E85" i="5"/>
  <c r="E208" i="2" s="1"/>
  <c r="BL84" i="5"/>
  <c r="BL207" i="2" s="1"/>
  <c r="BK84" i="5"/>
  <c r="BK207" i="2" s="1"/>
  <c r="BJ84" i="5"/>
  <c r="BJ207" i="2" s="1"/>
  <c r="BI84" i="5"/>
  <c r="BI207" i="2" s="1"/>
  <c r="BH84" i="5"/>
  <c r="BH207" i="2" s="1"/>
  <c r="BG84" i="5"/>
  <c r="BG207" i="2" s="1"/>
  <c r="BF84" i="5"/>
  <c r="BF207" i="2" s="1"/>
  <c r="BE84" i="5"/>
  <c r="BE207" i="2" s="1"/>
  <c r="BD84" i="5"/>
  <c r="BD207" i="2" s="1"/>
  <c r="BC84" i="5"/>
  <c r="BC207" i="2" s="1"/>
  <c r="BB84" i="5"/>
  <c r="BB207" i="2" s="1"/>
  <c r="BA84" i="5"/>
  <c r="BA207" i="2" s="1"/>
  <c r="AZ84" i="5"/>
  <c r="AZ207" i="2" s="1"/>
  <c r="AY84" i="5"/>
  <c r="AY207" i="2" s="1"/>
  <c r="AX84" i="5"/>
  <c r="AX207" i="2" s="1"/>
  <c r="AW84" i="5"/>
  <c r="AW207" i="2" s="1"/>
  <c r="AV84" i="5"/>
  <c r="AV207" i="2" s="1"/>
  <c r="AU84" i="5"/>
  <c r="AU207" i="2" s="1"/>
  <c r="AT84" i="5"/>
  <c r="AT207" i="2" s="1"/>
  <c r="AS84" i="5"/>
  <c r="AS207" i="2" s="1"/>
  <c r="AR84" i="5"/>
  <c r="AR207" i="2" s="1"/>
  <c r="AQ84" i="5"/>
  <c r="AQ207" i="2" s="1"/>
  <c r="AP84" i="5"/>
  <c r="AP207" i="2" s="1"/>
  <c r="AO84" i="5"/>
  <c r="AO207" i="2" s="1"/>
  <c r="AN84" i="5"/>
  <c r="AN207" i="2" s="1"/>
  <c r="AM84" i="5"/>
  <c r="AM207" i="2" s="1"/>
  <c r="AL84" i="5"/>
  <c r="AL207" i="2" s="1"/>
  <c r="AK84" i="5"/>
  <c r="AK207" i="2" s="1"/>
  <c r="AJ84" i="5"/>
  <c r="AJ207" i="2" s="1"/>
  <c r="AI84" i="5"/>
  <c r="AI207" i="2" s="1"/>
  <c r="AH84" i="5"/>
  <c r="AH207" i="2" s="1"/>
  <c r="AG84" i="5"/>
  <c r="AG207" i="2" s="1"/>
  <c r="AF84" i="5"/>
  <c r="AF207" i="2" s="1"/>
  <c r="AE84" i="5"/>
  <c r="AE207" i="2" s="1"/>
  <c r="AD84" i="5"/>
  <c r="AD207" i="2" s="1"/>
  <c r="AC84" i="5"/>
  <c r="AC207" i="2" s="1"/>
  <c r="AB84" i="5"/>
  <c r="AB207" i="2" s="1"/>
  <c r="AA84" i="5"/>
  <c r="AA207" i="2" s="1"/>
  <c r="Z84" i="5"/>
  <c r="Z207" i="2" s="1"/>
  <c r="Y84" i="5"/>
  <c r="Y207" i="2" s="1"/>
  <c r="X84" i="5"/>
  <c r="X207" i="2" s="1"/>
  <c r="W84" i="5"/>
  <c r="W207" i="2" s="1"/>
  <c r="V84" i="5"/>
  <c r="V207" i="2" s="1"/>
  <c r="U84" i="5"/>
  <c r="U207" i="2" s="1"/>
  <c r="T84" i="5"/>
  <c r="T207" i="2" s="1"/>
  <c r="S84" i="5"/>
  <c r="S207" i="2" s="1"/>
  <c r="R84" i="5"/>
  <c r="R207" i="2" s="1"/>
  <c r="Q84" i="5"/>
  <c r="Q207" i="2" s="1"/>
  <c r="P84" i="5"/>
  <c r="P207" i="2" s="1"/>
  <c r="O84" i="5"/>
  <c r="O207" i="2" s="1"/>
  <c r="N84" i="5"/>
  <c r="N207" i="2" s="1"/>
  <c r="M84" i="5"/>
  <c r="M207" i="2" s="1"/>
  <c r="L84" i="5"/>
  <c r="L207" i="2" s="1"/>
  <c r="K84" i="5"/>
  <c r="K207" i="2" s="1"/>
  <c r="J84" i="5"/>
  <c r="J207" i="2" s="1"/>
  <c r="I84" i="5"/>
  <c r="I207" i="2" s="1"/>
  <c r="H84" i="5"/>
  <c r="H207" i="2" s="1"/>
  <c r="G84" i="5"/>
  <c r="G207" i="2" s="1"/>
  <c r="F84" i="5"/>
  <c r="F207" i="2" s="1"/>
  <c r="E84" i="5"/>
  <c r="E207" i="2" s="1"/>
  <c r="BL83" i="5"/>
  <c r="BL206" i="2" s="1"/>
  <c r="BK83" i="5"/>
  <c r="BK206" i="2" s="1"/>
  <c r="BJ83" i="5"/>
  <c r="BJ206" i="2" s="1"/>
  <c r="BI83" i="5"/>
  <c r="BI206" i="2" s="1"/>
  <c r="BH83" i="5"/>
  <c r="BH206" i="2" s="1"/>
  <c r="BG83" i="5"/>
  <c r="BG206" i="2" s="1"/>
  <c r="BF83" i="5"/>
  <c r="BF206" i="2" s="1"/>
  <c r="BE83" i="5"/>
  <c r="BE206" i="2" s="1"/>
  <c r="BD83" i="5"/>
  <c r="BD206" i="2" s="1"/>
  <c r="BC83" i="5"/>
  <c r="BC206" i="2" s="1"/>
  <c r="BB83" i="5"/>
  <c r="BB206" i="2" s="1"/>
  <c r="BA83" i="5"/>
  <c r="BA206" i="2" s="1"/>
  <c r="AZ83" i="5"/>
  <c r="AZ206" i="2" s="1"/>
  <c r="AY83" i="5"/>
  <c r="AY206" i="2" s="1"/>
  <c r="AX83" i="5"/>
  <c r="AX206" i="2" s="1"/>
  <c r="AW83" i="5"/>
  <c r="AW206" i="2" s="1"/>
  <c r="AV83" i="5"/>
  <c r="AV206" i="2" s="1"/>
  <c r="AU83" i="5"/>
  <c r="AU206" i="2" s="1"/>
  <c r="AT83" i="5"/>
  <c r="AT206" i="2" s="1"/>
  <c r="AS83" i="5"/>
  <c r="AS206" i="2" s="1"/>
  <c r="AR83" i="5"/>
  <c r="AR206" i="2" s="1"/>
  <c r="AQ83" i="5"/>
  <c r="AQ206" i="2" s="1"/>
  <c r="AP83" i="5"/>
  <c r="AP206" i="2" s="1"/>
  <c r="AO83" i="5"/>
  <c r="AO206" i="2" s="1"/>
  <c r="AN83" i="5"/>
  <c r="AN206" i="2" s="1"/>
  <c r="AM83" i="5"/>
  <c r="AM206" i="2" s="1"/>
  <c r="AL83" i="5"/>
  <c r="AL206" i="2" s="1"/>
  <c r="AK83" i="5"/>
  <c r="AK206" i="2" s="1"/>
  <c r="AJ83" i="5"/>
  <c r="AJ206" i="2" s="1"/>
  <c r="AI83" i="5"/>
  <c r="AI206" i="2" s="1"/>
  <c r="AH83" i="5"/>
  <c r="AH206" i="2" s="1"/>
  <c r="AG83" i="5"/>
  <c r="AG206" i="2" s="1"/>
  <c r="AF83" i="5"/>
  <c r="AF206" i="2" s="1"/>
  <c r="AE83" i="5"/>
  <c r="AE206" i="2" s="1"/>
  <c r="AD83" i="5"/>
  <c r="AD206" i="2" s="1"/>
  <c r="AC83" i="5"/>
  <c r="AC206" i="2" s="1"/>
  <c r="AB83" i="5"/>
  <c r="AB206" i="2" s="1"/>
  <c r="AA83" i="5"/>
  <c r="AA206" i="2" s="1"/>
  <c r="Z83" i="5"/>
  <c r="Z206" i="2" s="1"/>
  <c r="Y83" i="5"/>
  <c r="Y206" i="2" s="1"/>
  <c r="X83" i="5"/>
  <c r="X206" i="2" s="1"/>
  <c r="W83" i="5"/>
  <c r="W206" i="2" s="1"/>
  <c r="V83" i="5"/>
  <c r="V206" i="2" s="1"/>
  <c r="U83" i="5"/>
  <c r="U206" i="2" s="1"/>
  <c r="T83" i="5"/>
  <c r="T206" i="2" s="1"/>
  <c r="S83" i="5"/>
  <c r="S206" i="2" s="1"/>
  <c r="R83" i="5"/>
  <c r="R206" i="2" s="1"/>
  <c r="Q83" i="5"/>
  <c r="Q206" i="2" s="1"/>
  <c r="P83" i="5"/>
  <c r="P206" i="2" s="1"/>
  <c r="O83" i="5"/>
  <c r="O206" i="2" s="1"/>
  <c r="N83" i="5"/>
  <c r="N206" i="2" s="1"/>
  <c r="M83" i="5"/>
  <c r="M206" i="2" s="1"/>
  <c r="L83" i="5"/>
  <c r="L206" i="2" s="1"/>
  <c r="K83" i="5"/>
  <c r="K206" i="2" s="1"/>
  <c r="J83" i="5"/>
  <c r="J206" i="2" s="1"/>
  <c r="I83" i="5"/>
  <c r="I206" i="2" s="1"/>
  <c r="H83" i="5"/>
  <c r="H206" i="2" s="1"/>
  <c r="G83" i="5"/>
  <c r="G206" i="2" s="1"/>
  <c r="F83" i="5"/>
  <c r="F206" i="2" s="1"/>
  <c r="E83" i="5"/>
  <c r="E206" i="2" s="1"/>
  <c r="BL82" i="5"/>
  <c r="BL205" i="2" s="1"/>
  <c r="BK82" i="5"/>
  <c r="BK205" i="2" s="1"/>
  <c r="BJ82" i="5"/>
  <c r="BJ205" i="2" s="1"/>
  <c r="BI82" i="5"/>
  <c r="BI205" i="2" s="1"/>
  <c r="BH82" i="5"/>
  <c r="BH205" i="2" s="1"/>
  <c r="BG82" i="5"/>
  <c r="BG205" i="2" s="1"/>
  <c r="BF82" i="5"/>
  <c r="BF205" i="2" s="1"/>
  <c r="BE82" i="5"/>
  <c r="BE205" i="2" s="1"/>
  <c r="BD82" i="5"/>
  <c r="BD205" i="2" s="1"/>
  <c r="BC82" i="5"/>
  <c r="BC205" i="2" s="1"/>
  <c r="BB82" i="5"/>
  <c r="BB205" i="2" s="1"/>
  <c r="BA82" i="5"/>
  <c r="BA205" i="2" s="1"/>
  <c r="AZ82" i="5"/>
  <c r="AZ205" i="2" s="1"/>
  <c r="AY82" i="5"/>
  <c r="AY205" i="2" s="1"/>
  <c r="AX82" i="5"/>
  <c r="AX205" i="2" s="1"/>
  <c r="AW82" i="5"/>
  <c r="AW205" i="2" s="1"/>
  <c r="AV82" i="5"/>
  <c r="AV205" i="2" s="1"/>
  <c r="AU82" i="5"/>
  <c r="AU205" i="2" s="1"/>
  <c r="AT82" i="5"/>
  <c r="AT205" i="2" s="1"/>
  <c r="AS82" i="5"/>
  <c r="AS205" i="2" s="1"/>
  <c r="AR82" i="5"/>
  <c r="AR205" i="2" s="1"/>
  <c r="AQ82" i="5"/>
  <c r="AQ205" i="2" s="1"/>
  <c r="AP82" i="5"/>
  <c r="AP205" i="2" s="1"/>
  <c r="AO82" i="5"/>
  <c r="AO205" i="2" s="1"/>
  <c r="AN82" i="5"/>
  <c r="AN205" i="2" s="1"/>
  <c r="AM82" i="5"/>
  <c r="AM205" i="2" s="1"/>
  <c r="AL82" i="5"/>
  <c r="AL205" i="2" s="1"/>
  <c r="AK82" i="5"/>
  <c r="AK205" i="2" s="1"/>
  <c r="AJ82" i="5"/>
  <c r="AJ205" i="2" s="1"/>
  <c r="AI82" i="5"/>
  <c r="AI205" i="2" s="1"/>
  <c r="AH82" i="5"/>
  <c r="AH205" i="2" s="1"/>
  <c r="AG82" i="5"/>
  <c r="AG205" i="2" s="1"/>
  <c r="AF82" i="5"/>
  <c r="AF205" i="2" s="1"/>
  <c r="AE82" i="5"/>
  <c r="AE205" i="2" s="1"/>
  <c r="AD82" i="5"/>
  <c r="AD205" i="2" s="1"/>
  <c r="AC82" i="5"/>
  <c r="AC205" i="2" s="1"/>
  <c r="AB82" i="5"/>
  <c r="AB205" i="2" s="1"/>
  <c r="AA82" i="5"/>
  <c r="AA205" i="2" s="1"/>
  <c r="Z82" i="5"/>
  <c r="Z205" i="2" s="1"/>
  <c r="Y82" i="5"/>
  <c r="Y205" i="2" s="1"/>
  <c r="X82" i="5"/>
  <c r="X205" i="2" s="1"/>
  <c r="W82" i="5"/>
  <c r="W205" i="2" s="1"/>
  <c r="V82" i="5"/>
  <c r="V205" i="2" s="1"/>
  <c r="U82" i="5"/>
  <c r="U205" i="2" s="1"/>
  <c r="T82" i="5"/>
  <c r="T205" i="2" s="1"/>
  <c r="S82" i="5"/>
  <c r="S205" i="2" s="1"/>
  <c r="R82" i="5"/>
  <c r="R205" i="2" s="1"/>
  <c r="Q82" i="5"/>
  <c r="Q205" i="2" s="1"/>
  <c r="P82" i="5"/>
  <c r="P205" i="2" s="1"/>
  <c r="O82" i="5"/>
  <c r="O205" i="2" s="1"/>
  <c r="N82" i="5"/>
  <c r="N205" i="2" s="1"/>
  <c r="M82" i="5"/>
  <c r="M205" i="2" s="1"/>
  <c r="L82" i="5"/>
  <c r="L205" i="2" s="1"/>
  <c r="K82" i="5"/>
  <c r="K205" i="2" s="1"/>
  <c r="J82" i="5"/>
  <c r="J205" i="2" s="1"/>
  <c r="I82" i="5"/>
  <c r="I205" i="2" s="1"/>
  <c r="H82" i="5"/>
  <c r="H205" i="2" s="1"/>
  <c r="G82" i="5"/>
  <c r="G205" i="2" s="1"/>
  <c r="F82" i="5"/>
  <c r="F205" i="2" s="1"/>
  <c r="E82" i="5"/>
  <c r="E205" i="2" s="1"/>
  <c r="BL81" i="5"/>
  <c r="BL204" i="2" s="1"/>
  <c r="BK81" i="5"/>
  <c r="BK204" i="2" s="1"/>
  <c r="BJ81" i="5"/>
  <c r="BJ204" i="2" s="1"/>
  <c r="BI81" i="5"/>
  <c r="BI204" i="2" s="1"/>
  <c r="BH81" i="5"/>
  <c r="BH204" i="2" s="1"/>
  <c r="BG81" i="5"/>
  <c r="BG204" i="2" s="1"/>
  <c r="BF81" i="5"/>
  <c r="BF204" i="2" s="1"/>
  <c r="BE81" i="5"/>
  <c r="BE204" i="2" s="1"/>
  <c r="BD81" i="5"/>
  <c r="BD204" i="2" s="1"/>
  <c r="BC81" i="5"/>
  <c r="BC204" i="2" s="1"/>
  <c r="BB81" i="5"/>
  <c r="BB204" i="2" s="1"/>
  <c r="BA81" i="5"/>
  <c r="BA204" i="2" s="1"/>
  <c r="AZ81" i="5"/>
  <c r="AZ204" i="2" s="1"/>
  <c r="AY81" i="5"/>
  <c r="AY204" i="2" s="1"/>
  <c r="AX81" i="5"/>
  <c r="AX204" i="2" s="1"/>
  <c r="AW81" i="5"/>
  <c r="AW204" i="2" s="1"/>
  <c r="AV81" i="5"/>
  <c r="AV204" i="2" s="1"/>
  <c r="AU81" i="5"/>
  <c r="AU204" i="2" s="1"/>
  <c r="AT81" i="5"/>
  <c r="AT204" i="2" s="1"/>
  <c r="AS81" i="5"/>
  <c r="AS204" i="2" s="1"/>
  <c r="AR81" i="5"/>
  <c r="AR204" i="2" s="1"/>
  <c r="AQ81" i="5"/>
  <c r="AQ204" i="2" s="1"/>
  <c r="AP81" i="5"/>
  <c r="AP204" i="2" s="1"/>
  <c r="AO81" i="5"/>
  <c r="AO204" i="2" s="1"/>
  <c r="AN81" i="5"/>
  <c r="AN204" i="2" s="1"/>
  <c r="AM81" i="5"/>
  <c r="AM204" i="2" s="1"/>
  <c r="AL81" i="5"/>
  <c r="AL204" i="2" s="1"/>
  <c r="AK81" i="5"/>
  <c r="AK204" i="2" s="1"/>
  <c r="AJ81" i="5"/>
  <c r="AJ204" i="2" s="1"/>
  <c r="AI81" i="5"/>
  <c r="AI204" i="2" s="1"/>
  <c r="AH81" i="5"/>
  <c r="AH204" i="2" s="1"/>
  <c r="AG81" i="5"/>
  <c r="AG204" i="2" s="1"/>
  <c r="AF81" i="5"/>
  <c r="AF204" i="2" s="1"/>
  <c r="AE81" i="5"/>
  <c r="AE204" i="2" s="1"/>
  <c r="AD81" i="5"/>
  <c r="AD204" i="2" s="1"/>
  <c r="AC81" i="5"/>
  <c r="AC204" i="2" s="1"/>
  <c r="AB81" i="5"/>
  <c r="AB204" i="2" s="1"/>
  <c r="AA81" i="5"/>
  <c r="AA204" i="2" s="1"/>
  <c r="Z81" i="5"/>
  <c r="Z204" i="2" s="1"/>
  <c r="Y81" i="5"/>
  <c r="Y204" i="2" s="1"/>
  <c r="X81" i="5"/>
  <c r="X204" i="2" s="1"/>
  <c r="W81" i="5"/>
  <c r="W204" i="2" s="1"/>
  <c r="V81" i="5"/>
  <c r="V204" i="2" s="1"/>
  <c r="U81" i="5"/>
  <c r="U204" i="2" s="1"/>
  <c r="T81" i="5"/>
  <c r="T204" i="2" s="1"/>
  <c r="S81" i="5"/>
  <c r="S204" i="2" s="1"/>
  <c r="R81" i="5"/>
  <c r="R204" i="2" s="1"/>
  <c r="Q81" i="5"/>
  <c r="Q204" i="2" s="1"/>
  <c r="P81" i="5"/>
  <c r="P204" i="2" s="1"/>
  <c r="O81" i="5"/>
  <c r="O204" i="2" s="1"/>
  <c r="N81" i="5"/>
  <c r="N204" i="2" s="1"/>
  <c r="M81" i="5"/>
  <c r="M204" i="2" s="1"/>
  <c r="L81" i="5"/>
  <c r="L204" i="2" s="1"/>
  <c r="K81" i="5"/>
  <c r="K204" i="2" s="1"/>
  <c r="J81" i="5"/>
  <c r="J204" i="2" s="1"/>
  <c r="I81" i="5"/>
  <c r="I204" i="2" s="1"/>
  <c r="H81" i="5"/>
  <c r="H204" i="2" s="1"/>
  <c r="G81" i="5"/>
  <c r="G204" i="2" s="1"/>
  <c r="F81" i="5"/>
  <c r="F204" i="2" s="1"/>
  <c r="E81" i="5"/>
  <c r="E204" i="2" s="1"/>
  <c r="BL80" i="5"/>
  <c r="BL203" i="2" s="1"/>
  <c r="BK80" i="5"/>
  <c r="BK203" i="2" s="1"/>
  <c r="BJ80" i="5"/>
  <c r="BJ203" i="2" s="1"/>
  <c r="BI80" i="5"/>
  <c r="BI203" i="2" s="1"/>
  <c r="BH80" i="5"/>
  <c r="BH203" i="2" s="1"/>
  <c r="BG80" i="5"/>
  <c r="BG203" i="2" s="1"/>
  <c r="BF80" i="5"/>
  <c r="BF203" i="2" s="1"/>
  <c r="BE80" i="5"/>
  <c r="BE203" i="2" s="1"/>
  <c r="BD80" i="5"/>
  <c r="BD203" i="2" s="1"/>
  <c r="BC80" i="5"/>
  <c r="BC203" i="2" s="1"/>
  <c r="BB80" i="5"/>
  <c r="BB203" i="2" s="1"/>
  <c r="BA80" i="5"/>
  <c r="BA203" i="2" s="1"/>
  <c r="AZ80" i="5"/>
  <c r="AZ203" i="2" s="1"/>
  <c r="AY80" i="5"/>
  <c r="AY203" i="2" s="1"/>
  <c r="AX80" i="5"/>
  <c r="AX203" i="2" s="1"/>
  <c r="AW80" i="5"/>
  <c r="AW203" i="2" s="1"/>
  <c r="AV80" i="5"/>
  <c r="AV203" i="2" s="1"/>
  <c r="AU80" i="5"/>
  <c r="AU203" i="2" s="1"/>
  <c r="AT80" i="5"/>
  <c r="AT203" i="2" s="1"/>
  <c r="AS80" i="5"/>
  <c r="AS203" i="2" s="1"/>
  <c r="AR80" i="5"/>
  <c r="AR203" i="2" s="1"/>
  <c r="AQ80" i="5"/>
  <c r="AQ203" i="2" s="1"/>
  <c r="AP80" i="5"/>
  <c r="AP203" i="2" s="1"/>
  <c r="AO80" i="5"/>
  <c r="AO203" i="2" s="1"/>
  <c r="AN80" i="5"/>
  <c r="AN203" i="2" s="1"/>
  <c r="AM80" i="5"/>
  <c r="AM203" i="2" s="1"/>
  <c r="AL80" i="5"/>
  <c r="AL203" i="2" s="1"/>
  <c r="AK80" i="5"/>
  <c r="AK203" i="2" s="1"/>
  <c r="AJ80" i="5"/>
  <c r="AJ203" i="2" s="1"/>
  <c r="AI80" i="5"/>
  <c r="AI203" i="2" s="1"/>
  <c r="AH80" i="5"/>
  <c r="AH203" i="2" s="1"/>
  <c r="AG80" i="5"/>
  <c r="AG203" i="2" s="1"/>
  <c r="AF80" i="5"/>
  <c r="AF203" i="2" s="1"/>
  <c r="AE80" i="5"/>
  <c r="AE203" i="2" s="1"/>
  <c r="AD80" i="5"/>
  <c r="AD203" i="2" s="1"/>
  <c r="AC80" i="5"/>
  <c r="AC203" i="2" s="1"/>
  <c r="AB80" i="5"/>
  <c r="AB203" i="2" s="1"/>
  <c r="AA80" i="5"/>
  <c r="AA203" i="2" s="1"/>
  <c r="Z80" i="5"/>
  <c r="Z203" i="2" s="1"/>
  <c r="Y80" i="5"/>
  <c r="Y203" i="2" s="1"/>
  <c r="X80" i="5"/>
  <c r="X203" i="2" s="1"/>
  <c r="W80" i="5"/>
  <c r="W203" i="2" s="1"/>
  <c r="V80" i="5"/>
  <c r="V203" i="2" s="1"/>
  <c r="U80" i="5"/>
  <c r="U203" i="2" s="1"/>
  <c r="T80" i="5"/>
  <c r="T203" i="2" s="1"/>
  <c r="S80" i="5"/>
  <c r="S203" i="2" s="1"/>
  <c r="R80" i="5"/>
  <c r="R203" i="2" s="1"/>
  <c r="Q80" i="5"/>
  <c r="Q203" i="2" s="1"/>
  <c r="P80" i="5"/>
  <c r="P203" i="2" s="1"/>
  <c r="O80" i="5"/>
  <c r="O203" i="2" s="1"/>
  <c r="N80" i="5"/>
  <c r="N203" i="2" s="1"/>
  <c r="M80" i="5"/>
  <c r="M203" i="2" s="1"/>
  <c r="L80" i="5"/>
  <c r="L203" i="2" s="1"/>
  <c r="K80" i="5"/>
  <c r="K203" i="2" s="1"/>
  <c r="J80" i="5"/>
  <c r="J203" i="2" s="1"/>
  <c r="I80" i="5"/>
  <c r="I203" i="2" s="1"/>
  <c r="H80" i="5"/>
  <c r="H203" i="2" s="1"/>
  <c r="G80" i="5"/>
  <c r="G203" i="2" s="1"/>
  <c r="F80" i="5"/>
  <c r="F203" i="2" s="1"/>
  <c r="E80" i="5"/>
  <c r="E203" i="2" s="1"/>
  <c r="BL79" i="5"/>
  <c r="BL202" i="2" s="1"/>
  <c r="BK79" i="5"/>
  <c r="BK202" i="2" s="1"/>
  <c r="BJ79" i="5"/>
  <c r="BJ202" i="2" s="1"/>
  <c r="BI79" i="5"/>
  <c r="BI202" i="2" s="1"/>
  <c r="BH79" i="5"/>
  <c r="BH202" i="2" s="1"/>
  <c r="BG79" i="5"/>
  <c r="BG202" i="2" s="1"/>
  <c r="BF79" i="5"/>
  <c r="BF202" i="2" s="1"/>
  <c r="BE79" i="5"/>
  <c r="BE202" i="2" s="1"/>
  <c r="BD79" i="5"/>
  <c r="BD202" i="2" s="1"/>
  <c r="BC79" i="5"/>
  <c r="BC202" i="2" s="1"/>
  <c r="BB79" i="5"/>
  <c r="BB202" i="2" s="1"/>
  <c r="BA79" i="5"/>
  <c r="BA202" i="2" s="1"/>
  <c r="AZ79" i="5"/>
  <c r="AZ202" i="2" s="1"/>
  <c r="AY79" i="5"/>
  <c r="AY202" i="2" s="1"/>
  <c r="AX79" i="5"/>
  <c r="AX202" i="2" s="1"/>
  <c r="AW79" i="5"/>
  <c r="AW202" i="2" s="1"/>
  <c r="AV79" i="5"/>
  <c r="AV202" i="2" s="1"/>
  <c r="AU79" i="5"/>
  <c r="AU202" i="2" s="1"/>
  <c r="AT79" i="5"/>
  <c r="AT202" i="2" s="1"/>
  <c r="AS79" i="5"/>
  <c r="AS202" i="2" s="1"/>
  <c r="AR79" i="5"/>
  <c r="AR202" i="2" s="1"/>
  <c r="AQ79" i="5"/>
  <c r="AQ202" i="2" s="1"/>
  <c r="AP79" i="5"/>
  <c r="AP202" i="2" s="1"/>
  <c r="AO79" i="5"/>
  <c r="AO202" i="2" s="1"/>
  <c r="AN79" i="5"/>
  <c r="AN202" i="2" s="1"/>
  <c r="AM79" i="5"/>
  <c r="AM202" i="2" s="1"/>
  <c r="AL79" i="5"/>
  <c r="AL202" i="2" s="1"/>
  <c r="AK79" i="5"/>
  <c r="AK202" i="2" s="1"/>
  <c r="AJ79" i="5"/>
  <c r="AJ202" i="2" s="1"/>
  <c r="AI79" i="5"/>
  <c r="AI202" i="2" s="1"/>
  <c r="AH79" i="5"/>
  <c r="AH202" i="2" s="1"/>
  <c r="AG79" i="5"/>
  <c r="AG202" i="2" s="1"/>
  <c r="AF79" i="5"/>
  <c r="AF202" i="2" s="1"/>
  <c r="AE79" i="5"/>
  <c r="AE202" i="2" s="1"/>
  <c r="AD79" i="5"/>
  <c r="AD202" i="2" s="1"/>
  <c r="AC79" i="5"/>
  <c r="AC202" i="2" s="1"/>
  <c r="AB79" i="5"/>
  <c r="AB202" i="2" s="1"/>
  <c r="AA79" i="5"/>
  <c r="AA202" i="2" s="1"/>
  <c r="Z79" i="5"/>
  <c r="Z202" i="2" s="1"/>
  <c r="Y79" i="5"/>
  <c r="Y202" i="2" s="1"/>
  <c r="X79" i="5"/>
  <c r="X202" i="2" s="1"/>
  <c r="W79" i="5"/>
  <c r="W202" i="2" s="1"/>
  <c r="V79" i="5"/>
  <c r="V202" i="2" s="1"/>
  <c r="U79" i="5"/>
  <c r="U202" i="2" s="1"/>
  <c r="T79" i="5"/>
  <c r="T202" i="2" s="1"/>
  <c r="S79" i="5"/>
  <c r="S202" i="2" s="1"/>
  <c r="R79" i="5"/>
  <c r="R202" i="2" s="1"/>
  <c r="Q79" i="5"/>
  <c r="Q202" i="2" s="1"/>
  <c r="P79" i="5"/>
  <c r="P202" i="2" s="1"/>
  <c r="O79" i="5"/>
  <c r="O202" i="2" s="1"/>
  <c r="N79" i="5"/>
  <c r="N202" i="2" s="1"/>
  <c r="M79" i="5"/>
  <c r="M202" i="2" s="1"/>
  <c r="L79" i="5"/>
  <c r="L202" i="2" s="1"/>
  <c r="K79" i="5"/>
  <c r="K202" i="2" s="1"/>
  <c r="J79" i="5"/>
  <c r="J202" i="2" s="1"/>
  <c r="I79" i="5"/>
  <c r="I202" i="2" s="1"/>
  <c r="H79" i="5"/>
  <c r="H202" i="2" s="1"/>
  <c r="G79" i="5"/>
  <c r="G202" i="2" s="1"/>
  <c r="F79" i="5"/>
  <c r="F202" i="2" s="1"/>
  <c r="E79" i="5"/>
  <c r="E202" i="2" s="1"/>
  <c r="BL78" i="5"/>
  <c r="BL201" i="2" s="1"/>
  <c r="BK78" i="5"/>
  <c r="BK201" i="2" s="1"/>
  <c r="BJ78" i="5"/>
  <c r="BJ201" i="2" s="1"/>
  <c r="BI78" i="5"/>
  <c r="BI201" i="2" s="1"/>
  <c r="BH78" i="5"/>
  <c r="BH201" i="2" s="1"/>
  <c r="BG78" i="5"/>
  <c r="BG201" i="2" s="1"/>
  <c r="BF78" i="5"/>
  <c r="BF201" i="2" s="1"/>
  <c r="BE78" i="5"/>
  <c r="BE201" i="2" s="1"/>
  <c r="BD78" i="5"/>
  <c r="BD201" i="2" s="1"/>
  <c r="BC78" i="5"/>
  <c r="BC201" i="2" s="1"/>
  <c r="BB78" i="5"/>
  <c r="BB201" i="2" s="1"/>
  <c r="BA78" i="5"/>
  <c r="BA201" i="2" s="1"/>
  <c r="AZ78" i="5"/>
  <c r="AZ201" i="2" s="1"/>
  <c r="AY78" i="5"/>
  <c r="AY201" i="2" s="1"/>
  <c r="AX78" i="5"/>
  <c r="AX201" i="2" s="1"/>
  <c r="AW78" i="5"/>
  <c r="AW201" i="2" s="1"/>
  <c r="AV78" i="5"/>
  <c r="AV201" i="2" s="1"/>
  <c r="AU78" i="5"/>
  <c r="AU201" i="2" s="1"/>
  <c r="AT78" i="5"/>
  <c r="AT201" i="2" s="1"/>
  <c r="AS78" i="5"/>
  <c r="AS201" i="2" s="1"/>
  <c r="AR78" i="5"/>
  <c r="AR201" i="2" s="1"/>
  <c r="AQ78" i="5"/>
  <c r="AQ201" i="2" s="1"/>
  <c r="AP78" i="5"/>
  <c r="AP201" i="2" s="1"/>
  <c r="AO78" i="5"/>
  <c r="AO201" i="2" s="1"/>
  <c r="AN78" i="5"/>
  <c r="AN201" i="2" s="1"/>
  <c r="AM78" i="5"/>
  <c r="AM201" i="2" s="1"/>
  <c r="AL78" i="5"/>
  <c r="AL201" i="2" s="1"/>
  <c r="AK78" i="5"/>
  <c r="AK201" i="2" s="1"/>
  <c r="AJ78" i="5"/>
  <c r="AJ201" i="2" s="1"/>
  <c r="AI78" i="5"/>
  <c r="AI201" i="2" s="1"/>
  <c r="AH78" i="5"/>
  <c r="AH201" i="2" s="1"/>
  <c r="AG78" i="5"/>
  <c r="AG201" i="2" s="1"/>
  <c r="AF78" i="5"/>
  <c r="AF201" i="2" s="1"/>
  <c r="AE78" i="5"/>
  <c r="AE201" i="2" s="1"/>
  <c r="AD78" i="5"/>
  <c r="AD201" i="2" s="1"/>
  <c r="AC78" i="5"/>
  <c r="AC201" i="2" s="1"/>
  <c r="AB78" i="5"/>
  <c r="AB201" i="2" s="1"/>
  <c r="AA78" i="5"/>
  <c r="AA201" i="2" s="1"/>
  <c r="Z78" i="5"/>
  <c r="Z201" i="2" s="1"/>
  <c r="Y78" i="5"/>
  <c r="Y201" i="2" s="1"/>
  <c r="X78" i="5"/>
  <c r="X201" i="2" s="1"/>
  <c r="W78" i="5"/>
  <c r="W201" i="2" s="1"/>
  <c r="V78" i="5"/>
  <c r="V201" i="2" s="1"/>
  <c r="U78" i="5"/>
  <c r="U201" i="2" s="1"/>
  <c r="T78" i="5"/>
  <c r="T201" i="2" s="1"/>
  <c r="S78" i="5"/>
  <c r="S201" i="2" s="1"/>
  <c r="R78" i="5"/>
  <c r="R201" i="2" s="1"/>
  <c r="Q78" i="5"/>
  <c r="Q201" i="2" s="1"/>
  <c r="P78" i="5"/>
  <c r="P201" i="2" s="1"/>
  <c r="O78" i="5"/>
  <c r="O201" i="2" s="1"/>
  <c r="N78" i="5"/>
  <c r="N201" i="2" s="1"/>
  <c r="M78" i="5"/>
  <c r="M201" i="2" s="1"/>
  <c r="L78" i="5"/>
  <c r="L201" i="2" s="1"/>
  <c r="K78" i="5"/>
  <c r="K201" i="2" s="1"/>
  <c r="J78" i="5"/>
  <c r="J201" i="2" s="1"/>
  <c r="I78" i="5"/>
  <c r="I201" i="2" s="1"/>
  <c r="H78" i="5"/>
  <c r="H201" i="2" s="1"/>
  <c r="G78" i="5"/>
  <c r="G201" i="2" s="1"/>
  <c r="F78" i="5"/>
  <c r="F201" i="2" s="1"/>
  <c r="E78" i="5"/>
  <c r="E201" i="2" s="1"/>
  <c r="BL77" i="5"/>
  <c r="BL200" i="2" s="1"/>
  <c r="BK77" i="5"/>
  <c r="BK200" i="2" s="1"/>
  <c r="BJ77" i="5"/>
  <c r="BJ200" i="2" s="1"/>
  <c r="BI77" i="5"/>
  <c r="BI200" i="2" s="1"/>
  <c r="BH77" i="5"/>
  <c r="BH200" i="2" s="1"/>
  <c r="BG77" i="5"/>
  <c r="BG200" i="2" s="1"/>
  <c r="BF77" i="5"/>
  <c r="BF200" i="2" s="1"/>
  <c r="BE77" i="5"/>
  <c r="BE200" i="2" s="1"/>
  <c r="BD77" i="5"/>
  <c r="BD200" i="2" s="1"/>
  <c r="BC77" i="5"/>
  <c r="BC200" i="2" s="1"/>
  <c r="BB77" i="5"/>
  <c r="BB200" i="2" s="1"/>
  <c r="BA77" i="5"/>
  <c r="BA200" i="2" s="1"/>
  <c r="AZ77" i="5"/>
  <c r="AZ200" i="2" s="1"/>
  <c r="AY77" i="5"/>
  <c r="AY200" i="2" s="1"/>
  <c r="AX77" i="5"/>
  <c r="AX200" i="2" s="1"/>
  <c r="AW77" i="5"/>
  <c r="AW200" i="2" s="1"/>
  <c r="AV77" i="5"/>
  <c r="AV200" i="2" s="1"/>
  <c r="AU77" i="5"/>
  <c r="AU200" i="2" s="1"/>
  <c r="AT77" i="5"/>
  <c r="AT200" i="2" s="1"/>
  <c r="AS77" i="5"/>
  <c r="AS200" i="2" s="1"/>
  <c r="AR77" i="5"/>
  <c r="AR200" i="2" s="1"/>
  <c r="AQ77" i="5"/>
  <c r="AQ200" i="2" s="1"/>
  <c r="AP77" i="5"/>
  <c r="AP200" i="2" s="1"/>
  <c r="AO77" i="5"/>
  <c r="AO200" i="2" s="1"/>
  <c r="AN77" i="5"/>
  <c r="AN200" i="2" s="1"/>
  <c r="AM77" i="5"/>
  <c r="AM200" i="2" s="1"/>
  <c r="AL77" i="5"/>
  <c r="AL200" i="2" s="1"/>
  <c r="AK77" i="5"/>
  <c r="AK200" i="2" s="1"/>
  <c r="AJ77" i="5"/>
  <c r="AJ200" i="2" s="1"/>
  <c r="AI77" i="5"/>
  <c r="AI200" i="2" s="1"/>
  <c r="AH77" i="5"/>
  <c r="AH200" i="2" s="1"/>
  <c r="AG77" i="5"/>
  <c r="AG200" i="2" s="1"/>
  <c r="AF77" i="5"/>
  <c r="AF200" i="2" s="1"/>
  <c r="AE77" i="5"/>
  <c r="AE200" i="2" s="1"/>
  <c r="AD77" i="5"/>
  <c r="AD200" i="2" s="1"/>
  <c r="AC77" i="5"/>
  <c r="AC200" i="2" s="1"/>
  <c r="AB77" i="5"/>
  <c r="AB200" i="2" s="1"/>
  <c r="AA77" i="5"/>
  <c r="AA200" i="2" s="1"/>
  <c r="Z77" i="5"/>
  <c r="Z200" i="2" s="1"/>
  <c r="Y77" i="5"/>
  <c r="Y200" i="2" s="1"/>
  <c r="X77" i="5"/>
  <c r="X200" i="2" s="1"/>
  <c r="W77" i="5"/>
  <c r="W200" i="2" s="1"/>
  <c r="V77" i="5"/>
  <c r="V200" i="2" s="1"/>
  <c r="U77" i="5"/>
  <c r="U200" i="2" s="1"/>
  <c r="T77" i="5"/>
  <c r="T200" i="2" s="1"/>
  <c r="S77" i="5"/>
  <c r="S200" i="2" s="1"/>
  <c r="R77" i="5"/>
  <c r="R200" i="2" s="1"/>
  <c r="Q77" i="5"/>
  <c r="Q200" i="2" s="1"/>
  <c r="P77" i="5"/>
  <c r="P200" i="2" s="1"/>
  <c r="O77" i="5"/>
  <c r="O200" i="2" s="1"/>
  <c r="N77" i="5"/>
  <c r="N200" i="2" s="1"/>
  <c r="M77" i="5"/>
  <c r="M200" i="2" s="1"/>
  <c r="L77" i="5"/>
  <c r="L200" i="2" s="1"/>
  <c r="K77" i="5"/>
  <c r="K200" i="2" s="1"/>
  <c r="J77" i="5"/>
  <c r="J200" i="2" s="1"/>
  <c r="I77" i="5"/>
  <c r="I200" i="2" s="1"/>
  <c r="H77" i="5"/>
  <c r="H200" i="2" s="1"/>
  <c r="G77" i="5"/>
  <c r="G200" i="2" s="1"/>
  <c r="F77" i="5"/>
  <c r="F200" i="2" s="1"/>
  <c r="E77" i="5"/>
  <c r="E200" i="2" s="1"/>
  <c r="BL76" i="5"/>
  <c r="BL199" i="2" s="1"/>
  <c r="BK76" i="5"/>
  <c r="BK199" i="2" s="1"/>
  <c r="BJ76" i="5"/>
  <c r="BJ199" i="2" s="1"/>
  <c r="BI76" i="5"/>
  <c r="BI199" i="2" s="1"/>
  <c r="BH76" i="5"/>
  <c r="BH199" i="2" s="1"/>
  <c r="BG76" i="5"/>
  <c r="BG199" i="2" s="1"/>
  <c r="BF76" i="5"/>
  <c r="BF199" i="2" s="1"/>
  <c r="BE76" i="5"/>
  <c r="BE199" i="2" s="1"/>
  <c r="BD76" i="5"/>
  <c r="BD199" i="2" s="1"/>
  <c r="BC76" i="5"/>
  <c r="BC199" i="2" s="1"/>
  <c r="BB76" i="5"/>
  <c r="BB199" i="2" s="1"/>
  <c r="BA76" i="5"/>
  <c r="BA199" i="2" s="1"/>
  <c r="AZ76" i="5"/>
  <c r="AZ199" i="2" s="1"/>
  <c r="AY76" i="5"/>
  <c r="AY199" i="2" s="1"/>
  <c r="AX76" i="5"/>
  <c r="AX199" i="2" s="1"/>
  <c r="AW76" i="5"/>
  <c r="AW199" i="2" s="1"/>
  <c r="AV76" i="5"/>
  <c r="AV199" i="2" s="1"/>
  <c r="AU76" i="5"/>
  <c r="AU199" i="2" s="1"/>
  <c r="AT76" i="5"/>
  <c r="AT199" i="2" s="1"/>
  <c r="AS76" i="5"/>
  <c r="AS199" i="2" s="1"/>
  <c r="AR76" i="5"/>
  <c r="AR199" i="2" s="1"/>
  <c r="AQ76" i="5"/>
  <c r="AQ199" i="2" s="1"/>
  <c r="AP76" i="5"/>
  <c r="AP199" i="2" s="1"/>
  <c r="AO76" i="5"/>
  <c r="AO199" i="2" s="1"/>
  <c r="AN76" i="5"/>
  <c r="AN199" i="2" s="1"/>
  <c r="AM76" i="5"/>
  <c r="AM199" i="2" s="1"/>
  <c r="AL76" i="5"/>
  <c r="AL199" i="2" s="1"/>
  <c r="AK76" i="5"/>
  <c r="AK199" i="2" s="1"/>
  <c r="AJ76" i="5"/>
  <c r="AJ199" i="2" s="1"/>
  <c r="AI76" i="5"/>
  <c r="AI199" i="2" s="1"/>
  <c r="AH76" i="5"/>
  <c r="AH199" i="2" s="1"/>
  <c r="AG76" i="5"/>
  <c r="AG199" i="2" s="1"/>
  <c r="AF76" i="5"/>
  <c r="AF199" i="2" s="1"/>
  <c r="AE76" i="5"/>
  <c r="AE199" i="2" s="1"/>
  <c r="AD76" i="5"/>
  <c r="AD199" i="2" s="1"/>
  <c r="AC76" i="5"/>
  <c r="AC199" i="2" s="1"/>
  <c r="AB76" i="5"/>
  <c r="AB199" i="2" s="1"/>
  <c r="AA76" i="5"/>
  <c r="AA199" i="2" s="1"/>
  <c r="Z76" i="5"/>
  <c r="Z199" i="2" s="1"/>
  <c r="Y76" i="5"/>
  <c r="Y199" i="2" s="1"/>
  <c r="X76" i="5"/>
  <c r="X199" i="2" s="1"/>
  <c r="W76" i="5"/>
  <c r="W199" i="2" s="1"/>
  <c r="V76" i="5"/>
  <c r="V199" i="2" s="1"/>
  <c r="U76" i="5"/>
  <c r="U199" i="2" s="1"/>
  <c r="T76" i="5"/>
  <c r="T199" i="2" s="1"/>
  <c r="S76" i="5"/>
  <c r="S199" i="2" s="1"/>
  <c r="R76" i="5"/>
  <c r="R199" i="2" s="1"/>
  <c r="Q76" i="5"/>
  <c r="Q199" i="2" s="1"/>
  <c r="P76" i="5"/>
  <c r="P199" i="2" s="1"/>
  <c r="O76" i="5"/>
  <c r="O199" i="2" s="1"/>
  <c r="N76" i="5"/>
  <c r="N199" i="2" s="1"/>
  <c r="M76" i="5"/>
  <c r="M199" i="2" s="1"/>
  <c r="L76" i="5"/>
  <c r="L199" i="2" s="1"/>
  <c r="K76" i="5"/>
  <c r="K199" i="2" s="1"/>
  <c r="J76" i="5"/>
  <c r="J199" i="2" s="1"/>
  <c r="I76" i="5"/>
  <c r="I199" i="2" s="1"/>
  <c r="H76" i="5"/>
  <c r="H199" i="2" s="1"/>
  <c r="G76" i="5"/>
  <c r="G199" i="2" s="1"/>
  <c r="F76" i="5"/>
  <c r="F199" i="2" s="1"/>
  <c r="E76" i="5"/>
  <c r="E199" i="2" s="1"/>
  <c r="BL75" i="5"/>
  <c r="BL198" i="2" s="1"/>
  <c r="BK75" i="5"/>
  <c r="BK198" i="2" s="1"/>
  <c r="BJ75" i="5"/>
  <c r="BJ198" i="2" s="1"/>
  <c r="BI75" i="5"/>
  <c r="BI198" i="2" s="1"/>
  <c r="BH75" i="5"/>
  <c r="BH198" i="2" s="1"/>
  <c r="BG75" i="5"/>
  <c r="BG198" i="2" s="1"/>
  <c r="BF75" i="5"/>
  <c r="BF198" i="2" s="1"/>
  <c r="BE75" i="5"/>
  <c r="BE198" i="2" s="1"/>
  <c r="BD75" i="5"/>
  <c r="BD198" i="2" s="1"/>
  <c r="BC75" i="5"/>
  <c r="BC198" i="2" s="1"/>
  <c r="BB75" i="5"/>
  <c r="BB198" i="2" s="1"/>
  <c r="BA75" i="5"/>
  <c r="BA198" i="2" s="1"/>
  <c r="AZ75" i="5"/>
  <c r="AZ198" i="2" s="1"/>
  <c r="AY75" i="5"/>
  <c r="AY198" i="2" s="1"/>
  <c r="AX75" i="5"/>
  <c r="AX198" i="2" s="1"/>
  <c r="AW75" i="5"/>
  <c r="AW198" i="2" s="1"/>
  <c r="AV75" i="5"/>
  <c r="AV198" i="2" s="1"/>
  <c r="AU75" i="5"/>
  <c r="AU198" i="2" s="1"/>
  <c r="AT75" i="5"/>
  <c r="AT198" i="2" s="1"/>
  <c r="AS75" i="5"/>
  <c r="AS198" i="2" s="1"/>
  <c r="AR75" i="5"/>
  <c r="AR198" i="2" s="1"/>
  <c r="AQ75" i="5"/>
  <c r="AQ198" i="2" s="1"/>
  <c r="AP75" i="5"/>
  <c r="AP198" i="2" s="1"/>
  <c r="AO75" i="5"/>
  <c r="AO198" i="2" s="1"/>
  <c r="AN75" i="5"/>
  <c r="AN198" i="2" s="1"/>
  <c r="AM75" i="5"/>
  <c r="AM198" i="2" s="1"/>
  <c r="AL75" i="5"/>
  <c r="AL198" i="2" s="1"/>
  <c r="AK75" i="5"/>
  <c r="AK198" i="2" s="1"/>
  <c r="AJ75" i="5"/>
  <c r="AJ198" i="2" s="1"/>
  <c r="AI75" i="5"/>
  <c r="AI198" i="2" s="1"/>
  <c r="AH75" i="5"/>
  <c r="AH198" i="2" s="1"/>
  <c r="AG75" i="5"/>
  <c r="AG198" i="2" s="1"/>
  <c r="AF75" i="5"/>
  <c r="AF198" i="2" s="1"/>
  <c r="AE75" i="5"/>
  <c r="AE198" i="2" s="1"/>
  <c r="AD75" i="5"/>
  <c r="AD198" i="2" s="1"/>
  <c r="AC75" i="5"/>
  <c r="AC198" i="2" s="1"/>
  <c r="AB75" i="5"/>
  <c r="AB198" i="2" s="1"/>
  <c r="AA75" i="5"/>
  <c r="AA198" i="2" s="1"/>
  <c r="Z75" i="5"/>
  <c r="Z198" i="2" s="1"/>
  <c r="Y75" i="5"/>
  <c r="Y198" i="2" s="1"/>
  <c r="X75" i="5"/>
  <c r="X198" i="2" s="1"/>
  <c r="W75" i="5"/>
  <c r="W198" i="2" s="1"/>
  <c r="V75" i="5"/>
  <c r="V198" i="2" s="1"/>
  <c r="U75" i="5"/>
  <c r="U198" i="2" s="1"/>
  <c r="T75" i="5"/>
  <c r="T198" i="2" s="1"/>
  <c r="S75" i="5"/>
  <c r="S198" i="2" s="1"/>
  <c r="R75" i="5"/>
  <c r="R198" i="2" s="1"/>
  <c r="Q75" i="5"/>
  <c r="Q198" i="2" s="1"/>
  <c r="P75" i="5"/>
  <c r="P198" i="2" s="1"/>
  <c r="O75" i="5"/>
  <c r="O198" i="2" s="1"/>
  <c r="N75" i="5"/>
  <c r="N198" i="2" s="1"/>
  <c r="M75" i="5"/>
  <c r="M198" i="2" s="1"/>
  <c r="L75" i="5"/>
  <c r="L198" i="2" s="1"/>
  <c r="K75" i="5"/>
  <c r="K198" i="2" s="1"/>
  <c r="J75" i="5"/>
  <c r="J198" i="2" s="1"/>
  <c r="I75" i="5"/>
  <c r="I198" i="2" s="1"/>
  <c r="H75" i="5"/>
  <c r="H198" i="2" s="1"/>
  <c r="G75" i="5"/>
  <c r="G198" i="2" s="1"/>
  <c r="F75" i="5"/>
  <c r="F198" i="2" s="1"/>
  <c r="E75" i="5"/>
  <c r="E198" i="2" s="1"/>
  <c r="BL74" i="5"/>
  <c r="BL197" i="2" s="1"/>
  <c r="BK74" i="5"/>
  <c r="BK197" i="2" s="1"/>
  <c r="BJ74" i="5"/>
  <c r="BJ197" i="2" s="1"/>
  <c r="BI74" i="5"/>
  <c r="BI197" i="2" s="1"/>
  <c r="BH74" i="5"/>
  <c r="BH197" i="2" s="1"/>
  <c r="BG74" i="5"/>
  <c r="BG197" i="2" s="1"/>
  <c r="BF74" i="5"/>
  <c r="BF197" i="2" s="1"/>
  <c r="BE74" i="5"/>
  <c r="BE197" i="2" s="1"/>
  <c r="BD74" i="5"/>
  <c r="BD197" i="2" s="1"/>
  <c r="BC74" i="5"/>
  <c r="BC197" i="2" s="1"/>
  <c r="BB74" i="5"/>
  <c r="BB197" i="2" s="1"/>
  <c r="BA74" i="5"/>
  <c r="BA197" i="2" s="1"/>
  <c r="AZ74" i="5"/>
  <c r="AZ197" i="2" s="1"/>
  <c r="AY74" i="5"/>
  <c r="AY197" i="2" s="1"/>
  <c r="AX74" i="5"/>
  <c r="AX197" i="2" s="1"/>
  <c r="AW74" i="5"/>
  <c r="AW197" i="2" s="1"/>
  <c r="AV74" i="5"/>
  <c r="AV197" i="2" s="1"/>
  <c r="AU74" i="5"/>
  <c r="AU197" i="2" s="1"/>
  <c r="AT74" i="5"/>
  <c r="AT197" i="2" s="1"/>
  <c r="AS74" i="5"/>
  <c r="AS197" i="2" s="1"/>
  <c r="AR74" i="5"/>
  <c r="AR197" i="2" s="1"/>
  <c r="AQ74" i="5"/>
  <c r="AQ197" i="2" s="1"/>
  <c r="AP74" i="5"/>
  <c r="AP197" i="2" s="1"/>
  <c r="AO74" i="5"/>
  <c r="AO197" i="2" s="1"/>
  <c r="AN74" i="5"/>
  <c r="AN197" i="2" s="1"/>
  <c r="AM74" i="5"/>
  <c r="AM197" i="2" s="1"/>
  <c r="AL74" i="5"/>
  <c r="AL197" i="2" s="1"/>
  <c r="AK74" i="5"/>
  <c r="AK197" i="2" s="1"/>
  <c r="AJ74" i="5"/>
  <c r="AJ197" i="2" s="1"/>
  <c r="AI74" i="5"/>
  <c r="AI197" i="2" s="1"/>
  <c r="AH74" i="5"/>
  <c r="AH197" i="2" s="1"/>
  <c r="AG74" i="5"/>
  <c r="AG197" i="2" s="1"/>
  <c r="AF74" i="5"/>
  <c r="AF197" i="2" s="1"/>
  <c r="AE74" i="5"/>
  <c r="AE197" i="2" s="1"/>
  <c r="AD74" i="5"/>
  <c r="AD197" i="2" s="1"/>
  <c r="AC74" i="5"/>
  <c r="AC197" i="2" s="1"/>
  <c r="AB74" i="5"/>
  <c r="AB197" i="2" s="1"/>
  <c r="AA74" i="5"/>
  <c r="AA197" i="2" s="1"/>
  <c r="Z74" i="5"/>
  <c r="Z197" i="2" s="1"/>
  <c r="Y74" i="5"/>
  <c r="Y197" i="2" s="1"/>
  <c r="X74" i="5"/>
  <c r="X197" i="2" s="1"/>
  <c r="W74" i="5"/>
  <c r="W197" i="2" s="1"/>
  <c r="V74" i="5"/>
  <c r="V197" i="2" s="1"/>
  <c r="U74" i="5"/>
  <c r="U197" i="2" s="1"/>
  <c r="T74" i="5"/>
  <c r="T197" i="2" s="1"/>
  <c r="S74" i="5"/>
  <c r="S197" i="2" s="1"/>
  <c r="R74" i="5"/>
  <c r="R197" i="2" s="1"/>
  <c r="Q74" i="5"/>
  <c r="Q197" i="2" s="1"/>
  <c r="P74" i="5"/>
  <c r="P197" i="2" s="1"/>
  <c r="O74" i="5"/>
  <c r="O197" i="2" s="1"/>
  <c r="N74" i="5"/>
  <c r="N197" i="2" s="1"/>
  <c r="M74" i="5"/>
  <c r="M197" i="2" s="1"/>
  <c r="L74" i="5"/>
  <c r="L197" i="2" s="1"/>
  <c r="K74" i="5"/>
  <c r="K197" i="2" s="1"/>
  <c r="J74" i="5"/>
  <c r="J197" i="2" s="1"/>
  <c r="I74" i="5"/>
  <c r="I197" i="2" s="1"/>
  <c r="H74" i="5"/>
  <c r="H197" i="2" s="1"/>
  <c r="G74" i="5"/>
  <c r="G197" i="2" s="1"/>
  <c r="F74" i="5"/>
  <c r="F197" i="2" s="1"/>
  <c r="E74" i="5"/>
  <c r="E197" i="2" s="1"/>
  <c r="BL73" i="5"/>
  <c r="BL196" i="2" s="1"/>
  <c r="BK73" i="5"/>
  <c r="BK196" i="2" s="1"/>
  <c r="BJ73" i="5"/>
  <c r="BJ196" i="2" s="1"/>
  <c r="BI73" i="5"/>
  <c r="BI196" i="2" s="1"/>
  <c r="BH73" i="5"/>
  <c r="BH196" i="2" s="1"/>
  <c r="BG73" i="5"/>
  <c r="BG196" i="2" s="1"/>
  <c r="BF73" i="5"/>
  <c r="BF196" i="2" s="1"/>
  <c r="BE73" i="5"/>
  <c r="BE196" i="2" s="1"/>
  <c r="BD73" i="5"/>
  <c r="BD196" i="2" s="1"/>
  <c r="BC73" i="5"/>
  <c r="BC196" i="2" s="1"/>
  <c r="BB73" i="5"/>
  <c r="BB196" i="2" s="1"/>
  <c r="BA73" i="5"/>
  <c r="BA196" i="2" s="1"/>
  <c r="AZ73" i="5"/>
  <c r="AZ196" i="2" s="1"/>
  <c r="AY73" i="5"/>
  <c r="AY196" i="2" s="1"/>
  <c r="AX73" i="5"/>
  <c r="AX196" i="2" s="1"/>
  <c r="AW73" i="5"/>
  <c r="AW196" i="2" s="1"/>
  <c r="AV73" i="5"/>
  <c r="AV196" i="2" s="1"/>
  <c r="AU73" i="5"/>
  <c r="AU196" i="2" s="1"/>
  <c r="AT73" i="5"/>
  <c r="AT196" i="2" s="1"/>
  <c r="AS73" i="5"/>
  <c r="AS196" i="2" s="1"/>
  <c r="AR73" i="5"/>
  <c r="AR196" i="2" s="1"/>
  <c r="AQ73" i="5"/>
  <c r="AQ196" i="2" s="1"/>
  <c r="AP73" i="5"/>
  <c r="AP196" i="2" s="1"/>
  <c r="AO73" i="5"/>
  <c r="AO196" i="2" s="1"/>
  <c r="AN73" i="5"/>
  <c r="AN196" i="2" s="1"/>
  <c r="AM73" i="5"/>
  <c r="AM196" i="2" s="1"/>
  <c r="AL73" i="5"/>
  <c r="AL196" i="2" s="1"/>
  <c r="AK73" i="5"/>
  <c r="AK196" i="2" s="1"/>
  <c r="AJ73" i="5"/>
  <c r="AJ196" i="2" s="1"/>
  <c r="AI73" i="5"/>
  <c r="AI196" i="2" s="1"/>
  <c r="AH73" i="5"/>
  <c r="AH196" i="2" s="1"/>
  <c r="AG73" i="5"/>
  <c r="AG196" i="2" s="1"/>
  <c r="AF73" i="5"/>
  <c r="AF196" i="2" s="1"/>
  <c r="AE73" i="5"/>
  <c r="AE196" i="2" s="1"/>
  <c r="AD73" i="5"/>
  <c r="AD196" i="2" s="1"/>
  <c r="AC73" i="5"/>
  <c r="AC196" i="2" s="1"/>
  <c r="AB73" i="5"/>
  <c r="AB196" i="2" s="1"/>
  <c r="AA73" i="5"/>
  <c r="AA196" i="2" s="1"/>
  <c r="Z73" i="5"/>
  <c r="Z196" i="2" s="1"/>
  <c r="Y73" i="5"/>
  <c r="Y196" i="2" s="1"/>
  <c r="X73" i="5"/>
  <c r="X196" i="2" s="1"/>
  <c r="W73" i="5"/>
  <c r="W196" i="2" s="1"/>
  <c r="V73" i="5"/>
  <c r="V196" i="2" s="1"/>
  <c r="U73" i="5"/>
  <c r="U196" i="2" s="1"/>
  <c r="T73" i="5"/>
  <c r="T196" i="2" s="1"/>
  <c r="S73" i="5"/>
  <c r="S196" i="2" s="1"/>
  <c r="R73" i="5"/>
  <c r="R196" i="2" s="1"/>
  <c r="Q73" i="5"/>
  <c r="Q196" i="2" s="1"/>
  <c r="P73" i="5"/>
  <c r="P196" i="2" s="1"/>
  <c r="O73" i="5"/>
  <c r="O196" i="2" s="1"/>
  <c r="N73" i="5"/>
  <c r="N196" i="2" s="1"/>
  <c r="M73" i="5"/>
  <c r="M196" i="2" s="1"/>
  <c r="L73" i="5"/>
  <c r="L196" i="2" s="1"/>
  <c r="K73" i="5"/>
  <c r="K196" i="2" s="1"/>
  <c r="J73" i="5"/>
  <c r="J196" i="2" s="1"/>
  <c r="I73" i="5"/>
  <c r="I196" i="2" s="1"/>
  <c r="H73" i="5"/>
  <c r="H196" i="2" s="1"/>
  <c r="G73" i="5"/>
  <c r="G196" i="2" s="1"/>
  <c r="F73" i="5"/>
  <c r="F196" i="2" s="1"/>
  <c r="E73" i="5"/>
  <c r="E196" i="2" s="1"/>
  <c r="BL72" i="5"/>
  <c r="BL195" i="2" s="1"/>
  <c r="BK72" i="5"/>
  <c r="BK195" i="2" s="1"/>
  <c r="BJ72" i="5"/>
  <c r="BJ195" i="2" s="1"/>
  <c r="BI72" i="5"/>
  <c r="BI195" i="2" s="1"/>
  <c r="BH72" i="5"/>
  <c r="BH195" i="2" s="1"/>
  <c r="BG72" i="5"/>
  <c r="BG195" i="2" s="1"/>
  <c r="BF72" i="5"/>
  <c r="BF195" i="2" s="1"/>
  <c r="BE72" i="5"/>
  <c r="BE195" i="2" s="1"/>
  <c r="BD72" i="5"/>
  <c r="BD195" i="2" s="1"/>
  <c r="BC72" i="5"/>
  <c r="BC195" i="2" s="1"/>
  <c r="BB72" i="5"/>
  <c r="BB195" i="2" s="1"/>
  <c r="BA72" i="5"/>
  <c r="BA195" i="2" s="1"/>
  <c r="AZ72" i="5"/>
  <c r="AZ195" i="2" s="1"/>
  <c r="AY72" i="5"/>
  <c r="AY195" i="2" s="1"/>
  <c r="AX72" i="5"/>
  <c r="AX195" i="2" s="1"/>
  <c r="AW72" i="5"/>
  <c r="AW195" i="2" s="1"/>
  <c r="AV72" i="5"/>
  <c r="AV195" i="2" s="1"/>
  <c r="AU72" i="5"/>
  <c r="AU195" i="2" s="1"/>
  <c r="AT72" i="5"/>
  <c r="AT195" i="2" s="1"/>
  <c r="AS72" i="5"/>
  <c r="AS195" i="2" s="1"/>
  <c r="AR72" i="5"/>
  <c r="AR195" i="2" s="1"/>
  <c r="AQ72" i="5"/>
  <c r="AQ195" i="2" s="1"/>
  <c r="AP72" i="5"/>
  <c r="AP195" i="2" s="1"/>
  <c r="AO72" i="5"/>
  <c r="AO195" i="2" s="1"/>
  <c r="AN72" i="5"/>
  <c r="AN195" i="2" s="1"/>
  <c r="AM72" i="5"/>
  <c r="AM195" i="2" s="1"/>
  <c r="AL72" i="5"/>
  <c r="AL195" i="2" s="1"/>
  <c r="AK72" i="5"/>
  <c r="AK195" i="2" s="1"/>
  <c r="AJ72" i="5"/>
  <c r="AJ195" i="2" s="1"/>
  <c r="AI72" i="5"/>
  <c r="AI195" i="2" s="1"/>
  <c r="AH72" i="5"/>
  <c r="AH195" i="2" s="1"/>
  <c r="AG72" i="5"/>
  <c r="AG195" i="2" s="1"/>
  <c r="AF72" i="5"/>
  <c r="AF195" i="2" s="1"/>
  <c r="AE72" i="5"/>
  <c r="AE195" i="2" s="1"/>
  <c r="AD72" i="5"/>
  <c r="AD195" i="2" s="1"/>
  <c r="AC72" i="5"/>
  <c r="AC195" i="2" s="1"/>
  <c r="AB72" i="5"/>
  <c r="AB195" i="2" s="1"/>
  <c r="AA72" i="5"/>
  <c r="AA195" i="2" s="1"/>
  <c r="Z72" i="5"/>
  <c r="Z195" i="2" s="1"/>
  <c r="Y72" i="5"/>
  <c r="Y195" i="2" s="1"/>
  <c r="X72" i="5"/>
  <c r="X195" i="2" s="1"/>
  <c r="W72" i="5"/>
  <c r="W195" i="2" s="1"/>
  <c r="V72" i="5"/>
  <c r="V195" i="2" s="1"/>
  <c r="U72" i="5"/>
  <c r="U195" i="2" s="1"/>
  <c r="T72" i="5"/>
  <c r="T195" i="2" s="1"/>
  <c r="S72" i="5"/>
  <c r="S195" i="2" s="1"/>
  <c r="R72" i="5"/>
  <c r="R195" i="2" s="1"/>
  <c r="Q72" i="5"/>
  <c r="Q195" i="2" s="1"/>
  <c r="P72" i="5"/>
  <c r="P195" i="2" s="1"/>
  <c r="O72" i="5"/>
  <c r="O195" i="2" s="1"/>
  <c r="N72" i="5"/>
  <c r="N195" i="2" s="1"/>
  <c r="M72" i="5"/>
  <c r="M195" i="2" s="1"/>
  <c r="L72" i="5"/>
  <c r="L195" i="2" s="1"/>
  <c r="K72" i="5"/>
  <c r="K195" i="2" s="1"/>
  <c r="J72" i="5"/>
  <c r="J195" i="2" s="1"/>
  <c r="I72" i="5"/>
  <c r="I195" i="2" s="1"/>
  <c r="H72" i="5"/>
  <c r="H195" i="2" s="1"/>
  <c r="G72" i="5"/>
  <c r="G195" i="2" s="1"/>
  <c r="F72" i="5"/>
  <c r="F195" i="2" s="1"/>
  <c r="E72" i="5"/>
  <c r="E195" i="2" s="1"/>
  <c r="BL71" i="5"/>
  <c r="BL194" i="2" s="1"/>
  <c r="BK71" i="5"/>
  <c r="BK194" i="2" s="1"/>
  <c r="BJ71" i="5"/>
  <c r="BJ194" i="2" s="1"/>
  <c r="BI71" i="5"/>
  <c r="BI194" i="2" s="1"/>
  <c r="BH71" i="5"/>
  <c r="BH194" i="2" s="1"/>
  <c r="BG71" i="5"/>
  <c r="BG194" i="2" s="1"/>
  <c r="BF71" i="5"/>
  <c r="BF194" i="2" s="1"/>
  <c r="BE71" i="5"/>
  <c r="BE194" i="2" s="1"/>
  <c r="BD71" i="5"/>
  <c r="BD194" i="2" s="1"/>
  <c r="BC71" i="5"/>
  <c r="BC194" i="2" s="1"/>
  <c r="BB71" i="5"/>
  <c r="BB194" i="2" s="1"/>
  <c r="BA71" i="5"/>
  <c r="BA194" i="2" s="1"/>
  <c r="AZ71" i="5"/>
  <c r="AZ194" i="2" s="1"/>
  <c r="AY71" i="5"/>
  <c r="AY194" i="2" s="1"/>
  <c r="AX71" i="5"/>
  <c r="AX194" i="2" s="1"/>
  <c r="AW71" i="5"/>
  <c r="AW194" i="2" s="1"/>
  <c r="AV71" i="5"/>
  <c r="AV194" i="2" s="1"/>
  <c r="AU71" i="5"/>
  <c r="AU194" i="2" s="1"/>
  <c r="AT71" i="5"/>
  <c r="AT194" i="2" s="1"/>
  <c r="AS71" i="5"/>
  <c r="AS194" i="2" s="1"/>
  <c r="AR71" i="5"/>
  <c r="AR194" i="2" s="1"/>
  <c r="AQ71" i="5"/>
  <c r="AQ194" i="2" s="1"/>
  <c r="AP71" i="5"/>
  <c r="AP194" i="2" s="1"/>
  <c r="AO71" i="5"/>
  <c r="AO194" i="2" s="1"/>
  <c r="AN71" i="5"/>
  <c r="AN194" i="2" s="1"/>
  <c r="AM71" i="5"/>
  <c r="AM194" i="2" s="1"/>
  <c r="AL71" i="5"/>
  <c r="AL194" i="2" s="1"/>
  <c r="AK71" i="5"/>
  <c r="AK194" i="2" s="1"/>
  <c r="AJ71" i="5"/>
  <c r="AJ194" i="2" s="1"/>
  <c r="AI71" i="5"/>
  <c r="AI194" i="2" s="1"/>
  <c r="AH71" i="5"/>
  <c r="AH194" i="2" s="1"/>
  <c r="AG71" i="5"/>
  <c r="AG194" i="2" s="1"/>
  <c r="AF71" i="5"/>
  <c r="AF194" i="2" s="1"/>
  <c r="AE71" i="5"/>
  <c r="AE194" i="2" s="1"/>
  <c r="AD71" i="5"/>
  <c r="AD194" i="2" s="1"/>
  <c r="AC71" i="5"/>
  <c r="AC194" i="2" s="1"/>
  <c r="AB71" i="5"/>
  <c r="AB194" i="2" s="1"/>
  <c r="AA71" i="5"/>
  <c r="AA194" i="2" s="1"/>
  <c r="Z71" i="5"/>
  <c r="Z194" i="2" s="1"/>
  <c r="Y71" i="5"/>
  <c r="Y194" i="2" s="1"/>
  <c r="X71" i="5"/>
  <c r="X194" i="2" s="1"/>
  <c r="W71" i="5"/>
  <c r="W194" i="2" s="1"/>
  <c r="V71" i="5"/>
  <c r="V194" i="2" s="1"/>
  <c r="U71" i="5"/>
  <c r="U194" i="2" s="1"/>
  <c r="T71" i="5"/>
  <c r="T194" i="2" s="1"/>
  <c r="S71" i="5"/>
  <c r="S194" i="2" s="1"/>
  <c r="R71" i="5"/>
  <c r="R194" i="2" s="1"/>
  <c r="Q71" i="5"/>
  <c r="Q194" i="2" s="1"/>
  <c r="P71" i="5"/>
  <c r="P194" i="2" s="1"/>
  <c r="O71" i="5"/>
  <c r="O194" i="2" s="1"/>
  <c r="N71" i="5"/>
  <c r="N194" i="2" s="1"/>
  <c r="M71" i="5"/>
  <c r="M194" i="2" s="1"/>
  <c r="L71" i="5"/>
  <c r="L194" i="2" s="1"/>
  <c r="K71" i="5"/>
  <c r="K194" i="2" s="1"/>
  <c r="J71" i="5"/>
  <c r="J194" i="2" s="1"/>
  <c r="I71" i="5"/>
  <c r="I194" i="2" s="1"/>
  <c r="H71" i="5"/>
  <c r="H194" i="2" s="1"/>
  <c r="G71" i="5"/>
  <c r="G194" i="2" s="1"/>
  <c r="F71" i="5"/>
  <c r="F194" i="2" s="1"/>
  <c r="E71" i="5"/>
  <c r="E194" i="2" s="1"/>
  <c r="BL70" i="5"/>
  <c r="BL193" i="2" s="1"/>
  <c r="BK70" i="5"/>
  <c r="BK193" i="2" s="1"/>
  <c r="BJ70" i="5"/>
  <c r="BJ193" i="2" s="1"/>
  <c r="BI70" i="5"/>
  <c r="BI193" i="2" s="1"/>
  <c r="BH70" i="5"/>
  <c r="BH193" i="2" s="1"/>
  <c r="BG70" i="5"/>
  <c r="BG193" i="2" s="1"/>
  <c r="BF70" i="5"/>
  <c r="BF193" i="2" s="1"/>
  <c r="BE70" i="5"/>
  <c r="BE193" i="2" s="1"/>
  <c r="BD70" i="5"/>
  <c r="BD193" i="2" s="1"/>
  <c r="BC70" i="5"/>
  <c r="BC193" i="2" s="1"/>
  <c r="BB70" i="5"/>
  <c r="BB193" i="2" s="1"/>
  <c r="BA70" i="5"/>
  <c r="BA193" i="2" s="1"/>
  <c r="AZ70" i="5"/>
  <c r="AZ193" i="2" s="1"/>
  <c r="AY70" i="5"/>
  <c r="AY193" i="2" s="1"/>
  <c r="AX70" i="5"/>
  <c r="AX193" i="2" s="1"/>
  <c r="AW70" i="5"/>
  <c r="AW193" i="2" s="1"/>
  <c r="AV70" i="5"/>
  <c r="AV193" i="2" s="1"/>
  <c r="AU70" i="5"/>
  <c r="AU193" i="2" s="1"/>
  <c r="AT70" i="5"/>
  <c r="AT193" i="2" s="1"/>
  <c r="AS70" i="5"/>
  <c r="AS193" i="2" s="1"/>
  <c r="AR70" i="5"/>
  <c r="AR193" i="2" s="1"/>
  <c r="AQ70" i="5"/>
  <c r="AQ193" i="2" s="1"/>
  <c r="AP70" i="5"/>
  <c r="AP193" i="2" s="1"/>
  <c r="AO70" i="5"/>
  <c r="AO193" i="2" s="1"/>
  <c r="AN70" i="5"/>
  <c r="AN193" i="2" s="1"/>
  <c r="AM70" i="5"/>
  <c r="AM193" i="2" s="1"/>
  <c r="AL70" i="5"/>
  <c r="AL193" i="2" s="1"/>
  <c r="AK70" i="5"/>
  <c r="AK193" i="2" s="1"/>
  <c r="AJ70" i="5"/>
  <c r="AJ193" i="2" s="1"/>
  <c r="AI70" i="5"/>
  <c r="AI193" i="2" s="1"/>
  <c r="AH70" i="5"/>
  <c r="AH193" i="2" s="1"/>
  <c r="AG70" i="5"/>
  <c r="AG193" i="2" s="1"/>
  <c r="AF70" i="5"/>
  <c r="AF193" i="2" s="1"/>
  <c r="AE70" i="5"/>
  <c r="AE193" i="2" s="1"/>
  <c r="AD70" i="5"/>
  <c r="AD193" i="2" s="1"/>
  <c r="AC70" i="5"/>
  <c r="AC193" i="2" s="1"/>
  <c r="AB70" i="5"/>
  <c r="AB193" i="2" s="1"/>
  <c r="AA70" i="5"/>
  <c r="AA193" i="2" s="1"/>
  <c r="Z70" i="5"/>
  <c r="Z193" i="2" s="1"/>
  <c r="Y70" i="5"/>
  <c r="Y193" i="2" s="1"/>
  <c r="X70" i="5"/>
  <c r="X193" i="2" s="1"/>
  <c r="W70" i="5"/>
  <c r="W193" i="2" s="1"/>
  <c r="V70" i="5"/>
  <c r="V193" i="2" s="1"/>
  <c r="U70" i="5"/>
  <c r="U193" i="2" s="1"/>
  <c r="T70" i="5"/>
  <c r="T193" i="2" s="1"/>
  <c r="S70" i="5"/>
  <c r="S193" i="2" s="1"/>
  <c r="R70" i="5"/>
  <c r="R193" i="2" s="1"/>
  <c r="Q70" i="5"/>
  <c r="Q193" i="2" s="1"/>
  <c r="P70" i="5"/>
  <c r="P193" i="2" s="1"/>
  <c r="O70" i="5"/>
  <c r="O193" i="2" s="1"/>
  <c r="N70" i="5"/>
  <c r="N193" i="2" s="1"/>
  <c r="M70" i="5"/>
  <c r="M193" i="2" s="1"/>
  <c r="L70" i="5"/>
  <c r="L193" i="2" s="1"/>
  <c r="K70" i="5"/>
  <c r="K193" i="2" s="1"/>
  <c r="J70" i="5"/>
  <c r="J193" i="2" s="1"/>
  <c r="I70" i="5"/>
  <c r="I193" i="2" s="1"/>
  <c r="H70" i="5"/>
  <c r="H193" i="2" s="1"/>
  <c r="G70" i="5"/>
  <c r="G193" i="2" s="1"/>
  <c r="F70" i="5"/>
  <c r="F193" i="2" s="1"/>
  <c r="E70" i="5"/>
  <c r="E193" i="2" s="1"/>
  <c r="BL69" i="5"/>
  <c r="BL192" i="2" s="1"/>
  <c r="BK69" i="5"/>
  <c r="BK192" i="2" s="1"/>
  <c r="BJ69" i="5"/>
  <c r="BJ192" i="2" s="1"/>
  <c r="BI69" i="5"/>
  <c r="BI192" i="2" s="1"/>
  <c r="BH69" i="5"/>
  <c r="BH192" i="2" s="1"/>
  <c r="BG69" i="5"/>
  <c r="BG192" i="2" s="1"/>
  <c r="BF69" i="5"/>
  <c r="BF192" i="2" s="1"/>
  <c r="BE69" i="5"/>
  <c r="BE192" i="2" s="1"/>
  <c r="BD69" i="5"/>
  <c r="BD192" i="2" s="1"/>
  <c r="BC69" i="5"/>
  <c r="BC192" i="2" s="1"/>
  <c r="BB69" i="5"/>
  <c r="BB192" i="2" s="1"/>
  <c r="BA69" i="5"/>
  <c r="BA192" i="2" s="1"/>
  <c r="AZ69" i="5"/>
  <c r="AZ192" i="2" s="1"/>
  <c r="AY69" i="5"/>
  <c r="AY192" i="2" s="1"/>
  <c r="AX69" i="5"/>
  <c r="AX192" i="2" s="1"/>
  <c r="AW69" i="5"/>
  <c r="AW192" i="2" s="1"/>
  <c r="AV69" i="5"/>
  <c r="AV192" i="2" s="1"/>
  <c r="AU69" i="5"/>
  <c r="AU192" i="2" s="1"/>
  <c r="AT69" i="5"/>
  <c r="AT192" i="2" s="1"/>
  <c r="AS69" i="5"/>
  <c r="AS192" i="2" s="1"/>
  <c r="AR69" i="5"/>
  <c r="AR192" i="2" s="1"/>
  <c r="AQ69" i="5"/>
  <c r="AQ192" i="2" s="1"/>
  <c r="AP69" i="5"/>
  <c r="AP192" i="2" s="1"/>
  <c r="AO69" i="5"/>
  <c r="AO192" i="2" s="1"/>
  <c r="AN69" i="5"/>
  <c r="AN192" i="2" s="1"/>
  <c r="AM69" i="5"/>
  <c r="AM192" i="2" s="1"/>
  <c r="AL69" i="5"/>
  <c r="AL192" i="2" s="1"/>
  <c r="AK69" i="5"/>
  <c r="AK192" i="2" s="1"/>
  <c r="AJ69" i="5"/>
  <c r="AJ192" i="2" s="1"/>
  <c r="AI69" i="5"/>
  <c r="AI192" i="2" s="1"/>
  <c r="AH69" i="5"/>
  <c r="AH192" i="2" s="1"/>
  <c r="AG69" i="5"/>
  <c r="AG192" i="2" s="1"/>
  <c r="AF69" i="5"/>
  <c r="AF192" i="2" s="1"/>
  <c r="AE69" i="5"/>
  <c r="AE192" i="2" s="1"/>
  <c r="AD69" i="5"/>
  <c r="AD192" i="2" s="1"/>
  <c r="AC69" i="5"/>
  <c r="AC192" i="2" s="1"/>
  <c r="AB69" i="5"/>
  <c r="AB192" i="2" s="1"/>
  <c r="AA69" i="5"/>
  <c r="AA192" i="2" s="1"/>
  <c r="Z69" i="5"/>
  <c r="Z192" i="2" s="1"/>
  <c r="Y69" i="5"/>
  <c r="Y192" i="2" s="1"/>
  <c r="X69" i="5"/>
  <c r="X192" i="2" s="1"/>
  <c r="W69" i="5"/>
  <c r="W192" i="2" s="1"/>
  <c r="V69" i="5"/>
  <c r="V192" i="2" s="1"/>
  <c r="U69" i="5"/>
  <c r="U192" i="2" s="1"/>
  <c r="T69" i="5"/>
  <c r="T192" i="2" s="1"/>
  <c r="S69" i="5"/>
  <c r="S192" i="2" s="1"/>
  <c r="R69" i="5"/>
  <c r="R192" i="2" s="1"/>
  <c r="Q69" i="5"/>
  <c r="Q192" i="2" s="1"/>
  <c r="P69" i="5"/>
  <c r="P192" i="2" s="1"/>
  <c r="O69" i="5"/>
  <c r="O192" i="2" s="1"/>
  <c r="N69" i="5"/>
  <c r="N192" i="2" s="1"/>
  <c r="M69" i="5"/>
  <c r="M192" i="2" s="1"/>
  <c r="L69" i="5"/>
  <c r="L192" i="2" s="1"/>
  <c r="K69" i="5"/>
  <c r="K192" i="2" s="1"/>
  <c r="J69" i="5"/>
  <c r="J192" i="2" s="1"/>
  <c r="I69" i="5"/>
  <c r="I192" i="2" s="1"/>
  <c r="H69" i="5"/>
  <c r="H192" i="2" s="1"/>
  <c r="G69" i="5"/>
  <c r="G192" i="2" s="1"/>
  <c r="F69" i="5"/>
  <c r="F192" i="2" s="1"/>
  <c r="E69" i="5"/>
  <c r="E192" i="2" s="1"/>
  <c r="BL68" i="5"/>
  <c r="BL191" i="2" s="1"/>
  <c r="BK68" i="5"/>
  <c r="BK191" i="2" s="1"/>
  <c r="BJ68" i="5"/>
  <c r="BJ191" i="2" s="1"/>
  <c r="BI68" i="5"/>
  <c r="BI191" i="2" s="1"/>
  <c r="BH68" i="5"/>
  <c r="BH191" i="2" s="1"/>
  <c r="BG68" i="5"/>
  <c r="BG191" i="2" s="1"/>
  <c r="BF68" i="5"/>
  <c r="BF191" i="2" s="1"/>
  <c r="BE68" i="5"/>
  <c r="BE191" i="2" s="1"/>
  <c r="BD68" i="5"/>
  <c r="BD191" i="2" s="1"/>
  <c r="BC68" i="5"/>
  <c r="BC191" i="2" s="1"/>
  <c r="BB68" i="5"/>
  <c r="BB191" i="2" s="1"/>
  <c r="BA68" i="5"/>
  <c r="BA191" i="2" s="1"/>
  <c r="AZ68" i="5"/>
  <c r="AZ191" i="2" s="1"/>
  <c r="AY68" i="5"/>
  <c r="AY191" i="2" s="1"/>
  <c r="AX68" i="5"/>
  <c r="AX191" i="2" s="1"/>
  <c r="AW68" i="5"/>
  <c r="AW191" i="2" s="1"/>
  <c r="AV68" i="5"/>
  <c r="AV191" i="2" s="1"/>
  <c r="AU68" i="5"/>
  <c r="AU191" i="2" s="1"/>
  <c r="AT68" i="5"/>
  <c r="AT191" i="2" s="1"/>
  <c r="AS68" i="5"/>
  <c r="AS191" i="2" s="1"/>
  <c r="AR68" i="5"/>
  <c r="AR191" i="2" s="1"/>
  <c r="AQ68" i="5"/>
  <c r="AQ191" i="2" s="1"/>
  <c r="AP68" i="5"/>
  <c r="AP191" i="2" s="1"/>
  <c r="AO68" i="5"/>
  <c r="AO191" i="2" s="1"/>
  <c r="AN68" i="5"/>
  <c r="AN191" i="2" s="1"/>
  <c r="AM68" i="5"/>
  <c r="AM191" i="2" s="1"/>
  <c r="AL68" i="5"/>
  <c r="AL191" i="2" s="1"/>
  <c r="AK68" i="5"/>
  <c r="AK191" i="2" s="1"/>
  <c r="AJ68" i="5"/>
  <c r="AJ191" i="2" s="1"/>
  <c r="AI68" i="5"/>
  <c r="AI191" i="2" s="1"/>
  <c r="AH68" i="5"/>
  <c r="AH191" i="2" s="1"/>
  <c r="AG68" i="5"/>
  <c r="AG191" i="2" s="1"/>
  <c r="AF68" i="5"/>
  <c r="AF191" i="2" s="1"/>
  <c r="AE68" i="5"/>
  <c r="AE191" i="2" s="1"/>
  <c r="AD68" i="5"/>
  <c r="AD191" i="2" s="1"/>
  <c r="AC68" i="5"/>
  <c r="AC191" i="2" s="1"/>
  <c r="AB68" i="5"/>
  <c r="AB191" i="2" s="1"/>
  <c r="AA68" i="5"/>
  <c r="AA191" i="2" s="1"/>
  <c r="Z68" i="5"/>
  <c r="Z191" i="2" s="1"/>
  <c r="Y68" i="5"/>
  <c r="Y191" i="2" s="1"/>
  <c r="X68" i="5"/>
  <c r="X191" i="2" s="1"/>
  <c r="W68" i="5"/>
  <c r="W191" i="2" s="1"/>
  <c r="V68" i="5"/>
  <c r="V191" i="2" s="1"/>
  <c r="U68" i="5"/>
  <c r="U191" i="2" s="1"/>
  <c r="T68" i="5"/>
  <c r="T191" i="2" s="1"/>
  <c r="S68" i="5"/>
  <c r="S191" i="2" s="1"/>
  <c r="R68" i="5"/>
  <c r="R191" i="2" s="1"/>
  <c r="Q68" i="5"/>
  <c r="Q191" i="2" s="1"/>
  <c r="P68" i="5"/>
  <c r="P191" i="2" s="1"/>
  <c r="O68" i="5"/>
  <c r="O191" i="2" s="1"/>
  <c r="N68" i="5"/>
  <c r="N191" i="2" s="1"/>
  <c r="M68" i="5"/>
  <c r="M191" i="2" s="1"/>
  <c r="L68" i="5"/>
  <c r="L191" i="2" s="1"/>
  <c r="K68" i="5"/>
  <c r="K191" i="2" s="1"/>
  <c r="J68" i="5"/>
  <c r="J191" i="2" s="1"/>
  <c r="I68" i="5"/>
  <c r="I191" i="2" s="1"/>
  <c r="H68" i="5"/>
  <c r="H191" i="2" s="1"/>
  <c r="G68" i="5"/>
  <c r="G191" i="2" s="1"/>
  <c r="F68" i="5"/>
  <c r="F191" i="2" s="1"/>
  <c r="E68" i="5"/>
  <c r="E191" i="2" s="1"/>
  <c r="BL67" i="5"/>
  <c r="BL190" i="2" s="1"/>
  <c r="BK67" i="5"/>
  <c r="BK190" i="2" s="1"/>
  <c r="BJ67" i="5"/>
  <c r="BJ190" i="2" s="1"/>
  <c r="BI67" i="5"/>
  <c r="BI190" i="2" s="1"/>
  <c r="BH67" i="5"/>
  <c r="BH190" i="2" s="1"/>
  <c r="BG67" i="5"/>
  <c r="BG190" i="2" s="1"/>
  <c r="BF67" i="5"/>
  <c r="BF190" i="2" s="1"/>
  <c r="BE67" i="5"/>
  <c r="BE190" i="2" s="1"/>
  <c r="BD67" i="5"/>
  <c r="BD190" i="2" s="1"/>
  <c r="BC67" i="5"/>
  <c r="BC190" i="2" s="1"/>
  <c r="BB67" i="5"/>
  <c r="BB190" i="2" s="1"/>
  <c r="BA67" i="5"/>
  <c r="BA190" i="2" s="1"/>
  <c r="AZ67" i="5"/>
  <c r="AZ190" i="2" s="1"/>
  <c r="AY67" i="5"/>
  <c r="AY190" i="2" s="1"/>
  <c r="AX67" i="5"/>
  <c r="AX190" i="2" s="1"/>
  <c r="AW67" i="5"/>
  <c r="AW190" i="2" s="1"/>
  <c r="AV67" i="5"/>
  <c r="AV190" i="2" s="1"/>
  <c r="AU67" i="5"/>
  <c r="AU190" i="2" s="1"/>
  <c r="AT67" i="5"/>
  <c r="AT190" i="2" s="1"/>
  <c r="AS67" i="5"/>
  <c r="AS190" i="2" s="1"/>
  <c r="AR67" i="5"/>
  <c r="AR190" i="2" s="1"/>
  <c r="AQ67" i="5"/>
  <c r="AQ190" i="2" s="1"/>
  <c r="AP67" i="5"/>
  <c r="AP190" i="2" s="1"/>
  <c r="AO67" i="5"/>
  <c r="AO190" i="2" s="1"/>
  <c r="AN67" i="5"/>
  <c r="AN190" i="2" s="1"/>
  <c r="AM67" i="5"/>
  <c r="AM190" i="2" s="1"/>
  <c r="AL67" i="5"/>
  <c r="AL190" i="2" s="1"/>
  <c r="AK67" i="5"/>
  <c r="AK190" i="2" s="1"/>
  <c r="AJ67" i="5"/>
  <c r="AJ190" i="2" s="1"/>
  <c r="AI67" i="5"/>
  <c r="AI190" i="2" s="1"/>
  <c r="AH67" i="5"/>
  <c r="AH190" i="2" s="1"/>
  <c r="AG67" i="5"/>
  <c r="AG190" i="2" s="1"/>
  <c r="AF67" i="5"/>
  <c r="AF190" i="2" s="1"/>
  <c r="AE67" i="5"/>
  <c r="AE190" i="2" s="1"/>
  <c r="AD67" i="5"/>
  <c r="AD190" i="2" s="1"/>
  <c r="AC67" i="5"/>
  <c r="AC190" i="2" s="1"/>
  <c r="AB67" i="5"/>
  <c r="AB190" i="2" s="1"/>
  <c r="AA67" i="5"/>
  <c r="AA190" i="2" s="1"/>
  <c r="Z67" i="5"/>
  <c r="Z190" i="2" s="1"/>
  <c r="Y67" i="5"/>
  <c r="Y190" i="2" s="1"/>
  <c r="X67" i="5"/>
  <c r="X190" i="2" s="1"/>
  <c r="W67" i="5"/>
  <c r="W190" i="2" s="1"/>
  <c r="V67" i="5"/>
  <c r="V190" i="2" s="1"/>
  <c r="U67" i="5"/>
  <c r="U190" i="2" s="1"/>
  <c r="T67" i="5"/>
  <c r="T190" i="2" s="1"/>
  <c r="S67" i="5"/>
  <c r="S190" i="2" s="1"/>
  <c r="R67" i="5"/>
  <c r="R190" i="2" s="1"/>
  <c r="Q67" i="5"/>
  <c r="Q190" i="2" s="1"/>
  <c r="P67" i="5"/>
  <c r="P190" i="2" s="1"/>
  <c r="O67" i="5"/>
  <c r="O190" i="2" s="1"/>
  <c r="N67" i="5"/>
  <c r="N190" i="2" s="1"/>
  <c r="M67" i="5"/>
  <c r="M190" i="2" s="1"/>
  <c r="L67" i="5"/>
  <c r="L190" i="2" s="1"/>
  <c r="K67" i="5"/>
  <c r="K190" i="2" s="1"/>
  <c r="J67" i="5"/>
  <c r="J190" i="2" s="1"/>
  <c r="I67" i="5"/>
  <c r="I190" i="2" s="1"/>
  <c r="H67" i="5"/>
  <c r="H190" i="2" s="1"/>
  <c r="G67" i="5"/>
  <c r="G190" i="2" s="1"/>
  <c r="F67" i="5"/>
  <c r="F190" i="2" s="1"/>
  <c r="E67" i="5"/>
  <c r="E190" i="2" s="1"/>
  <c r="BL66" i="5"/>
  <c r="BL189" i="2" s="1"/>
  <c r="BK66" i="5"/>
  <c r="BK189" i="2" s="1"/>
  <c r="BJ66" i="5"/>
  <c r="BJ189" i="2" s="1"/>
  <c r="BI66" i="5"/>
  <c r="BI189" i="2" s="1"/>
  <c r="BH66" i="5"/>
  <c r="BH189" i="2" s="1"/>
  <c r="BG66" i="5"/>
  <c r="BG189" i="2" s="1"/>
  <c r="BF66" i="5"/>
  <c r="BF189" i="2" s="1"/>
  <c r="BE66" i="5"/>
  <c r="BE189" i="2" s="1"/>
  <c r="BD66" i="5"/>
  <c r="BD189" i="2" s="1"/>
  <c r="BC66" i="5"/>
  <c r="BC189" i="2" s="1"/>
  <c r="BB66" i="5"/>
  <c r="BB189" i="2" s="1"/>
  <c r="BA66" i="5"/>
  <c r="BA189" i="2" s="1"/>
  <c r="AZ66" i="5"/>
  <c r="AZ189" i="2" s="1"/>
  <c r="AY66" i="5"/>
  <c r="AY189" i="2" s="1"/>
  <c r="AX66" i="5"/>
  <c r="AX189" i="2" s="1"/>
  <c r="AW66" i="5"/>
  <c r="AW189" i="2" s="1"/>
  <c r="AV66" i="5"/>
  <c r="AV189" i="2" s="1"/>
  <c r="AU66" i="5"/>
  <c r="AU189" i="2" s="1"/>
  <c r="AT66" i="5"/>
  <c r="AT189" i="2" s="1"/>
  <c r="AS66" i="5"/>
  <c r="AS189" i="2" s="1"/>
  <c r="AR66" i="5"/>
  <c r="AR189" i="2" s="1"/>
  <c r="AQ66" i="5"/>
  <c r="AQ189" i="2" s="1"/>
  <c r="AP66" i="5"/>
  <c r="AP189" i="2" s="1"/>
  <c r="AO66" i="5"/>
  <c r="AO189" i="2" s="1"/>
  <c r="AN66" i="5"/>
  <c r="AN189" i="2" s="1"/>
  <c r="AM66" i="5"/>
  <c r="AM189" i="2" s="1"/>
  <c r="AL66" i="5"/>
  <c r="AL189" i="2" s="1"/>
  <c r="AK66" i="5"/>
  <c r="AK189" i="2" s="1"/>
  <c r="AJ66" i="5"/>
  <c r="AJ189" i="2" s="1"/>
  <c r="AI66" i="5"/>
  <c r="AI189" i="2" s="1"/>
  <c r="AH66" i="5"/>
  <c r="AH189" i="2" s="1"/>
  <c r="AG66" i="5"/>
  <c r="AG189" i="2" s="1"/>
  <c r="AF66" i="5"/>
  <c r="AF189" i="2" s="1"/>
  <c r="AE66" i="5"/>
  <c r="AE189" i="2" s="1"/>
  <c r="AD66" i="5"/>
  <c r="AD189" i="2" s="1"/>
  <c r="AC66" i="5"/>
  <c r="AC189" i="2" s="1"/>
  <c r="AB66" i="5"/>
  <c r="AB189" i="2" s="1"/>
  <c r="AA66" i="5"/>
  <c r="AA189" i="2" s="1"/>
  <c r="Z66" i="5"/>
  <c r="Z189" i="2" s="1"/>
  <c r="Y66" i="5"/>
  <c r="Y189" i="2" s="1"/>
  <c r="X66" i="5"/>
  <c r="X189" i="2" s="1"/>
  <c r="W66" i="5"/>
  <c r="W189" i="2" s="1"/>
  <c r="V66" i="5"/>
  <c r="V189" i="2" s="1"/>
  <c r="U66" i="5"/>
  <c r="U189" i="2" s="1"/>
  <c r="T66" i="5"/>
  <c r="T189" i="2" s="1"/>
  <c r="S66" i="5"/>
  <c r="S189" i="2" s="1"/>
  <c r="R66" i="5"/>
  <c r="R189" i="2" s="1"/>
  <c r="Q66" i="5"/>
  <c r="Q189" i="2" s="1"/>
  <c r="P66" i="5"/>
  <c r="P189" i="2" s="1"/>
  <c r="O66" i="5"/>
  <c r="O189" i="2" s="1"/>
  <c r="N66" i="5"/>
  <c r="N189" i="2" s="1"/>
  <c r="M66" i="5"/>
  <c r="M189" i="2" s="1"/>
  <c r="L66" i="5"/>
  <c r="L189" i="2" s="1"/>
  <c r="K66" i="5"/>
  <c r="K189" i="2" s="1"/>
  <c r="J66" i="5"/>
  <c r="J189" i="2" s="1"/>
  <c r="I66" i="5"/>
  <c r="I189" i="2" s="1"/>
  <c r="H66" i="5"/>
  <c r="H189" i="2" s="1"/>
  <c r="G66" i="5"/>
  <c r="G189" i="2" s="1"/>
  <c r="F66" i="5"/>
  <c r="F189" i="2" s="1"/>
  <c r="E66" i="5"/>
  <c r="E189" i="2" s="1"/>
  <c r="BL65" i="5"/>
  <c r="BL188" i="2" s="1"/>
  <c r="BK65" i="5"/>
  <c r="BK188" i="2" s="1"/>
  <c r="BJ65" i="5"/>
  <c r="BJ188" i="2" s="1"/>
  <c r="BI65" i="5"/>
  <c r="BI188" i="2" s="1"/>
  <c r="BH65" i="5"/>
  <c r="BH188" i="2" s="1"/>
  <c r="BG65" i="5"/>
  <c r="BG188" i="2" s="1"/>
  <c r="BF65" i="5"/>
  <c r="BF188" i="2" s="1"/>
  <c r="BE65" i="5"/>
  <c r="BE188" i="2" s="1"/>
  <c r="BD65" i="5"/>
  <c r="BD188" i="2" s="1"/>
  <c r="BC65" i="5"/>
  <c r="BC188" i="2" s="1"/>
  <c r="BB65" i="5"/>
  <c r="BB188" i="2" s="1"/>
  <c r="BA65" i="5"/>
  <c r="BA188" i="2" s="1"/>
  <c r="AZ65" i="5"/>
  <c r="AZ188" i="2" s="1"/>
  <c r="AY65" i="5"/>
  <c r="AY188" i="2" s="1"/>
  <c r="AX65" i="5"/>
  <c r="AX188" i="2" s="1"/>
  <c r="AW65" i="5"/>
  <c r="AW188" i="2" s="1"/>
  <c r="AV65" i="5"/>
  <c r="AV188" i="2" s="1"/>
  <c r="AU65" i="5"/>
  <c r="AU188" i="2" s="1"/>
  <c r="AT65" i="5"/>
  <c r="AT188" i="2" s="1"/>
  <c r="AS65" i="5"/>
  <c r="AS188" i="2" s="1"/>
  <c r="AR65" i="5"/>
  <c r="AR188" i="2" s="1"/>
  <c r="AQ65" i="5"/>
  <c r="AQ188" i="2" s="1"/>
  <c r="AP65" i="5"/>
  <c r="AP188" i="2" s="1"/>
  <c r="AO65" i="5"/>
  <c r="AO188" i="2" s="1"/>
  <c r="AN65" i="5"/>
  <c r="AN188" i="2" s="1"/>
  <c r="AM65" i="5"/>
  <c r="AM188" i="2" s="1"/>
  <c r="AL65" i="5"/>
  <c r="AL188" i="2" s="1"/>
  <c r="AK65" i="5"/>
  <c r="AK188" i="2" s="1"/>
  <c r="AJ65" i="5"/>
  <c r="AJ188" i="2" s="1"/>
  <c r="AI65" i="5"/>
  <c r="AI188" i="2" s="1"/>
  <c r="AH65" i="5"/>
  <c r="AH188" i="2" s="1"/>
  <c r="AG65" i="5"/>
  <c r="AG188" i="2" s="1"/>
  <c r="AF65" i="5"/>
  <c r="AF188" i="2" s="1"/>
  <c r="AE65" i="5"/>
  <c r="AE188" i="2" s="1"/>
  <c r="AD65" i="5"/>
  <c r="AD188" i="2" s="1"/>
  <c r="AC65" i="5"/>
  <c r="AC188" i="2" s="1"/>
  <c r="AB65" i="5"/>
  <c r="AB188" i="2" s="1"/>
  <c r="AA65" i="5"/>
  <c r="AA188" i="2" s="1"/>
  <c r="Z65" i="5"/>
  <c r="Z188" i="2" s="1"/>
  <c r="Y65" i="5"/>
  <c r="Y188" i="2" s="1"/>
  <c r="X65" i="5"/>
  <c r="X188" i="2" s="1"/>
  <c r="W65" i="5"/>
  <c r="W188" i="2" s="1"/>
  <c r="V65" i="5"/>
  <c r="V188" i="2" s="1"/>
  <c r="U65" i="5"/>
  <c r="U188" i="2" s="1"/>
  <c r="T65" i="5"/>
  <c r="T188" i="2" s="1"/>
  <c r="S65" i="5"/>
  <c r="S188" i="2" s="1"/>
  <c r="R65" i="5"/>
  <c r="R188" i="2" s="1"/>
  <c r="Q65" i="5"/>
  <c r="Q188" i="2" s="1"/>
  <c r="P65" i="5"/>
  <c r="P188" i="2" s="1"/>
  <c r="O65" i="5"/>
  <c r="O188" i="2" s="1"/>
  <c r="N65" i="5"/>
  <c r="N188" i="2" s="1"/>
  <c r="M65" i="5"/>
  <c r="M188" i="2" s="1"/>
  <c r="L65" i="5"/>
  <c r="L188" i="2" s="1"/>
  <c r="K65" i="5"/>
  <c r="K188" i="2" s="1"/>
  <c r="J65" i="5"/>
  <c r="J188" i="2" s="1"/>
  <c r="I65" i="5"/>
  <c r="I188" i="2" s="1"/>
  <c r="H65" i="5"/>
  <c r="H188" i="2" s="1"/>
  <c r="G65" i="5"/>
  <c r="G188" i="2" s="1"/>
  <c r="F65" i="5"/>
  <c r="F188" i="2" s="1"/>
  <c r="E65" i="5"/>
  <c r="E188" i="2" s="1"/>
  <c r="BL64" i="5"/>
  <c r="BL187" i="2" s="1"/>
  <c r="BK64" i="5"/>
  <c r="BK187" i="2" s="1"/>
  <c r="BJ64" i="5"/>
  <c r="BJ187" i="2" s="1"/>
  <c r="BI64" i="5"/>
  <c r="BI187" i="2" s="1"/>
  <c r="BH64" i="5"/>
  <c r="BH187" i="2" s="1"/>
  <c r="BG64" i="5"/>
  <c r="BG187" i="2" s="1"/>
  <c r="BF64" i="5"/>
  <c r="BF187" i="2" s="1"/>
  <c r="BE64" i="5"/>
  <c r="BE187" i="2" s="1"/>
  <c r="BD64" i="5"/>
  <c r="BD187" i="2" s="1"/>
  <c r="BC64" i="5"/>
  <c r="BC187" i="2" s="1"/>
  <c r="BB64" i="5"/>
  <c r="BB187" i="2" s="1"/>
  <c r="BA64" i="5"/>
  <c r="BA187" i="2" s="1"/>
  <c r="AZ64" i="5"/>
  <c r="AZ187" i="2" s="1"/>
  <c r="AY64" i="5"/>
  <c r="AY187" i="2" s="1"/>
  <c r="AX64" i="5"/>
  <c r="AX187" i="2" s="1"/>
  <c r="AW64" i="5"/>
  <c r="AW187" i="2" s="1"/>
  <c r="AV64" i="5"/>
  <c r="AV187" i="2" s="1"/>
  <c r="AU64" i="5"/>
  <c r="AU187" i="2" s="1"/>
  <c r="AT64" i="5"/>
  <c r="AT187" i="2" s="1"/>
  <c r="AS64" i="5"/>
  <c r="AS187" i="2" s="1"/>
  <c r="AR64" i="5"/>
  <c r="AR187" i="2" s="1"/>
  <c r="AQ64" i="5"/>
  <c r="AQ187" i="2" s="1"/>
  <c r="AP64" i="5"/>
  <c r="AP187" i="2" s="1"/>
  <c r="AO64" i="5"/>
  <c r="AO187" i="2" s="1"/>
  <c r="AN64" i="5"/>
  <c r="AN187" i="2" s="1"/>
  <c r="AM64" i="5"/>
  <c r="AM187" i="2" s="1"/>
  <c r="AL64" i="5"/>
  <c r="AL187" i="2" s="1"/>
  <c r="AK64" i="5"/>
  <c r="AK187" i="2" s="1"/>
  <c r="AJ64" i="5"/>
  <c r="AJ187" i="2" s="1"/>
  <c r="AI64" i="5"/>
  <c r="AI187" i="2" s="1"/>
  <c r="AH64" i="5"/>
  <c r="AH187" i="2" s="1"/>
  <c r="AG64" i="5"/>
  <c r="AG187" i="2" s="1"/>
  <c r="AF64" i="5"/>
  <c r="AF187" i="2" s="1"/>
  <c r="AE64" i="5"/>
  <c r="AE187" i="2" s="1"/>
  <c r="AD64" i="5"/>
  <c r="AD187" i="2" s="1"/>
  <c r="AC64" i="5"/>
  <c r="AC187" i="2" s="1"/>
  <c r="AB64" i="5"/>
  <c r="AB187" i="2" s="1"/>
  <c r="AA64" i="5"/>
  <c r="AA187" i="2" s="1"/>
  <c r="Z64" i="5"/>
  <c r="Z187" i="2" s="1"/>
  <c r="Y64" i="5"/>
  <c r="Y187" i="2" s="1"/>
  <c r="X64" i="5"/>
  <c r="X187" i="2" s="1"/>
  <c r="W64" i="5"/>
  <c r="W187" i="2" s="1"/>
  <c r="V64" i="5"/>
  <c r="V187" i="2" s="1"/>
  <c r="U64" i="5"/>
  <c r="U187" i="2" s="1"/>
  <c r="T64" i="5"/>
  <c r="T187" i="2" s="1"/>
  <c r="S64" i="5"/>
  <c r="S187" i="2" s="1"/>
  <c r="R64" i="5"/>
  <c r="R187" i="2" s="1"/>
  <c r="Q64" i="5"/>
  <c r="Q187" i="2" s="1"/>
  <c r="P64" i="5"/>
  <c r="P187" i="2" s="1"/>
  <c r="O64" i="5"/>
  <c r="O187" i="2" s="1"/>
  <c r="N64" i="5"/>
  <c r="N187" i="2" s="1"/>
  <c r="M64" i="5"/>
  <c r="M187" i="2" s="1"/>
  <c r="L64" i="5"/>
  <c r="L187" i="2" s="1"/>
  <c r="K64" i="5"/>
  <c r="K187" i="2" s="1"/>
  <c r="J64" i="5"/>
  <c r="J187" i="2" s="1"/>
  <c r="I64" i="5"/>
  <c r="I187" i="2" s="1"/>
  <c r="H64" i="5"/>
  <c r="H187" i="2" s="1"/>
  <c r="G64" i="5"/>
  <c r="G187" i="2" s="1"/>
  <c r="F64" i="5"/>
  <c r="F187" i="2" s="1"/>
  <c r="E64" i="5"/>
  <c r="E187" i="2" s="1"/>
  <c r="BL63" i="5"/>
  <c r="BL186" i="2" s="1"/>
  <c r="BK63" i="5"/>
  <c r="BK186" i="2" s="1"/>
  <c r="BJ63" i="5"/>
  <c r="BJ186" i="2" s="1"/>
  <c r="BI63" i="5"/>
  <c r="BI186" i="2" s="1"/>
  <c r="BH63" i="5"/>
  <c r="BH186" i="2" s="1"/>
  <c r="BG63" i="5"/>
  <c r="BG186" i="2" s="1"/>
  <c r="BF63" i="5"/>
  <c r="BF186" i="2" s="1"/>
  <c r="BE63" i="5"/>
  <c r="BE186" i="2" s="1"/>
  <c r="BD63" i="5"/>
  <c r="BD186" i="2" s="1"/>
  <c r="BC63" i="5"/>
  <c r="BC186" i="2" s="1"/>
  <c r="BB63" i="5"/>
  <c r="BB186" i="2" s="1"/>
  <c r="BA63" i="5"/>
  <c r="BA186" i="2" s="1"/>
  <c r="AZ63" i="5"/>
  <c r="AZ186" i="2" s="1"/>
  <c r="AY63" i="5"/>
  <c r="AY186" i="2" s="1"/>
  <c r="AX63" i="5"/>
  <c r="AX186" i="2" s="1"/>
  <c r="AW63" i="5"/>
  <c r="AW186" i="2" s="1"/>
  <c r="AV63" i="5"/>
  <c r="AV186" i="2" s="1"/>
  <c r="AU63" i="5"/>
  <c r="AU186" i="2" s="1"/>
  <c r="AT63" i="5"/>
  <c r="AT186" i="2" s="1"/>
  <c r="AS63" i="5"/>
  <c r="AS186" i="2" s="1"/>
  <c r="AR63" i="5"/>
  <c r="AR186" i="2" s="1"/>
  <c r="AQ63" i="5"/>
  <c r="AQ186" i="2" s="1"/>
  <c r="AP63" i="5"/>
  <c r="AP186" i="2" s="1"/>
  <c r="AO63" i="5"/>
  <c r="AO186" i="2" s="1"/>
  <c r="AN63" i="5"/>
  <c r="AN186" i="2" s="1"/>
  <c r="AM63" i="5"/>
  <c r="AM186" i="2" s="1"/>
  <c r="AL63" i="5"/>
  <c r="AL186" i="2" s="1"/>
  <c r="AK63" i="5"/>
  <c r="AK186" i="2" s="1"/>
  <c r="AJ63" i="5"/>
  <c r="AJ186" i="2" s="1"/>
  <c r="AI63" i="5"/>
  <c r="AI186" i="2" s="1"/>
  <c r="AH63" i="5"/>
  <c r="AH186" i="2" s="1"/>
  <c r="AG63" i="5"/>
  <c r="AG186" i="2" s="1"/>
  <c r="AF63" i="5"/>
  <c r="AF186" i="2" s="1"/>
  <c r="AE63" i="5"/>
  <c r="AE186" i="2" s="1"/>
  <c r="AD63" i="5"/>
  <c r="AD186" i="2" s="1"/>
  <c r="AC63" i="5"/>
  <c r="AC186" i="2" s="1"/>
  <c r="AB63" i="5"/>
  <c r="AB186" i="2" s="1"/>
  <c r="AA63" i="5"/>
  <c r="AA186" i="2" s="1"/>
  <c r="Z63" i="5"/>
  <c r="Z186" i="2" s="1"/>
  <c r="Y63" i="5"/>
  <c r="Y186" i="2" s="1"/>
  <c r="X63" i="5"/>
  <c r="X186" i="2" s="1"/>
  <c r="W63" i="5"/>
  <c r="W186" i="2" s="1"/>
  <c r="V63" i="5"/>
  <c r="V186" i="2" s="1"/>
  <c r="U63" i="5"/>
  <c r="U186" i="2" s="1"/>
  <c r="T63" i="5"/>
  <c r="T186" i="2" s="1"/>
  <c r="S63" i="5"/>
  <c r="S186" i="2" s="1"/>
  <c r="R63" i="5"/>
  <c r="R186" i="2" s="1"/>
  <c r="Q63" i="5"/>
  <c r="Q186" i="2" s="1"/>
  <c r="P63" i="5"/>
  <c r="P186" i="2" s="1"/>
  <c r="O63" i="5"/>
  <c r="O186" i="2" s="1"/>
  <c r="N63" i="5"/>
  <c r="N186" i="2" s="1"/>
  <c r="M63" i="5"/>
  <c r="M186" i="2" s="1"/>
  <c r="L63" i="5"/>
  <c r="L186" i="2" s="1"/>
  <c r="K63" i="5"/>
  <c r="K186" i="2" s="1"/>
  <c r="J63" i="5"/>
  <c r="J186" i="2" s="1"/>
  <c r="I63" i="5"/>
  <c r="I186" i="2" s="1"/>
  <c r="H63" i="5"/>
  <c r="H186" i="2" s="1"/>
  <c r="G63" i="5"/>
  <c r="G186" i="2" s="1"/>
  <c r="F63" i="5"/>
  <c r="F186" i="2" s="1"/>
  <c r="E63" i="5"/>
  <c r="E186" i="2" s="1"/>
  <c r="BL62" i="5"/>
  <c r="BL185" i="2" s="1"/>
  <c r="BK62" i="5"/>
  <c r="BK185" i="2" s="1"/>
  <c r="BJ62" i="5"/>
  <c r="BJ185" i="2" s="1"/>
  <c r="BI62" i="5"/>
  <c r="BI185" i="2" s="1"/>
  <c r="BH62" i="5"/>
  <c r="BH185" i="2" s="1"/>
  <c r="BG62" i="5"/>
  <c r="BG185" i="2" s="1"/>
  <c r="BF62" i="5"/>
  <c r="BF185" i="2" s="1"/>
  <c r="BE62" i="5"/>
  <c r="BE185" i="2" s="1"/>
  <c r="BD62" i="5"/>
  <c r="BD185" i="2" s="1"/>
  <c r="BC62" i="5"/>
  <c r="BC185" i="2" s="1"/>
  <c r="BB62" i="5"/>
  <c r="BB185" i="2" s="1"/>
  <c r="BA62" i="5"/>
  <c r="BA185" i="2" s="1"/>
  <c r="AZ62" i="5"/>
  <c r="AZ185" i="2" s="1"/>
  <c r="AY62" i="5"/>
  <c r="AY185" i="2" s="1"/>
  <c r="AX62" i="5"/>
  <c r="AX185" i="2" s="1"/>
  <c r="AW62" i="5"/>
  <c r="AW185" i="2" s="1"/>
  <c r="AV62" i="5"/>
  <c r="AV185" i="2" s="1"/>
  <c r="AU62" i="5"/>
  <c r="AU185" i="2" s="1"/>
  <c r="AT62" i="5"/>
  <c r="AT185" i="2" s="1"/>
  <c r="AS62" i="5"/>
  <c r="AS185" i="2" s="1"/>
  <c r="AR62" i="5"/>
  <c r="AR185" i="2" s="1"/>
  <c r="AQ62" i="5"/>
  <c r="AQ185" i="2" s="1"/>
  <c r="AP62" i="5"/>
  <c r="AP185" i="2" s="1"/>
  <c r="AO62" i="5"/>
  <c r="AO185" i="2" s="1"/>
  <c r="AN62" i="5"/>
  <c r="AN185" i="2" s="1"/>
  <c r="AM62" i="5"/>
  <c r="AM185" i="2" s="1"/>
  <c r="AL62" i="5"/>
  <c r="AL185" i="2" s="1"/>
  <c r="AK62" i="5"/>
  <c r="AK185" i="2" s="1"/>
  <c r="AJ62" i="5"/>
  <c r="AJ185" i="2" s="1"/>
  <c r="AI62" i="5"/>
  <c r="AI185" i="2" s="1"/>
  <c r="AH62" i="5"/>
  <c r="AH185" i="2" s="1"/>
  <c r="AG62" i="5"/>
  <c r="AG185" i="2" s="1"/>
  <c r="AF62" i="5"/>
  <c r="AF185" i="2" s="1"/>
  <c r="AE62" i="5"/>
  <c r="AE185" i="2" s="1"/>
  <c r="AD62" i="5"/>
  <c r="AD185" i="2" s="1"/>
  <c r="AC62" i="5"/>
  <c r="AC185" i="2" s="1"/>
  <c r="AB62" i="5"/>
  <c r="AB185" i="2" s="1"/>
  <c r="AA62" i="5"/>
  <c r="AA185" i="2" s="1"/>
  <c r="Z62" i="5"/>
  <c r="Z185" i="2" s="1"/>
  <c r="Y62" i="5"/>
  <c r="Y185" i="2" s="1"/>
  <c r="X62" i="5"/>
  <c r="X185" i="2" s="1"/>
  <c r="W62" i="5"/>
  <c r="W185" i="2" s="1"/>
  <c r="V62" i="5"/>
  <c r="V185" i="2" s="1"/>
  <c r="U62" i="5"/>
  <c r="U185" i="2" s="1"/>
  <c r="T62" i="5"/>
  <c r="T185" i="2" s="1"/>
  <c r="S62" i="5"/>
  <c r="S185" i="2" s="1"/>
  <c r="R62" i="5"/>
  <c r="R185" i="2" s="1"/>
  <c r="Q62" i="5"/>
  <c r="Q185" i="2" s="1"/>
  <c r="P62" i="5"/>
  <c r="P185" i="2" s="1"/>
  <c r="O62" i="5"/>
  <c r="O185" i="2" s="1"/>
  <c r="N62" i="5"/>
  <c r="N185" i="2" s="1"/>
  <c r="M62" i="5"/>
  <c r="M185" i="2" s="1"/>
  <c r="L62" i="5"/>
  <c r="L185" i="2" s="1"/>
  <c r="K62" i="5"/>
  <c r="K185" i="2" s="1"/>
  <c r="J62" i="5"/>
  <c r="J185" i="2" s="1"/>
  <c r="I62" i="5"/>
  <c r="I185" i="2" s="1"/>
  <c r="H62" i="5"/>
  <c r="H185" i="2" s="1"/>
  <c r="G62" i="5"/>
  <c r="G185" i="2" s="1"/>
  <c r="F62" i="5"/>
  <c r="F185" i="2" s="1"/>
  <c r="E62" i="5"/>
  <c r="E185" i="2" s="1"/>
  <c r="BL61" i="5"/>
  <c r="BL184" i="2" s="1"/>
  <c r="BK61" i="5"/>
  <c r="BK184" i="2" s="1"/>
  <c r="BJ61" i="5"/>
  <c r="BJ184" i="2" s="1"/>
  <c r="BI61" i="5"/>
  <c r="BI184" i="2" s="1"/>
  <c r="BH61" i="5"/>
  <c r="BH184" i="2" s="1"/>
  <c r="BG61" i="5"/>
  <c r="BG184" i="2" s="1"/>
  <c r="BF61" i="5"/>
  <c r="BF184" i="2" s="1"/>
  <c r="BE61" i="5"/>
  <c r="BE184" i="2" s="1"/>
  <c r="BD61" i="5"/>
  <c r="BD184" i="2" s="1"/>
  <c r="BC61" i="5"/>
  <c r="BC184" i="2" s="1"/>
  <c r="BB61" i="5"/>
  <c r="BB184" i="2" s="1"/>
  <c r="BA61" i="5"/>
  <c r="BA184" i="2" s="1"/>
  <c r="AZ61" i="5"/>
  <c r="AZ184" i="2" s="1"/>
  <c r="AY61" i="5"/>
  <c r="AY184" i="2" s="1"/>
  <c r="AX61" i="5"/>
  <c r="AX184" i="2" s="1"/>
  <c r="AW61" i="5"/>
  <c r="AW184" i="2" s="1"/>
  <c r="AV61" i="5"/>
  <c r="AV184" i="2" s="1"/>
  <c r="AU61" i="5"/>
  <c r="AU184" i="2" s="1"/>
  <c r="AT61" i="5"/>
  <c r="AT184" i="2" s="1"/>
  <c r="AS61" i="5"/>
  <c r="AS184" i="2" s="1"/>
  <c r="AR61" i="5"/>
  <c r="AR184" i="2" s="1"/>
  <c r="AQ61" i="5"/>
  <c r="AQ184" i="2" s="1"/>
  <c r="AP61" i="5"/>
  <c r="AP184" i="2" s="1"/>
  <c r="AO61" i="5"/>
  <c r="AO184" i="2" s="1"/>
  <c r="AN61" i="5"/>
  <c r="AN184" i="2" s="1"/>
  <c r="AM61" i="5"/>
  <c r="AM184" i="2" s="1"/>
  <c r="AL61" i="5"/>
  <c r="AL184" i="2" s="1"/>
  <c r="AK61" i="5"/>
  <c r="AK184" i="2" s="1"/>
  <c r="AJ61" i="5"/>
  <c r="AJ184" i="2" s="1"/>
  <c r="AI61" i="5"/>
  <c r="AI184" i="2" s="1"/>
  <c r="AH61" i="5"/>
  <c r="AH184" i="2" s="1"/>
  <c r="AG61" i="5"/>
  <c r="AG184" i="2" s="1"/>
  <c r="AF61" i="5"/>
  <c r="AF184" i="2" s="1"/>
  <c r="AE61" i="5"/>
  <c r="AE184" i="2" s="1"/>
  <c r="AD61" i="5"/>
  <c r="AD184" i="2" s="1"/>
  <c r="AC61" i="5"/>
  <c r="AC184" i="2" s="1"/>
  <c r="AB61" i="5"/>
  <c r="AB184" i="2" s="1"/>
  <c r="AA61" i="5"/>
  <c r="AA184" i="2" s="1"/>
  <c r="Z61" i="5"/>
  <c r="Z184" i="2" s="1"/>
  <c r="Y61" i="5"/>
  <c r="Y184" i="2" s="1"/>
  <c r="X61" i="5"/>
  <c r="X184" i="2" s="1"/>
  <c r="W61" i="5"/>
  <c r="W184" i="2" s="1"/>
  <c r="V61" i="5"/>
  <c r="V184" i="2" s="1"/>
  <c r="U61" i="5"/>
  <c r="U184" i="2" s="1"/>
  <c r="T61" i="5"/>
  <c r="T184" i="2" s="1"/>
  <c r="S61" i="5"/>
  <c r="S184" i="2" s="1"/>
  <c r="R61" i="5"/>
  <c r="R184" i="2" s="1"/>
  <c r="Q61" i="5"/>
  <c r="Q184" i="2" s="1"/>
  <c r="P61" i="5"/>
  <c r="P184" i="2" s="1"/>
  <c r="O61" i="5"/>
  <c r="O184" i="2" s="1"/>
  <c r="N61" i="5"/>
  <c r="N184" i="2" s="1"/>
  <c r="M61" i="5"/>
  <c r="M184" i="2" s="1"/>
  <c r="L61" i="5"/>
  <c r="L184" i="2" s="1"/>
  <c r="K61" i="5"/>
  <c r="K184" i="2" s="1"/>
  <c r="J61" i="5"/>
  <c r="J184" i="2" s="1"/>
  <c r="I61" i="5"/>
  <c r="I184" i="2" s="1"/>
  <c r="H61" i="5"/>
  <c r="H184" i="2" s="1"/>
  <c r="G61" i="5"/>
  <c r="G184" i="2" s="1"/>
  <c r="F61" i="5"/>
  <c r="F184" i="2" s="1"/>
  <c r="E61" i="5"/>
  <c r="E184" i="2" s="1"/>
  <c r="BL60" i="5"/>
  <c r="BL183" i="2" s="1"/>
  <c r="BK60" i="5"/>
  <c r="BK183" i="2" s="1"/>
  <c r="BJ60" i="5"/>
  <c r="BJ183" i="2" s="1"/>
  <c r="BI60" i="5"/>
  <c r="BI183" i="2" s="1"/>
  <c r="BH60" i="5"/>
  <c r="BH183" i="2" s="1"/>
  <c r="BG60" i="5"/>
  <c r="BG183" i="2" s="1"/>
  <c r="BF60" i="5"/>
  <c r="BF183" i="2" s="1"/>
  <c r="BE60" i="5"/>
  <c r="BE183" i="2" s="1"/>
  <c r="BD60" i="5"/>
  <c r="BD183" i="2" s="1"/>
  <c r="BC60" i="5"/>
  <c r="BC183" i="2" s="1"/>
  <c r="BB60" i="5"/>
  <c r="BB183" i="2" s="1"/>
  <c r="BA60" i="5"/>
  <c r="BA183" i="2" s="1"/>
  <c r="AZ60" i="5"/>
  <c r="AZ183" i="2" s="1"/>
  <c r="AY60" i="5"/>
  <c r="AY183" i="2" s="1"/>
  <c r="AX60" i="5"/>
  <c r="AX183" i="2" s="1"/>
  <c r="AW60" i="5"/>
  <c r="AW183" i="2" s="1"/>
  <c r="AV60" i="5"/>
  <c r="AV183" i="2" s="1"/>
  <c r="AU60" i="5"/>
  <c r="AU183" i="2" s="1"/>
  <c r="AT60" i="5"/>
  <c r="AT183" i="2" s="1"/>
  <c r="AS60" i="5"/>
  <c r="AS183" i="2" s="1"/>
  <c r="AR60" i="5"/>
  <c r="AR183" i="2" s="1"/>
  <c r="AQ60" i="5"/>
  <c r="AQ183" i="2" s="1"/>
  <c r="AP60" i="5"/>
  <c r="AP183" i="2" s="1"/>
  <c r="AO60" i="5"/>
  <c r="AO183" i="2" s="1"/>
  <c r="AN60" i="5"/>
  <c r="AN183" i="2" s="1"/>
  <c r="AM60" i="5"/>
  <c r="AM183" i="2" s="1"/>
  <c r="AL60" i="5"/>
  <c r="AL183" i="2" s="1"/>
  <c r="AK60" i="5"/>
  <c r="AK183" i="2" s="1"/>
  <c r="AJ60" i="5"/>
  <c r="AJ183" i="2" s="1"/>
  <c r="AI60" i="5"/>
  <c r="AI183" i="2" s="1"/>
  <c r="AH60" i="5"/>
  <c r="AH183" i="2" s="1"/>
  <c r="AG60" i="5"/>
  <c r="AG183" i="2" s="1"/>
  <c r="AF60" i="5"/>
  <c r="AF183" i="2" s="1"/>
  <c r="AE60" i="5"/>
  <c r="AE183" i="2" s="1"/>
  <c r="AD60" i="5"/>
  <c r="AD183" i="2" s="1"/>
  <c r="AC60" i="5"/>
  <c r="AC183" i="2" s="1"/>
  <c r="AB60" i="5"/>
  <c r="AB183" i="2" s="1"/>
  <c r="AA60" i="5"/>
  <c r="AA183" i="2" s="1"/>
  <c r="Z60" i="5"/>
  <c r="Z183" i="2" s="1"/>
  <c r="Y60" i="5"/>
  <c r="Y183" i="2" s="1"/>
  <c r="X60" i="5"/>
  <c r="X183" i="2" s="1"/>
  <c r="W60" i="5"/>
  <c r="W183" i="2" s="1"/>
  <c r="V60" i="5"/>
  <c r="V183" i="2" s="1"/>
  <c r="U60" i="5"/>
  <c r="U183" i="2" s="1"/>
  <c r="T60" i="5"/>
  <c r="T183" i="2" s="1"/>
  <c r="S60" i="5"/>
  <c r="S183" i="2" s="1"/>
  <c r="R60" i="5"/>
  <c r="R183" i="2" s="1"/>
  <c r="Q60" i="5"/>
  <c r="Q183" i="2" s="1"/>
  <c r="P60" i="5"/>
  <c r="P183" i="2" s="1"/>
  <c r="O60" i="5"/>
  <c r="O183" i="2" s="1"/>
  <c r="N60" i="5"/>
  <c r="N183" i="2" s="1"/>
  <c r="M60" i="5"/>
  <c r="M183" i="2" s="1"/>
  <c r="L60" i="5"/>
  <c r="L183" i="2" s="1"/>
  <c r="K60" i="5"/>
  <c r="K183" i="2" s="1"/>
  <c r="J60" i="5"/>
  <c r="J183" i="2" s="1"/>
  <c r="I60" i="5"/>
  <c r="I183" i="2" s="1"/>
  <c r="H60" i="5"/>
  <c r="H183" i="2" s="1"/>
  <c r="G60" i="5"/>
  <c r="G183" i="2" s="1"/>
  <c r="F60" i="5"/>
  <c r="F183" i="2" s="1"/>
  <c r="E60" i="5"/>
  <c r="E183" i="2" s="1"/>
  <c r="BL59" i="5"/>
  <c r="BL182" i="2" s="1"/>
  <c r="BK59" i="5"/>
  <c r="BK182" i="2" s="1"/>
  <c r="BJ59" i="5"/>
  <c r="BJ182" i="2" s="1"/>
  <c r="BI59" i="5"/>
  <c r="BI182" i="2" s="1"/>
  <c r="BH59" i="5"/>
  <c r="BH182" i="2" s="1"/>
  <c r="BG59" i="5"/>
  <c r="BG182" i="2" s="1"/>
  <c r="BF59" i="5"/>
  <c r="BF182" i="2" s="1"/>
  <c r="BE59" i="5"/>
  <c r="BE182" i="2" s="1"/>
  <c r="BD59" i="5"/>
  <c r="BD182" i="2" s="1"/>
  <c r="BC59" i="5"/>
  <c r="BC182" i="2" s="1"/>
  <c r="BB59" i="5"/>
  <c r="BB182" i="2" s="1"/>
  <c r="BA59" i="5"/>
  <c r="BA182" i="2" s="1"/>
  <c r="AZ59" i="5"/>
  <c r="AZ182" i="2" s="1"/>
  <c r="AY59" i="5"/>
  <c r="AY182" i="2" s="1"/>
  <c r="AX59" i="5"/>
  <c r="AX182" i="2" s="1"/>
  <c r="AW59" i="5"/>
  <c r="AW182" i="2" s="1"/>
  <c r="AV59" i="5"/>
  <c r="AV182" i="2" s="1"/>
  <c r="AU59" i="5"/>
  <c r="AU182" i="2" s="1"/>
  <c r="AT59" i="5"/>
  <c r="AT182" i="2" s="1"/>
  <c r="AS59" i="5"/>
  <c r="AS182" i="2" s="1"/>
  <c r="AR59" i="5"/>
  <c r="AR182" i="2" s="1"/>
  <c r="AQ59" i="5"/>
  <c r="AQ182" i="2" s="1"/>
  <c r="AP59" i="5"/>
  <c r="AP182" i="2" s="1"/>
  <c r="AO59" i="5"/>
  <c r="AO182" i="2" s="1"/>
  <c r="AN59" i="5"/>
  <c r="AN182" i="2" s="1"/>
  <c r="AM59" i="5"/>
  <c r="AM182" i="2" s="1"/>
  <c r="AL59" i="5"/>
  <c r="AL182" i="2" s="1"/>
  <c r="AK59" i="5"/>
  <c r="AK182" i="2" s="1"/>
  <c r="AJ59" i="5"/>
  <c r="AJ182" i="2" s="1"/>
  <c r="AI59" i="5"/>
  <c r="AI182" i="2" s="1"/>
  <c r="AH59" i="5"/>
  <c r="AH182" i="2" s="1"/>
  <c r="AG59" i="5"/>
  <c r="AG182" i="2" s="1"/>
  <c r="AF59" i="5"/>
  <c r="AF182" i="2" s="1"/>
  <c r="AE59" i="5"/>
  <c r="AE182" i="2" s="1"/>
  <c r="AD59" i="5"/>
  <c r="AD182" i="2" s="1"/>
  <c r="AC59" i="5"/>
  <c r="AC182" i="2" s="1"/>
  <c r="AB59" i="5"/>
  <c r="AB182" i="2" s="1"/>
  <c r="AA59" i="5"/>
  <c r="AA182" i="2" s="1"/>
  <c r="Z59" i="5"/>
  <c r="Z182" i="2" s="1"/>
  <c r="Y59" i="5"/>
  <c r="Y182" i="2" s="1"/>
  <c r="X59" i="5"/>
  <c r="X182" i="2" s="1"/>
  <c r="W59" i="5"/>
  <c r="W182" i="2" s="1"/>
  <c r="V59" i="5"/>
  <c r="V182" i="2" s="1"/>
  <c r="U59" i="5"/>
  <c r="U182" i="2" s="1"/>
  <c r="T59" i="5"/>
  <c r="T182" i="2" s="1"/>
  <c r="S59" i="5"/>
  <c r="S182" i="2" s="1"/>
  <c r="R59" i="5"/>
  <c r="R182" i="2" s="1"/>
  <c r="Q59" i="5"/>
  <c r="Q182" i="2" s="1"/>
  <c r="P59" i="5"/>
  <c r="P182" i="2" s="1"/>
  <c r="O59" i="5"/>
  <c r="O182" i="2" s="1"/>
  <c r="N59" i="5"/>
  <c r="N182" i="2" s="1"/>
  <c r="M59" i="5"/>
  <c r="M182" i="2" s="1"/>
  <c r="L59" i="5"/>
  <c r="L182" i="2" s="1"/>
  <c r="K59" i="5"/>
  <c r="K182" i="2" s="1"/>
  <c r="J59" i="5"/>
  <c r="J182" i="2" s="1"/>
  <c r="I59" i="5"/>
  <c r="I182" i="2" s="1"/>
  <c r="H59" i="5"/>
  <c r="H182" i="2" s="1"/>
  <c r="G59" i="5"/>
  <c r="G182" i="2" s="1"/>
  <c r="F59" i="5"/>
  <c r="F182" i="2" s="1"/>
  <c r="E59" i="5"/>
  <c r="E182" i="2" s="1"/>
  <c r="BL58" i="5"/>
  <c r="BL181" i="2" s="1"/>
  <c r="BK58" i="5"/>
  <c r="BK181" i="2" s="1"/>
  <c r="BJ58" i="5"/>
  <c r="BJ181" i="2" s="1"/>
  <c r="BI58" i="5"/>
  <c r="BI181" i="2" s="1"/>
  <c r="BH58" i="5"/>
  <c r="BH181" i="2" s="1"/>
  <c r="BG58" i="5"/>
  <c r="BG181" i="2" s="1"/>
  <c r="BF58" i="5"/>
  <c r="BF181" i="2" s="1"/>
  <c r="BE58" i="5"/>
  <c r="BE181" i="2" s="1"/>
  <c r="BD58" i="5"/>
  <c r="BD181" i="2" s="1"/>
  <c r="BC58" i="5"/>
  <c r="BC181" i="2" s="1"/>
  <c r="BB58" i="5"/>
  <c r="BB181" i="2" s="1"/>
  <c r="BA58" i="5"/>
  <c r="BA181" i="2" s="1"/>
  <c r="AZ58" i="5"/>
  <c r="AZ181" i="2" s="1"/>
  <c r="AY58" i="5"/>
  <c r="AY181" i="2" s="1"/>
  <c r="AX58" i="5"/>
  <c r="AX181" i="2" s="1"/>
  <c r="AW58" i="5"/>
  <c r="AW181" i="2" s="1"/>
  <c r="AV58" i="5"/>
  <c r="AV181" i="2" s="1"/>
  <c r="AU58" i="5"/>
  <c r="AU181" i="2" s="1"/>
  <c r="AT58" i="5"/>
  <c r="AT181" i="2" s="1"/>
  <c r="AS58" i="5"/>
  <c r="AS181" i="2" s="1"/>
  <c r="AR58" i="5"/>
  <c r="AR181" i="2" s="1"/>
  <c r="AQ58" i="5"/>
  <c r="AQ181" i="2" s="1"/>
  <c r="AP58" i="5"/>
  <c r="AP181" i="2" s="1"/>
  <c r="AO58" i="5"/>
  <c r="AO181" i="2" s="1"/>
  <c r="AN58" i="5"/>
  <c r="AN181" i="2" s="1"/>
  <c r="AM58" i="5"/>
  <c r="AM181" i="2" s="1"/>
  <c r="AL58" i="5"/>
  <c r="AL181" i="2" s="1"/>
  <c r="AK58" i="5"/>
  <c r="AK181" i="2" s="1"/>
  <c r="AJ58" i="5"/>
  <c r="AJ181" i="2" s="1"/>
  <c r="AI58" i="5"/>
  <c r="AI181" i="2" s="1"/>
  <c r="AH58" i="5"/>
  <c r="AH181" i="2" s="1"/>
  <c r="AG58" i="5"/>
  <c r="AG181" i="2" s="1"/>
  <c r="AF58" i="5"/>
  <c r="AF181" i="2" s="1"/>
  <c r="AE58" i="5"/>
  <c r="AE181" i="2" s="1"/>
  <c r="AD58" i="5"/>
  <c r="AD181" i="2" s="1"/>
  <c r="AC58" i="5"/>
  <c r="AC181" i="2" s="1"/>
  <c r="AB58" i="5"/>
  <c r="AB181" i="2" s="1"/>
  <c r="AA58" i="5"/>
  <c r="AA181" i="2" s="1"/>
  <c r="Z58" i="5"/>
  <c r="Z181" i="2" s="1"/>
  <c r="Y58" i="5"/>
  <c r="Y181" i="2" s="1"/>
  <c r="X58" i="5"/>
  <c r="X181" i="2" s="1"/>
  <c r="W58" i="5"/>
  <c r="W181" i="2" s="1"/>
  <c r="V58" i="5"/>
  <c r="V181" i="2" s="1"/>
  <c r="U58" i="5"/>
  <c r="U181" i="2" s="1"/>
  <c r="T58" i="5"/>
  <c r="T181" i="2" s="1"/>
  <c r="S58" i="5"/>
  <c r="S181" i="2" s="1"/>
  <c r="R58" i="5"/>
  <c r="R181" i="2" s="1"/>
  <c r="Q58" i="5"/>
  <c r="Q181" i="2" s="1"/>
  <c r="P58" i="5"/>
  <c r="P181" i="2" s="1"/>
  <c r="O58" i="5"/>
  <c r="O181" i="2" s="1"/>
  <c r="N58" i="5"/>
  <c r="N181" i="2" s="1"/>
  <c r="M58" i="5"/>
  <c r="M181" i="2" s="1"/>
  <c r="L58" i="5"/>
  <c r="L181" i="2" s="1"/>
  <c r="K58" i="5"/>
  <c r="K181" i="2" s="1"/>
  <c r="J58" i="5"/>
  <c r="J181" i="2" s="1"/>
  <c r="I58" i="5"/>
  <c r="I181" i="2" s="1"/>
  <c r="H58" i="5"/>
  <c r="H181" i="2" s="1"/>
  <c r="G58" i="5"/>
  <c r="G181" i="2" s="1"/>
  <c r="F58" i="5"/>
  <c r="F181" i="2" s="1"/>
  <c r="E58" i="5"/>
  <c r="E181" i="2" s="1"/>
  <c r="BL57" i="5"/>
  <c r="BL180" i="2" s="1"/>
  <c r="BK57" i="5"/>
  <c r="BK180" i="2" s="1"/>
  <c r="BJ57" i="5"/>
  <c r="BJ180" i="2" s="1"/>
  <c r="BI57" i="5"/>
  <c r="BI180" i="2" s="1"/>
  <c r="BH57" i="5"/>
  <c r="BH180" i="2" s="1"/>
  <c r="BG57" i="5"/>
  <c r="BG180" i="2" s="1"/>
  <c r="BF57" i="5"/>
  <c r="BF180" i="2" s="1"/>
  <c r="BE57" i="5"/>
  <c r="BE180" i="2" s="1"/>
  <c r="BD57" i="5"/>
  <c r="BD180" i="2" s="1"/>
  <c r="BC57" i="5"/>
  <c r="BC180" i="2" s="1"/>
  <c r="BB57" i="5"/>
  <c r="BB180" i="2" s="1"/>
  <c r="BA57" i="5"/>
  <c r="BA180" i="2" s="1"/>
  <c r="AZ57" i="5"/>
  <c r="AZ180" i="2" s="1"/>
  <c r="AY57" i="5"/>
  <c r="AY180" i="2" s="1"/>
  <c r="AX57" i="5"/>
  <c r="AX180" i="2" s="1"/>
  <c r="AW57" i="5"/>
  <c r="AW180" i="2" s="1"/>
  <c r="AV57" i="5"/>
  <c r="AV180" i="2" s="1"/>
  <c r="AU57" i="5"/>
  <c r="AU180" i="2" s="1"/>
  <c r="AT57" i="5"/>
  <c r="AT180" i="2" s="1"/>
  <c r="AS57" i="5"/>
  <c r="AS180" i="2" s="1"/>
  <c r="AR57" i="5"/>
  <c r="AR180" i="2" s="1"/>
  <c r="AQ57" i="5"/>
  <c r="AQ180" i="2" s="1"/>
  <c r="AP57" i="5"/>
  <c r="AP180" i="2" s="1"/>
  <c r="AO57" i="5"/>
  <c r="AO180" i="2" s="1"/>
  <c r="AN57" i="5"/>
  <c r="AN180" i="2" s="1"/>
  <c r="AM57" i="5"/>
  <c r="AM180" i="2" s="1"/>
  <c r="AL57" i="5"/>
  <c r="AL180" i="2" s="1"/>
  <c r="AK57" i="5"/>
  <c r="AK180" i="2" s="1"/>
  <c r="AJ57" i="5"/>
  <c r="AJ180" i="2" s="1"/>
  <c r="AI57" i="5"/>
  <c r="AI180" i="2" s="1"/>
  <c r="AH57" i="5"/>
  <c r="AH180" i="2" s="1"/>
  <c r="AG57" i="5"/>
  <c r="AG180" i="2" s="1"/>
  <c r="AF57" i="5"/>
  <c r="AF180" i="2" s="1"/>
  <c r="AE57" i="5"/>
  <c r="AE180" i="2" s="1"/>
  <c r="AD57" i="5"/>
  <c r="AD180" i="2" s="1"/>
  <c r="AC57" i="5"/>
  <c r="AC180" i="2" s="1"/>
  <c r="AB57" i="5"/>
  <c r="AB180" i="2" s="1"/>
  <c r="AA57" i="5"/>
  <c r="AA180" i="2" s="1"/>
  <c r="Z57" i="5"/>
  <c r="Z180" i="2" s="1"/>
  <c r="Y57" i="5"/>
  <c r="Y180" i="2" s="1"/>
  <c r="X57" i="5"/>
  <c r="X180" i="2" s="1"/>
  <c r="W57" i="5"/>
  <c r="W180" i="2" s="1"/>
  <c r="V57" i="5"/>
  <c r="V180" i="2" s="1"/>
  <c r="U57" i="5"/>
  <c r="U180" i="2" s="1"/>
  <c r="T57" i="5"/>
  <c r="T180" i="2" s="1"/>
  <c r="S57" i="5"/>
  <c r="S180" i="2" s="1"/>
  <c r="R57" i="5"/>
  <c r="R180" i="2" s="1"/>
  <c r="Q57" i="5"/>
  <c r="Q180" i="2" s="1"/>
  <c r="P57" i="5"/>
  <c r="P180" i="2" s="1"/>
  <c r="O57" i="5"/>
  <c r="O180" i="2" s="1"/>
  <c r="N57" i="5"/>
  <c r="N180" i="2" s="1"/>
  <c r="M57" i="5"/>
  <c r="M180" i="2" s="1"/>
  <c r="L57" i="5"/>
  <c r="L180" i="2" s="1"/>
  <c r="K57" i="5"/>
  <c r="K180" i="2" s="1"/>
  <c r="J57" i="5"/>
  <c r="J180" i="2" s="1"/>
  <c r="I57" i="5"/>
  <c r="I180" i="2" s="1"/>
  <c r="H57" i="5"/>
  <c r="H180" i="2" s="1"/>
  <c r="G57" i="5"/>
  <c r="G180" i="2" s="1"/>
  <c r="F57" i="5"/>
  <c r="F180" i="2" s="1"/>
  <c r="E57" i="5"/>
  <c r="E180" i="2" s="1"/>
  <c r="BL56" i="5"/>
  <c r="BL179" i="2" s="1"/>
  <c r="BK56" i="5"/>
  <c r="BK179" i="2" s="1"/>
  <c r="BJ56" i="5"/>
  <c r="BJ179" i="2" s="1"/>
  <c r="BI56" i="5"/>
  <c r="BI179" i="2" s="1"/>
  <c r="BH56" i="5"/>
  <c r="BH179" i="2" s="1"/>
  <c r="BG56" i="5"/>
  <c r="BG179" i="2" s="1"/>
  <c r="BF56" i="5"/>
  <c r="BF179" i="2" s="1"/>
  <c r="BE56" i="5"/>
  <c r="BE179" i="2" s="1"/>
  <c r="BD56" i="5"/>
  <c r="BD179" i="2" s="1"/>
  <c r="BC56" i="5"/>
  <c r="BC179" i="2" s="1"/>
  <c r="BB56" i="5"/>
  <c r="BB179" i="2" s="1"/>
  <c r="BA56" i="5"/>
  <c r="BA179" i="2" s="1"/>
  <c r="AZ56" i="5"/>
  <c r="AZ179" i="2" s="1"/>
  <c r="AY56" i="5"/>
  <c r="AY179" i="2" s="1"/>
  <c r="AX56" i="5"/>
  <c r="AX179" i="2" s="1"/>
  <c r="AW56" i="5"/>
  <c r="AW179" i="2" s="1"/>
  <c r="AV56" i="5"/>
  <c r="AV179" i="2" s="1"/>
  <c r="AU56" i="5"/>
  <c r="AU179" i="2" s="1"/>
  <c r="AT56" i="5"/>
  <c r="AT179" i="2" s="1"/>
  <c r="AS56" i="5"/>
  <c r="AS179" i="2" s="1"/>
  <c r="AR56" i="5"/>
  <c r="AR179" i="2" s="1"/>
  <c r="AQ56" i="5"/>
  <c r="AQ179" i="2" s="1"/>
  <c r="AP56" i="5"/>
  <c r="AP179" i="2" s="1"/>
  <c r="AO56" i="5"/>
  <c r="AO179" i="2" s="1"/>
  <c r="AN56" i="5"/>
  <c r="AN179" i="2" s="1"/>
  <c r="AM56" i="5"/>
  <c r="AM179" i="2" s="1"/>
  <c r="AL56" i="5"/>
  <c r="AL179" i="2" s="1"/>
  <c r="AK56" i="5"/>
  <c r="AK179" i="2" s="1"/>
  <c r="AJ56" i="5"/>
  <c r="AJ179" i="2" s="1"/>
  <c r="AI56" i="5"/>
  <c r="AI179" i="2" s="1"/>
  <c r="AH56" i="5"/>
  <c r="AH179" i="2" s="1"/>
  <c r="AG56" i="5"/>
  <c r="AG179" i="2" s="1"/>
  <c r="AF56" i="5"/>
  <c r="AF179" i="2" s="1"/>
  <c r="AE56" i="5"/>
  <c r="AE179" i="2" s="1"/>
  <c r="AD56" i="5"/>
  <c r="AD179" i="2" s="1"/>
  <c r="AC56" i="5"/>
  <c r="AC179" i="2" s="1"/>
  <c r="AB56" i="5"/>
  <c r="AB179" i="2" s="1"/>
  <c r="AA56" i="5"/>
  <c r="AA179" i="2" s="1"/>
  <c r="Z56" i="5"/>
  <c r="Z179" i="2" s="1"/>
  <c r="Y56" i="5"/>
  <c r="Y179" i="2" s="1"/>
  <c r="X56" i="5"/>
  <c r="X179" i="2" s="1"/>
  <c r="W56" i="5"/>
  <c r="W179" i="2" s="1"/>
  <c r="V56" i="5"/>
  <c r="V179" i="2" s="1"/>
  <c r="U56" i="5"/>
  <c r="U179" i="2" s="1"/>
  <c r="T56" i="5"/>
  <c r="T179" i="2" s="1"/>
  <c r="S56" i="5"/>
  <c r="S179" i="2" s="1"/>
  <c r="R56" i="5"/>
  <c r="R179" i="2" s="1"/>
  <c r="Q56" i="5"/>
  <c r="Q179" i="2" s="1"/>
  <c r="P56" i="5"/>
  <c r="P179" i="2" s="1"/>
  <c r="O56" i="5"/>
  <c r="O179" i="2" s="1"/>
  <c r="N56" i="5"/>
  <c r="N179" i="2" s="1"/>
  <c r="M56" i="5"/>
  <c r="M179" i="2" s="1"/>
  <c r="L56" i="5"/>
  <c r="L179" i="2" s="1"/>
  <c r="K56" i="5"/>
  <c r="K179" i="2" s="1"/>
  <c r="J56" i="5"/>
  <c r="J179" i="2" s="1"/>
  <c r="I56" i="5"/>
  <c r="I179" i="2" s="1"/>
  <c r="H56" i="5"/>
  <c r="H179" i="2" s="1"/>
  <c r="G56" i="5"/>
  <c r="G179" i="2" s="1"/>
  <c r="F56" i="5"/>
  <c r="F179" i="2" s="1"/>
  <c r="E56" i="5"/>
  <c r="E179" i="2" s="1"/>
  <c r="BL55" i="5"/>
  <c r="BL178" i="2" s="1"/>
  <c r="BK55" i="5"/>
  <c r="BK178" i="2" s="1"/>
  <c r="BJ55" i="5"/>
  <c r="BJ178" i="2" s="1"/>
  <c r="BI55" i="5"/>
  <c r="BI178" i="2" s="1"/>
  <c r="BH55" i="5"/>
  <c r="BH178" i="2" s="1"/>
  <c r="BG55" i="5"/>
  <c r="BG178" i="2" s="1"/>
  <c r="BF55" i="5"/>
  <c r="BF178" i="2" s="1"/>
  <c r="BE55" i="5"/>
  <c r="BE178" i="2" s="1"/>
  <c r="BD55" i="5"/>
  <c r="BD178" i="2" s="1"/>
  <c r="BC55" i="5"/>
  <c r="BC178" i="2" s="1"/>
  <c r="BB55" i="5"/>
  <c r="BB178" i="2" s="1"/>
  <c r="BA55" i="5"/>
  <c r="BA178" i="2" s="1"/>
  <c r="AZ55" i="5"/>
  <c r="AZ178" i="2" s="1"/>
  <c r="AY55" i="5"/>
  <c r="AY178" i="2" s="1"/>
  <c r="AX55" i="5"/>
  <c r="AX178" i="2" s="1"/>
  <c r="AW55" i="5"/>
  <c r="AW178" i="2" s="1"/>
  <c r="AV55" i="5"/>
  <c r="AV178" i="2" s="1"/>
  <c r="AU55" i="5"/>
  <c r="AU178" i="2" s="1"/>
  <c r="AT55" i="5"/>
  <c r="AT178" i="2" s="1"/>
  <c r="AS55" i="5"/>
  <c r="AS178" i="2" s="1"/>
  <c r="AR55" i="5"/>
  <c r="AR178" i="2" s="1"/>
  <c r="AQ55" i="5"/>
  <c r="AQ178" i="2" s="1"/>
  <c r="AP55" i="5"/>
  <c r="AP178" i="2" s="1"/>
  <c r="AO55" i="5"/>
  <c r="AO178" i="2" s="1"/>
  <c r="AN55" i="5"/>
  <c r="AN178" i="2" s="1"/>
  <c r="AM55" i="5"/>
  <c r="AM178" i="2" s="1"/>
  <c r="AL55" i="5"/>
  <c r="AL178" i="2" s="1"/>
  <c r="AK55" i="5"/>
  <c r="AK178" i="2" s="1"/>
  <c r="AJ55" i="5"/>
  <c r="AJ178" i="2" s="1"/>
  <c r="AI55" i="5"/>
  <c r="AI178" i="2" s="1"/>
  <c r="AH55" i="5"/>
  <c r="AH178" i="2" s="1"/>
  <c r="AG55" i="5"/>
  <c r="AG178" i="2" s="1"/>
  <c r="AF55" i="5"/>
  <c r="AF178" i="2" s="1"/>
  <c r="AE55" i="5"/>
  <c r="AE178" i="2" s="1"/>
  <c r="AD55" i="5"/>
  <c r="AD178" i="2" s="1"/>
  <c r="AC55" i="5"/>
  <c r="AC178" i="2" s="1"/>
  <c r="AB55" i="5"/>
  <c r="AB178" i="2" s="1"/>
  <c r="AA55" i="5"/>
  <c r="AA178" i="2" s="1"/>
  <c r="Z55" i="5"/>
  <c r="Z178" i="2" s="1"/>
  <c r="Y55" i="5"/>
  <c r="Y178" i="2" s="1"/>
  <c r="X55" i="5"/>
  <c r="X178" i="2" s="1"/>
  <c r="W55" i="5"/>
  <c r="W178" i="2" s="1"/>
  <c r="V55" i="5"/>
  <c r="V178" i="2" s="1"/>
  <c r="U55" i="5"/>
  <c r="U178" i="2" s="1"/>
  <c r="T55" i="5"/>
  <c r="T178" i="2" s="1"/>
  <c r="S55" i="5"/>
  <c r="S178" i="2" s="1"/>
  <c r="R55" i="5"/>
  <c r="R178" i="2" s="1"/>
  <c r="Q55" i="5"/>
  <c r="Q178" i="2" s="1"/>
  <c r="P55" i="5"/>
  <c r="P178" i="2" s="1"/>
  <c r="O55" i="5"/>
  <c r="O178" i="2" s="1"/>
  <c r="N55" i="5"/>
  <c r="N178" i="2" s="1"/>
  <c r="M55" i="5"/>
  <c r="M178" i="2" s="1"/>
  <c r="L55" i="5"/>
  <c r="L178" i="2" s="1"/>
  <c r="K55" i="5"/>
  <c r="K178" i="2" s="1"/>
  <c r="J55" i="5"/>
  <c r="J178" i="2" s="1"/>
  <c r="I55" i="5"/>
  <c r="I178" i="2" s="1"/>
  <c r="H55" i="5"/>
  <c r="H178" i="2" s="1"/>
  <c r="G55" i="5"/>
  <c r="G178" i="2" s="1"/>
  <c r="F55" i="5"/>
  <c r="F178" i="2" s="1"/>
  <c r="E55" i="5"/>
  <c r="E178" i="2" s="1"/>
  <c r="BL54" i="5"/>
  <c r="BL177" i="2" s="1"/>
  <c r="BK54" i="5"/>
  <c r="BK177" i="2" s="1"/>
  <c r="BJ54" i="5"/>
  <c r="BJ177" i="2" s="1"/>
  <c r="BI54" i="5"/>
  <c r="BI177" i="2" s="1"/>
  <c r="BH54" i="5"/>
  <c r="BH177" i="2" s="1"/>
  <c r="BG54" i="5"/>
  <c r="BG177" i="2" s="1"/>
  <c r="BF54" i="5"/>
  <c r="BF177" i="2" s="1"/>
  <c r="BE54" i="5"/>
  <c r="BE177" i="2" s="1"/>
  <c r="BD54" i="5"/>
  <c r="BD177" i="2" s="1"/>
  <c r="BC54" i="5"/>
  <c r="BC177" i="2" s="1"/>
  <c r="BB54" i="5"/>
  <c r="BB177" i="2" s="1"/>
  <c r="BA54" i="5"/>
  <c r="BA177" i="2" s="1"/>
  <c r="AZ54" i="5"/>
  <c r="AZ177" i="2" s="1"/>
  <c r="AY54" i="5"/>
  <c r="AY177" i="2" s="1"/>
  <c r="AX54" i="5"/>
  <c r="AX177" i="2" s="1"/>
  <c r="AW54" i="5"/>
  <c r="AW177" i="2" s="1"/>
  <c r="AV54" i="5"/>
  <c r="AV177" i="2" s="1"/>
  <c r="AU54" i="5"/>
  <c r="AU177" i="2" s="1"/>
  <c r="AT54" i="5"/>
  <c r="AT177" i="2" s="1"/>
  <c r="AS54" i="5"/>
  <c r="AS177" i="2" s="1"/>
  <c r="AR54" i="5"/>
  <c r="AR177" i="2" s="1"/>
  <c r="AQ54" i="5"/>
  <c r="AQ177" i="2" s="1"/>
  <c r="AP54" i="5"/>
  <c r="AP177" i="2" s="1"/>
  <c r="AO54" i="5"/>
  <c r="AO177" i="2" s="1"/>
  <c r="AN54" i="5"/>
  <c r="AN177" i="2" s="1"/>
  <c r="AM54" i="5"/>
  <c r="AM177" i="2" s="1"/>
  <c r="AL54" i="5"/>
  <c r="AL177" i="2" s="1"/>
  <c r="AK54" i="5"/>
  <c r="AK177" i="2" s="1"/>
  <c r="AJ54" i="5"/>
  <c r="AJ177" i="2" s="1"/>
  <c r="AI54" i="5"/>
  <c r="AI177" i="2" s="1"/>
  <c r="AH54" i="5"/>
  <c r="AH177" i="2" s="1"/>
  <c r="AG54" i="5"/>
  <c r="AG177" i="2" s="1"/>
  <c r="AF54" i="5"/>
  <c r="AF177" i="2" s="1"/>
  <c r="AE54" i="5"/>
  <c r="AE177" i="2" s="1"/>
  <c r="AD54" i="5"/>
  <c r="AD177" i="2" s="1"/>
  <c r="AC54" i="5"/>
  <c r="AC177" i="2" s="1"/>
  <c r="AB54" i="5"/>
  <c r="AB177" i="2" s="1"/>
  <c r="AA54" i="5"/>
  <c r="AA177" i="2" s="1"/>
  <c r="Z54" i="5"/>
  <c r="Z177" i="2" s="1"/>
  <c r="Y54" i="5"/>
  <c r="Y177" i="2" s="1"/>
  <c r="X54" i="5"/>
  <c r="X177" i="2" s="1"/>
  <c r="W54" i="5"/>
  <c r="W177" i="2" s="1"/>
  <c r="V54" i="5"/>
  <c r="V177" i="2" s="1"/>
  <c r="U54" i="5"/>
  <c r="U177" i="2" s="1"/>
  <c r="T54" i="5"/>
  <c r="T177" i="2" s="1"/>
  <c r="S54" i="5"/>
  <c r="S177" i="2" s="1"/>
  <c r="R54" i="5"/>
  <c r="R177" i="2" s="1"/>
  <c r="Q54" i="5"/>
  <c r="Q177" i="2" s="1"/>
  <c r="P54" i="5"/>
  <c r="P177" i="2" s="1"/>
  <c r="O54" i="5"/>
  <c r="O177" i="2" s="1"/>
  <c r="N54" i="5"/>
  <c r="N177" i="2" s="1"/>
  <c r="M54" i="5"/>
  <c r="M177" i="2" s="1"/>
  <c r="L54" i="5"/>
  <c r="L177" i="2" s="1"/>
  <c r="K54" i="5"/>
  <c r="K177" i="2" s="1"/>
  <c r="J54" i="5"/>
  <c r="J177" i="2" s="1"/>
  <c r="I54" i="5"/>
  <c r="I177" i="2" s="1"/>
  <c r="H54" i="5"/>
  <c r="H177" i="2" s="1"/>
  <c r="G54" i="5"/>
  <c r="G177" i="2" s="1"/>
  <c r="F54" i="5"/>
  <c r="F177" i="2" s="1"/>
  <c r="E54" i="5"/>
  <c r="E177" i="2" s="1"/>
  <c r="BL53" i="5"/>
  <c r="BL176" i="2" s="1"/>
  <c r="BK53" i="5"/>
  <c r="BK176" i="2" s="1"/>
  <c r="BJ53" i="5"/>
  <c r="BJ176" i="2" s="1"/>
  <c r="BI53" i="5"/>
  <c r="BI176" i="2" s="1"/>
  <c r="BH53" i="5"/>
  <c r="BH176" i="2" s="1"/>
  <c r="BG53" i="5"/>
  <c r="BG176" i="2" s="1"/>
  <c r="BF53" i="5"/>
  <c r="BF176" i="2" s="1"/>
  <c r="BE53" i="5"/>
  <c r="BE176" i="2" s="1"/>
  <c r="BD53" i="5"/>
  <c r="BD176" i="2" s="1"/>
  <c r="BC53" i="5"/>
  <c r="BC176" i="2" s="1"/>
  <c r="BB53" i="5"/>
  <c r="BB176" i="2" s="1"/>
  <c r="BA53" i="5"/>
  <c r="BA176" i="2" s="1"/>
  <c r="AZ53" i="5"/>
  <c r="AZ176" i="2" s="1"/>
  <c r="AY53" i="5"/>
  <c r="AY176" i="2" s="1"/>
  <c r="AX53" i="5"/>
  <c r="AX176" i="2" s="1"/>
  <c r="AW53" i="5"/>
  <c r="AW176" i="2" s="1"/>
  <c r="AV53" i="5"/>
  <c r="AV176" i="2" s="1"/>
  <c r="AU53" i="5"/>
  <c r="AU176" i="2" s="1"/>
  <c r="AT53" i="5"/>
  <c r="AT176" i="2" s="1"/>
  <c r="AS53" i="5"/>
  <c r="AS176" i="2" s="1"/>
  <c r="AR53" i="5"/>
  <c r="AR176" i="2" s="1"/>
  <c r="AQ53" i="5"/>
  <c r="AQ176" i="2" s="1"/>
  <c r="AP53" i="5"/>
  <c r="AP176" i="2" s="1"/>
  <c r="AO53" i="5"/>
  <c r="AO176" i="2" s="1"/>
  <c r="AN53" i="5"/>
  <c r="AN176" i="2" s="1"/>
  <c r="AM53" i="5"/>
  <c r="AM176" i="2" s="1"/>
  <c r="AL53" i="5"/>
  <c r="AL176" i="2" s="1"/>
  <c r="AK53" i="5"/>
  <c r="AK176" i="2" s="1"/>
  <c r="AJ53" i="5"/>
  <c r="AJ176" i="2" s="1"/>
  <c r="AI53" i="5"/>
  <c r="AI176" i="2" s="1"/>
  <c r="AH53" i="5"/>
  <c r="AH176" i="2" s="1"/>
  <c r="AG53" i="5"/>
  <c r="AG176" i="2" s="1"/>
  <c r="AF53" i="5"/>
  <c r="AF176" i="2" s="1"/>
  <c r="AE53" i="5"/>
  <c r="AE176" i="2" s="1"/>
  <c r="AD53" i="5"/>
  <c r="AD176" i="2" s="1"/>
  <c r="AC53" i="5"/>
  <c r="AC176" i="2" s="1"/>
  <c r="AB53" i="5"/>
  <c r="AB176" i="2" s="1"/>
  <c r="AA53" i="5"/>
  <c r="AA176" i="2" s="1"/>
  <c r="Z53" i="5"/>
  <c r="Z176" i="2" s="1"/>
  <c r="Y53" i="5"/>
  <c r="Y176" i="2" s="1"/>
  <c r="X53" i="5"/>
  <c r="X176" i="2" s="1"/>
  <c r="W53" i="5"/>
  <c r="W176" i="2" s="1"/>
  <c r="V53" i="5"/>
  <c r="V176" i="2" s="1"/>
  <c r="U53" i="5"/>
  <c r="U176" i="2" s="1"/>
  <c r="T53" i="5"/>
  <c r="T176" i="2" s="1"/>
  <c r="S53" i="5"/>
  <c r="S176" i="2" s="1"/>
  <c r="R53" i="5"/>
  <c r="R176" i="2" s="1"/>
  <c r="Q53" i="5"/>
  <c r="Q176" i="2" s="1"/>
  <c r="P53" i="5"/>
  <c r="P176" i="2" s="1"/>
  <c r="O53" i="5"/>
  <c r="O176" i="2" s="1"/>
  <c r="N53" i="5"/>
  <c r="N176" i="2" s="1"/>
  <c r="M53" i="5"/>
  <c r="M176" i="2" s="1"/>
  <c r="L53" i="5"/>
  <c r="L176" i="2" s="1"/>
  <c r="K53" i="5"/>
  <c r="K176" i="2" s="1"/>
  <c r="J53" i="5"/>
  <c r="J176" i="2" s="1"/>
  <c r="I53" i="5"/>
  <c r="I176" i="2" s="1"/>
  <c r="H53" i="5"/>
  <c r="H176" i="2" s="1"/>
  <c r="G53" i="5"/>
  <c r="G176" i="2" s="1"/>
  <c r="F53" i="5"/>
  <c r="F176" i="2" s="1"/>
  <c r="E53" i="5"/>
  <c r="E176" i="2" s="1"/>
  <c r="BL52" i="5"/>
  <c r="BL175" i="2" s="1"/>
  <c r="BK52" i="5"/>
  <c r="BK175" i="2" s="1"/>
  <c r="BJ52" i="5"/>
  <c r="BJ175" i="2" s="1"/>
  <c r="BI52" i="5"/>
  <c r="BI175" i="2" s="1"/>
  <c r="BH52" i="5"/>
  <c r="BH175" i="2" s="1"/>
  <c r="BG52" i="5"/>
  <c r="BG175" i="2" s="1"/>
  <c r="BF52" i="5"/>
  <c r="BF175" i="2" s="1"/>
  <c r="BE52" i="5"/>
  <c r="BE175" i="2" s="1"/>
  <c r="BD52" i="5"/>
  <c r="BD175" i="2" s="1"/>
  <c r="BC52" i="5"/>
  <c r="BC175" i="2" s="1"/>
  <c r="BB52" i="5"/>
  <c r="BB175" i="2" s="1"/>
  <c r="BA52" i="5"/>
  <c r="BA175" i="2" s="1"/>
  <c r="AZ52" i="5"/>
  <c r="AZ175" i="2" s="1"/>
  <c r="AY52" i="5"/>
  <c r="AY175" i="2" s="1"/>
  <c r="AX52" i="5"/>
  <c r="AX175" i="2" s="1"/>
  <c r="AW52" i="5"/>
  <c r="AW175" i="2" s="1"/>
  <c r="AV52" i="5"/>
  <c r="AV175" i="2" s="1"/>
  <c r="AU52" i="5"/>
  <c r="AU175" i="2" s="1"/>
  <c r="AT52" i="5"/>
  <c r="AT175" i="2" s="1"/>
  <c r="AS52" i="5"/>
  <c r="AS175" i="2" s="1"/>
  <c r="AR52" i="5"/>
  <c r="AR175" i="2" s="1"/>
  <c r="AQ52" i="5"/>
  <c r="AQ175" i="2" s="1"/>
  <c r="AP52" i="5"/>
  <c r="AP175" i="2" s="1"/>
  <c r="AO52" i="5"/>
  <c r="AO175" i="2" s="1"/>
  <c r="AN52" i="5"/>
  <c r="AN175" i="2" s="1"/>
  <c r="AM52" i="5"/>
  <c r="AM175" i="2" s="1"/>
  <c r="AL52" i="5"/>
  <c r="AL175" i="2" s="1"/>
  <c r="AK52" i="5"/>
  <c r="AK175" i="2" s="1"/>
  <c r="AJ52" i="5"/>
  <c r="AJ175" i="2" s="1"/>
  <c r="AI52" i="5"/>
  <c r="AI175" i="2" s="1"/>
  <c r="AH52" i="5"/>
  <c r="AH175" i="2" s="1"/>
  <c r="AG52" i="5"/>
  <c r="AG175" i="2" s="1"/>
  <c r="AF52" i="5"/>
  <c r="AF175" i="2" s="1"/>
  <c r="AE52" i="5"/>
  <c r="AE175" i="2" s="1"/>
  <c r="AD52" i="5"/>
  <c r="AD175" i="2" s="1"/>
  <c r="AC52" i="5"/>
  <c r="AC175" i="2" s="1"/>
  <c r="AB52" i="5"/>
  <c r="AB175" i="2" s="1"/>
  <c r="AA52" i="5"/>
  <c r="AA175" i="2" s="1"/>
  <c r="Z52" i="5"/>
  <c r="Z175" i="2" s="1"/>
  <c r="Y52" i="5"/>
  <c r="Y175" i="2" s="1"/>
  <c r="X52" i="5"/>
  <c r="X175" i="2" s="1"/>
  <c r="W52" i="5"/>
  <c r="W175" i="2" s="1"/>
  <c r="V52" i="5"/>
  <c r="V175" i="2" s="1"/>
  <c r="U52" i="5"/>
  <c r="U175" i="2" s="1"/>
  <c r="T52" i="5"/>
  <c r="T175" i="2" s="1"/>
  <c r="S52" i="5"/>
  <c r="S175" i="2" s="1"/>
  <c r="R52" i="5"/>
  <c r="R175" i="2" s="1"/>
  <c r="Q52" i="5"/>
  <c r="Q175" i="2" s="1"/>
  <c r="P52" i="5"/>
  <c r="P175" i="2" s="1"/>
  <c r="O52" i="5"/>
  <c r="O175" i="2" s="1"/>
  <c r="N52" i="5"/>
  <c r="N175" i="2" s="1"/>
  <c r="M52" i="5"/>
  <c r="M175" i="2" s="1"/>
  <c r="L52" i="5"/>
  <c r="L175" i="2" s="1"/>
  <c r="K52" i="5"/>
  <c r="K175" i="2" s="1"/>
  <c r="J52" i="5"/>
  <c r="J175" i="2" s="1"/>
  <c r="I52" i="5"/>
  <c r="I175" i="2" s="1"/>
  <c r="H52" i="5"/>
  <c r="H175" i="2" s="1"/>
  <c r="G52" i="5"/>
  <c r="G175" i="2" s="1"/>
  <c r="F52" i="5"/>
  <c r="F175" i="2" s="1"/>
  <c r="E52" i="5"/>
  <c r="E175" i="2" s="1"/>
  <c r="BL51" i="5"/>
  <c r="BL174" i="2" s="1"/>
  <c r="BK51" i="5"/>
  <c r="BK174" i="2" s="1"/>
  <c r="BJ51" i="5"/>
  <c r="BJ174" i="2" s="1"/>
  <c r="BI51" i="5"/>
  <c r="BI174" i="2" s="1"/>
  <c r="BH51" i="5"/>
  <c r="BH174" i="2" s="1"/>
  <c r="BG51" i="5"/>
  <c r="BG174" i="2" s="1"/>
  <c r="BF51" i="5"/>
  <c r="BF174" i="2" s="1"/>
  <c r="BE51" i="5"/>
  <c r="BE174" i="2" s="1"/>
  <c r="BD51" i="5"/>
  <c r="BD174" i="2" s="1"/>
  <c r="BC51" i="5"/>
  <c r="BC174" i="2" s="1"/>
  <c r="BB51" i="5"/>
  <c r="BB174" i="2" s="1"/>
  <c r="BA51" i="5"/>
  <c r="BA174" i="2" s="1"/>
  <c r="AZ51" i="5"/>
  <c r="AZ174" i="2" s="1"/>
  <c r="AY51" i="5"/>
  <c r="AY174" i="2" s="1"/>
  <c r="AX51" i="5"/>
  <c r="AX174" i="2" s="1"/>
  <c r="AW51" i="5"/>
  <c r="AW174" i="2" s="1"/>
  <c r="AV51" i="5"/>
  <c r="AV174" i="2" s="1"/>
  <c r="AU51" i="5"/>
  <c r="AU174" i="2" s="1"/>
  <c r="AT51" i="5"/>
  <c r="AT174" i="2" s="1"/>
  <c r="AS51" i="5"/>
  <c r="AS174" i="2" s="1"/>
  <c r="AR51" i="5"/>
  <c r="AR174" i="2" s="1"/>
  <c r="AQ51" i="5"/>
  <c r="AQ174" i="2" s="1"/>
  <c r="AP51" i="5"/>
  <c r="AP174" i="2" s="1"/>
  <c r="AO51" i="5"/>
  <c r="AO174" i="2" s="1"/>
  <c r="AN51" i="5"/>
  <c r="AN174" i="2" s="1"/>
  <c r="AM51" i="5"/>
  <c r="AM174" i="2" s="1"/>
  <c r="AL51" i="5"/>
  <c r="AL174" i="2" s="1"/>
  <c r="AK51" i="5"/>
  <c r="AK174" i="2" s="1"/>
  <c r="AJ51" i="5"/>
  <c r="AJ174" i="2" s="1"/>
  <c r="AI51" i="5"/>
  <c r="AI174" i="2" s="1"/>
  <c r="AH51" i="5"/>
  <c r="AH174" i="2" s="1"/>
  <c r="AG51" i="5"/>
  <c r="AG174" i="2" s="1"/>
  <c r="AF51" i="5"/>
  <c r="AF174" i="2" s="1"/>
  <c r="AE51" i="5"/>
  <c r="AE174" i="2" s="1"/>
  <c r="AD51" i="5"/>
  <c r="AD174" i="2" s="1"/>
  <c r="AC51" i="5"/>
  <c r="AC174" i="2" s="1"/>
  <c r="AB51" i="5"/>
  <c r="AB174" i="2" s="1"/>
  <c r="AA51" i="5"/>
  <c r="AA174" i="2" s="1"/>
  <c r="Z51" i="5"/>
  <c r="Z174" i="2" s="1"/>
  <c r="Y51" i="5"/>
  <c r="Y174" i="2" s="1"/>
  <c r="X51" i="5"/>
  <c r="X174" i="2" s="1"/>
  <c r="W51" i="5"/>
  <c r="W174" i="2" s="1"/>
  <c r="V51" i="5"/>
  <c r="V174" i="2" s="1"/>
  <c r="U51" i="5"/>
  <c r="U174" i="2" s="1"/>
  <c r="T51" i="5"/>
  <c r="T174" i="2" s="1"/>
  <c r="S51" i="5"/>
  <c r="S174" i="2" s="1"/>
  <c r="R51" i="5"/>
  <c r="R174" i="2" s="1"/>
  <c r="Q51" i="5"/>
  <c r="Q174" i="2" s="1"/>
  <c r="P51" i="5"/>
  <c r="P174" i="2" s="1"/>
  <c r="O51" i="5"/>
  <c r="O174" i="2" s="1"/>
  <c r="N51" i="5"/>
  <c r="N174" i="2" s="1"/>
  <c r="M51" i="5"/>
  <c r="M174" i="2" s="1"/>
  <c r="L51" i="5"/>
  <c r="L174" i="2" s="1"/>
  <c r="K51" i="5"/>
  <c r="K174" i="2" s="1"/>
  <c r="J51" i="5"/>
  <c r="J174" i="2" s="1"/>
  <c r="I51" i="5"/>
  <c r="I174" i="2" s="1"/>
  <c r="H51" i="5"/>
  <c r="H174" i="2" s="1"/>
  <c r="G51" i="5"/>
  <c r="G174" i="2" s="1"/>
  <c r="F51" i="5"/>
  <c r="F174" i="2" s="1"/>
  <c r="E51" i="5"/>
  <c r="E174" i="2" s="1"/>
  <c r="BL50" i="5"/>
  <c r="BL173" i="2" s="1"/>
  <c r="BK50" i="5"/>
  <c r="BK173" i="2" s="1"/>
  <c r="BJ50" i="5"/>
  <c r="BJ173" i="2" s="1"/>
  <c r="BI50" i="5"/>
  <c r="BI173" i="2" s="1"/>
  <c r="BH50" i="5"/>
  <c r="BH173" i="2" s="1"/>
  <c r="BG50" i="5"/>
  <c r="BG173" i="2" s="1"/>
  <c r="BF50" i="5"/>
  <c r="BF173" i="2" s="1"/>
  <c r="BE50" i="5"/>
  <c r="BE173" i="2" s="1"/>
  <c r="BD50" i="5"/>
  <c r="BD173" i="2" s="1"/>
  <c r="BC50" i="5"/>
  <c r="BC173" i="2" s="1"/>
  <c r="BB50" i="5"/>
  <c r="BB173" i="2" s="1"/>
  <c r="BA50" i="5"/>
  <c r="BA173" i="2" s="1"/>
  <c r="AZ50" i="5"/>
  <c r="AZ173" i="2" s="1"/>
  <c r="AY50" i="5"/>
  <c r="AY173" i="2" s="1"/>
  <c r="AX50" i="5"/>
  <c r="AX173" i="2" s="1"/>
  <c r="AW50" i="5"/>
  <c r="AW173" i="2" s="1"/>
  <c r="AV50" i="5"/>
  <c r="AV173" i="2" s="1"/>
  <c r="AU50" i="5"/>
  <c r="AU173" i="2" s="1"/>
  <c r="AT50" i="5"/>
  <c r="AT173" i="2" s="1"/>
  <c r="AS50" i="5"/>
  <c r="AS173" i="2" s="1"/>
  <c r="AR50" i="5"/>
  <c r="AR173" i="2" s="1"/>
  <c r="AQ50" i="5"/>
  <c r="AQ173" i="2" s="1"/>
  <c r="AP50" i="5"/>
  <c r="AP173" i="2" s="1"/>
  <c r="AO50" i="5"/>
  <c r="AO173" i="2" s="1"/>
  <c r="AN50" i="5"/>
  <c r="AN173" i="2" s="1"/>
  <c r="AM50" i="5"/>
  <c r="AM173" i="2" s="1"/>
  <c r="AL50" i="5"/>
  <c r="AL173" i="2" s="1"/>
  <c r="AK50" i="5"/>
  <c r="AK173" i="2" s="1"/>
  <c r="AJ50" i="5"/>
  <c r="AJ173" i="2" s="1"/>
  <c r="AI50" i="5"/>
  <c r="AI173" i="2" s="1"/>
  <c r="AH50" i="5"/>
  <c r="AH173" i="2" s="1"/>
  <c r="AG50" i="5"/>
  <c r="AG173" i="2" s="1"/>
  <c r="AF50" i="5"/>
  <c r="AF173" i="2" s="1"/>
  <c r="AE50" i="5"/>
  <c r="AE173" i="2" s="1"/>
  <c r="AD50" i="5"/>
  <c r="AD173" i="2" s="1"/>
  <c r="AC50" i="5"/>
  <c r="AC173" i="2" s="1"/>
  <c r="AB50" i="5"/>
  <c r="AB173" i="2" s="1"/>
  <c r="AA50" i="5"/>
  <c r="AA173" i="2" s="1"/>
  <c r="Z50" i="5"/>
  <c r="Z173" i="2" s="1"/>
  <c r="Y50" i="5"/>
  <c r="Y173" i="2" s="1"/>
  <c r="X50" i="5"/>
  <c r="X173" i="2" s="1"/>
  <c r="W50" i="5"/>
  <c r="W173" i="2" s="1"/>
  <c r="V50" i="5"/>
  <c r="V173" i="2" s="1"/>
  <c r="U50" i="5"/>
  <c r="U173" i="2" s="1"/>
  <c r="T50" i="5"/>
  <c r="T173" i="2" s="1"/>
  <c r="S50" i="5"/>
  <c r="S173" i="2" s="1"/>
  <c r="R50" i="5"/>
  <c r="R173" i="2" s="1"/>
  <c r="Q50" i="5"/>
  <c r="Q173" i="2" s="1"/>
  <c r="P50" i="5"/>
  <c r="P173" i="2" s="1"/>
  <c r="O50" i="5"/>
  <c r="O173" i="2" s="1"/>
  <c r="N50" i="5"/>
  <c r="N173" i="2" s="1"/>
  <c r="M50" i="5"/>
  <c r="M173" i="2" s="1"/>
  <c r="L50" i="5"/>
  <c r="L173" i="2" s="1"/>
  <c r="K50" i="5"/>
  <c r="K173" i="2" s="1"/>
  <c r="J50" i="5"/>
  <c r="J173" i="2" s="1"/>
  <c r="I50" i="5"/>
  <c r="I173" i="2" s="1"/>
  <c r="H50" i="5"/>
  <c r="H173" i="2" s="1"/>
  <c r="G50" i="5"/>
  <c r="G173" i="2" s="1"/>
  <c r="F50" i="5"/>
  <c r="F173" i="2" s="1"/>
  <c r="E50" i="5"/>
  <c r="E173" i="2" s="1"/>
  <c r="BL49" i="5"/>
  <c r="BL172" i="2" s="1"/>
  <c r="BK49" i="5"/>
  <c r="BK172" i="2" s="1"/>
  <c r="BJ49" i="5"/>
  <c r="BJ172" i="2" s="1"/>
  <c r="BI49" i="5"/>
  <c r="BI172" i="2" s="1"/>
  <c r="BH49" i="5"/>
  <c r="BH172" i="2" s="1"/>
  <c r="BG49" i="5"/>
  <c r="BG172" i="2" s="1"/>
  <c r="BF49" i="5"/>
  <c r="BF172" i="2" s="1"/>
  <c r="BE49" i="5"/>
  <c r="BE172" i="2" s="1"/>
  <c r="BD49" i="5"/>
  <c r="BD172" i="2" s="1"/>
  <c r="BC49" i="5"/>
  <c r="BC172" i="2" s="1"/>
  <c r="BB49" i="5"/>
  <c r="BB172" i="2" s="1"/>
  <c r="BA49" i="5"/>
  <c r="BA172" i="2" s="1"/>
  <c r="AZ49" i="5"/>
  <c r="AZ172" i="2" s="1"/>
  <c r="AY49" i="5"/>
  <c r="AY172" i="2" s="1"/>
  <c r="AX49" i="5"/>
  <c r="AX172" i="2" s="1"/>
  <c r="AW49" i="5"/>
  <c r="AW172" i="2" s="1"/>
  <c r="AV49" i="5"/>
  <c r="AV172" i="2" s="1"/>
  <c r="AU49" i="5"/>
  <c r="AU172" i="2" s="1"/>
  <c r="AT49" i="5"/>
  <c r="AT172" i="2" s="1"/>
  <c r="AS49" i="5"/>
  <c r="AS172" i="2" s="1"/>
  <c r="AR49" i="5"/>
  <c r="AR172" i="2" s="1"/>
  <c r="AQ49" i="5"/>
  <c r="AQ172" i="2" s="1"/>
  <c r="AP49" i="5"/>
  <c r="AP172" i="2" s="1"/>
  <c r="AO49" i="5"/>
  <c r="AO172" i="2" s="1"/>
  <c r="AN49" i="5"/>
  <c r="AN172" i="2" s="1"/>
  <c r="AM49" i="5"/>
  <c r="AM172" i="2" s="1"/>
  <c r="AL49" i="5"/>
  <c r="AL172" i="2" s="1"/>
  <c r="AK49" i="5"/>
  <c r="AK172" i="2" s="1"/>
  <c r="AJ49" i="5"/>
  <c r="AJ172" i="2" s="1"/>
  <c r="AI49" i="5"/>
  <c r="AI172" i="2" s="1"/>
  <c r="AH49" i="5"/>
  <c r="AH172" i="2" s="1"/>
  <c r="AG49" i="5"/>
  <c r="AG172" i="2" s="1"/>
  <c r="AF49" i="5"/>
  <c r="AF172" i="2" s="1"/>
  <c r="AE49" i="5"/>
  <c r="AE172" i="2" s="1"/>
  <c r="AD49" i="5"/>
  <c r="AD172" i="2" s="1"/>
  <c r="AC49" i="5"/>
  <c r="AC172" i="2" s="1"/>
  <c r="AB49" i="5"/>
  <c r="AB172" i="2" s="1"/>
  <c r="AA49" i="5"/>
  <c r="AA172" i="2" s="1"/>
  <c r="Z49" i="5"/>
  <c r="Z172" i="2" s="1"/>
  <c r="Y49" i="5"/>
  <c r="Y172" i="2" s="1"/>
  <c r="X49" i="5"/>
  <c r="X172" i="2" s="1"/>
  <c r="W49" i="5"/>
  <c r="W172" i="2" s="1"/>
  <c r="V49" i="5"/>
  <c r="V172" i="2" s="1"/>
  <c r="U49" i="5"/>
  <c r="U172" i="2" s="1"/>
  <c r="T49" i="5"/>
  <c r="T172" i="2" s="1"/>
  <c r="S49" i="5"/>
  <c r="S172" i="2" s="1"/>
  <c r="R49" i="5"/>
  <c r="R172" i="2" s="1"/>
  <c r="Q49" i="5"/>
  <c r="Q172" i="2" s="1"/>
  <c r="P49" i="5"/>
  <c r="P172" i="2" s="1"/>
  <c r="O49" i="5"/>
  <c r="O172" i="2" s="1"/>
  <c r="N49" i="5"/>
  <c r="N172" i="2" s="1"/>
  <c r="M49" i="5"/>
  <c r="M172" i="2" s="1"/>
  <c r="L49" i="5"/>
  <c r="L172" i="2" s="1"/>
  <c r="K49" i="5"/>
  <c r="K172" i="2" s="1"/>
  <c r="J49" i="5"/>
  <c r="J172" i="2" s="1"/>
  <c r="I49" i="5"/>
  <c r="I172" i="2" s="1"/>
  <c r="H49" i="5"/>
  <c r="H172" i="2" s="1"/>
  <c r="G49" i="5"/>
  <c r="G172" i="2" s="1"/>
  <c r="F49" i="5"/>
  <c r="F172" i="2" s="1"/>
  <c r="E49" i="5"/>
  <c r="E172" i="2" s="1"/>
  <c r="BL48" i="5"/>
  <c r="BL171" i="2" s="1"/>
  <c r="BK48" i="5"/>
  <c r="BK171" i="2" s="1"/>
  <c r="BJ48" i="5"/>
  <c r="BJ171" i="2" s="1"/>
  <c r="BI48" i="5"/>
  <c r="BI171" i="2" s="1"/>
  <c r="BH48" i="5"/>
  <c r="BH171" i="2" s="1"/>
  <c r="BG48" i="5"/>
  <c r="BG171" i="2" s="1"/>
  <c r="BF48" i="5"/>
  <c r="BF171" i="2" s="1"/>
  <c r="BE48" i="5"/>
  <c r="BE171" i="2" s="1"/>
  <c r="BD48" i="5"/>
  <c r="BD171" i="2" s="1"/>
  <c r="BC48" i="5"/>
  <c r="BC171" i="2" s="1"/>
  <c r="BB48" i="5"/>
  <c r="BB171" i="2" s="1"/>
  <c r="BA48" i="5"/>
  <c r="BA171" i="2" s="1"/>
  <c r="AZ48" i="5"/>
  <c r="AZ171" i="2" s="1"/>
  <c r="AY48" i="5"/>
  <c r="AY171" i="2" s="1"/>
  <c r="AX48" i="5"/>
  <c r="AX171" i="2" s="1"/>
  <c r="AW48" i="5"/>
  <c r="AW171" i="2" s="1"/>
  <c r="AV48" i="5"/>
  <c r="AV171" i="2" s="1"/>
  <c r="AU48" i="5"/>
  <c r="AU171" i="2" s="1"/>
  <c r="AT48" i="5"/>
  <c r="AT171" i="2" s="1"/>
  <c r="AS48" i="5"/>
  <c r="AS171" i="2" s="1"/>
  <c r="AR48" i="5"/>
  <c r="AR171" i="2" s="1"/>
  <c r="AQ48" i="5"/>
  <c r="AQ171" i="2" s="1"/>
  <c r="AP48" i="5"/>
  <c r="AP171" i="2" s="1"/>
  <c r="AO48" i="5"/>
  <c r="AO171" i="2" s="1"/>
  <c r="AN48" i="5"/>
  <c r="AN171" i="2" s="1"/>
  <c r="AM48" i="5"/>
  <c r="AM171" i="2" s="1"/>
  <c r="AL48" i="5"/>
  <c r="AL171" i="2" s="1"/>
  <c r="AK48" i="5"/>
  <c r="AK171" i="2" s="1"/>
  <c r="AJ48" i="5"/>
  <c r="AJ171" i="2" s="1"/>
  <c r="AI48" i="5"/>
  <c r="AI171" i="2" s="1"/>
  <c r="AH48" i="5"/>
  <c r="AH171" i="2" s="1"/>
  <c r="AG48" i="5"/>
  <c r="AG171" i="2" s="1"/>
  <c r="AF48" i="5"/>
  <c r="AF171" i="2" s="1"/>
  <c r="AE48" i="5"/>
  <c r="AE171" i="2" s="1"/>
  <c r="AD48" i="5"/>
  <c r="AD171" i="2" s="1"/>
  <c r="AC48" i="5"/>
  <c r="AC171" i="2" s="1"/>
  <c r="AB48" i="5"/>
  <c r="AB171" i="2" s="1"/>
  <c r="AA48" i="5"/>
  <c r="AA171" i="2" s="1"/>
  <c r="Z48" i="5"/>
  <c r="Z171" i="2" s="1"/>
  <c r="Y48" i="5"/>
  <c r="Y171" i="2" s="1"/>
  <c r="X48" i="5"/>
  <c r="X171" i="2" s="1"/>
  <c r="W48" i="5"/>
  <c r="W171" i="2" s="1"/>
  <c r="V48" i="5"/>
  <c r="V171" i="2" s="1"/>
  <c r="U48" i="5"/>
  <c r="U171" i="2" s="1"/>
  <c r="T48" i="5"/>
  <c r="T171" i="2" s="1"/>
  <c r="S48" i="5"/>
  <c r="S171" i="2" s="1"/>
  <c r="R48" i="5"/>
  <c r="R171" i="2" s="1"/>
  <c r="Q48" i="5"/>
  <c r="Q171" i="2" s="1"/>
  <c r="P48" i="5"/>
  <c r="P171" i="2" s="1"/>
  <c r="O48" i="5"/>
  <c r="O171" i="2" s="1"/>
  <c r="N48" i="5"/>
  <c r="N171" i="2" s="1"/>
  <c r="M48" i="5"/>
  <c r="M171" i="2" s="1"/>
  <c r="L48" i="5"/>
  <c r="L171" i="2" s="1"/>
  <c r="K48" i="5"/>
  <c r="K171" i="2" s="1"/>
  <c r="J48" i="5"/>
  <c r="J171" i="2" s="1"/>
  <c r="I48" i="5"/>
  <c r="I171" i="2" s="1"/>
  <c r="H48" i="5"/>
  <c r="H171" i="2" s="1"/>
  <c r="G48" i="5"/>
  <c r="G171" i="2" s="1"/>
  <c r="F48" i="5"/>
  <c r="F171" i="2" s="1"/>
  <c r="E48" i="5"/>
  <c r="E171" i="2" s="1"/>
  <c r="BL47" i="5"/>
  <c r="BL170" i="2" s="1"/>
  <c r="BK47" i="5"/>
  <c r="BK170" i="2" s="1"/>
  <c r="BJ47" i="5"/>
  <c r="BJ170" i="2" s="1"/>
  <c r="BI47" i="5"/>
  <c r="BI170" i="2" s="1"/>
  <c r="BH47" i="5"/>
  <c r="BH170" i="2" s="1"/>
  <c r="BG47" i="5"/>
  <c r="BG170" i="2" s="1"/>
  <c r="BF47" i="5"/>
  <c r="BF170" i="2" s="1"/>
  <c r="BE47" i="5"/>
  <c r="BE170" i="2" s="1"/>
  <c r="BD47" i="5"/>
  <c r="BD170" i="2" s="1"/>
  <c r="BC47" i="5"/>
  <c r="BC170" i="2" s="1"/>
  <c r="BB47" i="5"/>
  <c r="BB170" i="2" s="1"/>
  <c r="BA47" i="5"/>
  <c r="BA170" i="2" s="1"/>
  <c r="AZ47" i="5"/>
  <c r="AZ170" i="2" s="1"/>
  <c r="AY47" i="5"/>
  <c r="AY170" i="2" s="1"/>
  <c r="AX47" i="5"/>
  <c r="AX170" i="2" s="1"/>
  <c r="AW47" i="5"/>
  <c r="AW170" i="2" s="1"/>
  <c r="AV47" i="5"/>
  <c r="AV170" i="2" s="1"/>
  <c r="AU47" i="5"/>
  <c r="AU170" i="2" s="1"/>
  <c r="AT47" i="5"/>
  <c r="AT170" i="2" s="1"/>
  <c r="AS47" i="5"/>
  <c r="AS170" i="2" s="1"/>
  <c r="AR47" i="5"/>
  <c r="AR170" i="2" s="1"/>
  <c r="AQ47" i="5"/>
  <c r="AQ170" i="2" s="1"/>
  <c r="AP47" i="5"/>
  <c r="AP170" i="2" s="1"/>
  <c r="AO47" i="5"/>
  <c r="AO170" i="2" s="1"/>
  <c r="AN47" i="5"/>
  <c r="AN170" i="2" s="1"/>
  <c r="AM47" i="5"/>
  <c r="AM170" i="2" s="1"/>
  <c r="AL47" i="5"/>
  <c r="AL170" i="2" s="1"/>
  <c r="AK47" i="5"/>
  <c r="AK170" i="2" s="1"/>
  <c r="AJ47" i="5"/>
  <c r="AJ170" i="2" s="1"/>
  <c r="AI47" i="5"/>
  <c r="AI170" i="2" s="1"/>
  <c r="AH47" i="5"/>
  <c r="AH170" i="2" s="1"/>
  <c r="AG47" i="5"/>
  <c r="AG170" i="2" s="1"/>
  <c r="AF47" i="5"/>
  <c r="AF170" i="2" s="1"/>
  <c r="AE47" i="5"/>
  <c r="AE170" i="2" s="1"/>
  <c r="AD47" i="5"/>
  <c r="AD170" i="2" s="1"/>
  <c r="AC47" i="5"/>
  <c r="AC170" i="2" s="1"/>
  <c r="AB47" i="5"/>
  <c r="AB170" i="2" s="1"/>
  <c r="AA47" i="5"/>
  <c r="AA170" i="2" s="1"/>
  <c r="Z47" i="5"/>
  <c r="Z170" i="2" s="1"/>
  <c r="Y47" i="5"/>
  <c r="Y170" i="2" s="1"/>
  <c r="X47" i="5"/>
  <c r="X170" i="2" s="1"/>
  <c r="W47" i="5"/>
  <c r="W170" i="2" s="1"/>
  <c r="V47" i="5"/>
  <c r="V170" i="2" s="1"/>
  <c r="U47" i="5"/>
  <c r="U170" i="2" s="1"/>
  <c r="T47" i="5"/>
  <c r="T170" i="2" s="1"/>
  <c r="S47" i="5"/>
  <c r="S170" i="2" s="1"/>
  <c r="R47" i="5"/>
  <c r="R170" i="2" s="1"/>
  <c r="Q47" i="5"/>
  <c r="Q170" i="2" s="1"/>
  <c r="P47" i="5"/>
  <c r="P170" i="2" s="1"/>
  <c r="O47" i="5"/>
  <c r="O170" i="2" s="1"/>
  <c r="N47" i="5"/>
  <c r="N170" i="2" s="1"/>
  <c r="M47" i="5"/>
  <c r="M170" i="2" s="1"/>
  <c r="L47" i="5"/>
  <c r="L170" i="2" s="1"/>
  <c r="K47" i="5"/>
  <c r="K170" i="2" s="1"/>
  <c r="J47" i="5"/>
  <c r="J170" i="2" s="1"/>
  <c r="I47" i="5"/>
  <c r="I170" i="2" s="1"/>
  <c r="H47" i="5"/>
  <c r="H170" i="2" s="1"/>
  <c r="G47" i="5"/>
  <c r="G170" i="2" s="1"/>
  <c r="F47" i="5"/>
  <c r="F170" i="2" s="1"/>
  <c r="E47" i="5"/>
  <c r="E170" i="2" s="1"/>
  <c r="BL46" i="5"/>
  <c r="BL169" i="2" s="1"/>
  <c r="BK46" i="5"/>
  <c r="BK169" i="2" s="1"/>
  <c r="BJ46" i="5"/>
  <c r="BJ169" i="2" s="1"/>
  <c r="BI46" i="5"/>
  <c r="BI169" i="2" s="1"/>
  <c r="BH46" i="5"/>
  <c r="BH169" i="2" s="1"/>
  <c r="BG46" i="5"/>
  <c r="BG169" i="2" s="1"/>
  <c r="BF46" i="5"/>
  <c r="BF169" i="2" s="1"/>
  <c r="BE46" i="5"/>
  <c r="BE169" i="2" s="1"/>
  <c r="BD46" i="5"/>
  <c r="BD169" i="2" s="1"/>
  <c r="BC46" i="5"/>
  <c r="BC169" i="2" s="1"/>
  <c r="BB46" i="5"/>
  <c r="BB169" i="2" s="1"/>
  <c r="BA46" i="5"/>
  <c r="BA169" i="2" s="1"/>
  <c r="AZ46" i="5"/>
  <c r="AZ169" i="2" s="1"/>
  <c r="AY46" i="5"/>
  <c r="AY169" i="2" s="1"/>
  <c r="AX46" i="5"/>
  <c r="AX169" i="2" s="1"/>
  <c r="AW46" i="5"/>
  <c r="AW169" i="2" s="1"/>
  <c r="AV46" i="5"/>
  <c r="AV169" i="2" s="1"/>
  <c r="AU46" i="5"/>
  <c r="AU169" i="2" s="1"/>
  <c r="AT46" i="5"/>
  <c r="AT169" i="2" s="1"/>
  <c r="AS46" i="5"/>
  <c r="AS169" i="2" s="1"/>
  <c r="AR46" i="5"/>
  <c r="AR169" i="2" s="1"/>
  <c r="AQ46" i="5"/>
  <c r="AQ169" i="2" s="1"/>
  <c r="AP46" i="5"/>
  <c r="AP169" i="2" s="1"/>
  <c r="AO46" i="5"/>
  <c r="AO169" i="2" s="1"/>
  <c r="AN46" i="5"/>
  <c r="AN169" i="2" s="1"/>
  <c r="AM46" i="5"/>
  <c r="AM169" i="2" s="1"/>
  <c r="AL46" i="5"/>
  <c r="AL169" i="2" s="1"/>
  <c r="AK46" i="5"/>
  <c r="AK169" i="2" s="1"/>
  <c r="AJ46" i="5"/>
  <c r="AJ169" i="2" s="1"/>
  <c r="AI46" i="5"/>
  <c r="AI169" i="2" s="1"/>
  <c r="AH46" i="5"/>
  <c r="AH169" i="2" s="1"/>
  <c r="AG46" i="5"/>
  <c r="AG169" i="2" s="1"/>
  <c r="AF46" i="5"/>
  <c r="AF169" i="2" s="1"/>
  <c r="AE46" i="5"/>
  <c r="AE169" i="2" s="1"/>
  <c r="AD46" i="5"/>
  <c r="AD169" i="2" s="1"/>
  <c r="AC46" i="5"/>
  <c r="AC169" i="2" s="1"/>
  <c r="AB46" i="5"/>
  <c r="AB169" i="2" s="1"/>
  <c r="AA46" i="5"/>
  <c r="AA169" i="2" s="1"/>
  <c r="Z46" i="5"/>
  <c r="Z169" i="2" s="1"/>
  <c r="Y46" i="5"/>
  <c r="Y169" i="2" s="1"/>
  <c r="X46" i="5"/>
  <c r="X169" i="2" s="1"/>
  <c r="W46" i="5"/>
  <c r="W169" i="2" s="1"/>
  <c r="V46" i="5"/>
  <c r="V169" i="2" s="1"/>
  <c r="U46" i="5"/>
  <c r="U169" i="2" s="1"/>
  <c r="T46" i="5"/>
  <c r="T169" i="2" s="1"/>
  <c r="S46" i="5"/>
  <c r="S169" i="2" s="1"/>
  <c r="R46" i="5"/>
  <c r="R169" i="2" s="1"/>
  <c r="Q46" i="5"/>
  <c r="Q169" i="2" s="1"/>
  <c r="P46" i="5"/>
  <c r="P169" i="2" s="1"/>
  <c r="O46" i="5"/>
  <c r="O169" i="2" s="1"/>
  <c r="N46" i="5"/>
  <c r="N169" i="2" s="1"/>
  <c r="M46" i="5"/>
  <c r="M169" i="2" s="1"/>
  <c r="L46" i="5"/>
  <c r="L169" i="2" s="1"/>
  <c r="K46" i="5"/>
  <c r="K169" i="2" s="1"/>
  <c r="J46" i="5"/>
  <c r="J169" i="2" s="1"/>
  <c r="I46" i="5"/>
  <c r="I169" i="2" s="1"/>
  <c r="H46" i="5"/>
  <c r="H169" i="2" s="1"/>
  <c r="G46" i="5"/>
  <c r="G169" i="2" s="1"/>
  <c r="F46" i="5"/>
  <c r="F169" i="2" s="1"/>
  <c r="E46" i="5"/>
  <c r="E169" i="2" s="1"/>
  <c r="BL45" i="5"/>
  <c r="BL168" i="2" s="1"/>
  <c r="BK45" i="5"/>
  <c r="BK168" i="2" s="1"/>
  <c r="BJ45" i="5"/>
  <c r="BJ168" i="2" s="1"/>
  <c r="BI45" i="5"/>
  <c r="BI168" i="2" s="1"/>
  <c r="BH45" i="5"/>
  <c r="BH168" i="2" s="1"/>
  <c r="BG45" i="5"/>
  <c r="BG168" i="2" s="1"/>
  <c r="BF45" i="5"/>
  <c r="BF168" i="2" s="1"/>
  <c r="BE45" i="5"/>
  <c r="BE168" i="2" s="1"/>
  <c r="BD45" i="5"/>
  <c r="BD168" i="2" s="1"/>
  <c r="BC45" i="5"/>
  <c r="BC168" i="2" s="1"/>
  <c r="BB45" i="5"/>
  <c r="BB168" i="2" s="1"/>
  <c r="BA45" i="5"/>
  <c r="BA168" i="2" s="1"/>
  <c r="AZ45" i="5"/>
  <c r="AZ168" i="2" s="1"/>
  <c r="AY45" i="5"/>
  <c r="AY168" i="2" s="1"/>
  <c r="AX45" i="5"/>
  <c r="AX168" i="2" s="1"/>
  <c r="AW45" i="5"/>
  <c r="AW168" i="2" s="1"/>
  <c r="AV45" i="5"/>
  <c r="AV168" i="2" s="1"/>
  <c r="AU45" i="5"/>
  <c r="AU168" i="2" s="1"/>
  <c r="AT45" i="5"/>
  <c r="AT168" i="2" s="1"/>
  <c r="AS45" i="5"/>
  <c r="AS168" i="2" s="1"/>
  <c r="AR45" i="5"/>
  <c r="AR168" i="2" s="1"/>
  <c r="AQ45" i="5"/>
  <c r="AQ168" i="2" s="1"/>
  <c r="AP45" i="5"/>
  <c r="AP168" i="2" s="1"/>
  <c r="AO45" i="5"/>
  <c r="AO168" i="2" s="1"/>
  <c r="AN45" i="5"/>
  <c r="AN168" i="2" s="1"/>
  <c r="AM45" i="5"/>
  <c r="AM168" i="2" s="1"/>
  <c r="AL45" i="5"/>
  <c r="AL168" i="2" s="1"/>
  <c r="AK45" i="5"/>
  <c r="AK168" i="2" s="1"/>
  <c r="AJ45" i="5"/>
  <c r="AJ168" i="2" s="1"/>
  <c r="AI45" i="5"/>
  <c r="AI168" i="2" s="1"/>
  <c r="AH45" i="5"/>
  <c r="AH168" i="2" s="1"/>
  <c r="AG45" i="5"/>
  <c r="AG168" i="2" s="1"/>
  <c r="AF45" i="5"/>
  <c r="AF168" i="2" s="1"/>
  <c r="AE45" i="5"/>
  <c r="AE168" i="2" s="1"/>
  <c r="AD45" i="5"/>
  <c r="AD168" i="2" s="1"/>
  <c r="AC45" i="5"/>
  <c r="AC168" i="2" s="1"/>
  <c r="AB45" i="5"/>
  <c r="AB168" i="2" s="1"/>
  <c r="AA45" i="5"/>
  <c r="AA168" i="2" s="1"/>
  <c r="Z45" i="5"/>
  <c r="Z168" i="2" s="1"/>
  <c r="Y45" i="5"/>
  <c r="Y168" i="2" s="1"/>
  <c r="X45" i="5"/>
  <c r="X168" i="2" s="1"/>
  <c r="W45" i="5"/>
  <c r="W168" i="2" s="1"/>
  <c r="V45" i="5"/>
  <c r="V168" i="2" s="1"/>
  <c r="U45" i="5"/>
  <c r="U168" i="2" s="1"/>
  <c r="T45" i="5"/>
  <c r="T168" i="2" s="1"/>
  <c r="S45" i="5"/>
  <c r="S168" i="2" s="1"/>
  <c r="R45" i="5"/>
  <c r="R168" i="2" s="1"/>
  <c r="Q45" i="5"/>
  <c r="Q168" i="2" s="1"/>
  <c r="P45" i="5"/>
  <c r="P168" i="2" s="1"/>
  <c r="O45" i="5"/>
  <c r="O168" i="2" s="1"/>
  <c r="N45" i="5"/>
  <c r="N168" i="2" s="1"/>
  <c r="M45" i="5"/>
  <c r="M168" i="2" s="1"/>
  <c r="L45" i="5"/>
  <c r="L168" i="2" s="1"/>
  <c r="K45" i="5"/>
  <c r="K168" i="2" s="1"/>
  <c r="J45" i="5"/>
  <c r="J168" i="2" s="1"/>
  <c r="I45" i="5"/>
  <c r="I168" i="2" s="1"/>
  <c r="H45" i="5"/>
  <c r="H168" i="2" s="1"/>
  <c r="G45" i="5"/>
  <c r="G168" i="2" s="1"/>
  <c r="F45" i="5"/>
  <c r="F168" i="2" s="1"/>
  <c r="E45" i="5"/>
  <c r="E168" i="2" s="1"/>
  <c r="BL44" i="5"/>
  <c r="BL167" i="2" s="1"/>
  <c r="BK44" i="5"/>
  <c r="BK167" i="2" s="1"/>
  <c r="BJ44" i="5"/>
  <c r="BJ167" i="2" s="1"/>
  <c r="BI44" i="5"/>
  <c r="BI167" i="2" s="1"/>
  <c r="BH44" i="5"/>
  <c r="BH167" i="2" s="1"/>
  <c r="BG44" i="5"/>
  <c r="BG167" i="2" s="1"/>
  <c r="BF44" i="5"/>
  <c r="BF167" i="2" s="1"/>
  <c r="BE44" i="5"/>
  <c r="BE167" i="2" s="1"/>
  <c r="BD44" i="5"/>
  <c r="BD167" i="2" s="1"/>
  <c r="BC44" i="5"/>
  <c r="BC167" i="2" s="1"/>
  <c r="BB44" i="5"/>
  <c r="BB167" i="2" s="1"/>
  <c r="BA44" i="5"/>
  <c r="BA167" i="2" s="1"/>
  <c r="AZ44" i="5"/>
  <c r="AZ167" i="2" s="1"/>
  <c r="AY44" i="5"/>
  <c r="AY167" i="2" s="1"/>
  <c r="AX44" i="5"/>
  <c r="AX167" i="2" s="1"/>
  <c r="AW44" i="5"/>
  <c r="AW167" i="2" s="1"/>
  <c r="AV44" i="5"/>
  <c r="AV167" i="2" s="1"/>
  <c r="AU44" i="5"/>
  <c r="AU167" i="2" s="1"/>
  <c r="AT44" i="5"/>
  <c r="AT167" i="2" s="1"/>
  <c r="AS44" i="5"/>
  <c r="AS167" i="2" s="1"/>
  <c r="AR44" i="5"/>
  <c r="AR167" i="2" s="1"/>
  <c r="AQ44" i="5"/>
  <c r="AQ167" i="2" s="1"/>
  <c r="AP44" i="5"/>
  <c r="AP167" i="2" s="1"/>
  <c r="AO44" i="5"/>
  <c r="AO167" i="2" s="1"/>
  <c r="AN44" i="5"/>
  <c r="AN167" i="2" s="1"/>
  <c r="AM44" i="5"/>
  <c r="AM167" i="2" s="1"/>
  <c r="AL44" i="5"/>
  <c r="AL167" i="2" s="1"/>
  <c r="AK44" i="5"/>
  <c r="AK167" i="2" s="1"/>
  <c r="AJ44" i="5"/>
  <c r="AJ167" i="2" s="1"/>
  <c r="AI44" i="5"/>
  <c r="AI167" i="2" s="1"/>
  <c r="AH44" i="5"/>
  <c r="AH167" i="2" s="1"/>
  <c r="AG44" i="5"/>
  <c r="AG167" i="2" s="1"/>
  <c r="AF44" i="5"/>
  <c r="AF167" i="2" s="1"/>
  <c r="AE44" i="5"/>
  <c r="AE167" i="2" s="1"/>
  <c r="AD44" i="5"/>
  <c r="AD167" i="2" s="1"/>
  <c r="AC44" i="5"/>
  <c r="AC167" i="2" s="1"/>
  <c r="AB44" i="5"/>
  <c r="AB167" i="2" s="1"/>
  <c r="AA44" i="5"/>
  <c r="AA167" i="2" s="1"/>
  <c r="Z44" i="5"/>
  <c r="Z167" i="2" s="1"/>
  <c r="Y44" i="5"/>
  <c r="Y167" i="2" s="1"/>
  <c r="X44" i="5"/>
  <c r="X167" i="2" s="1"/>
  <c r="W44" i="5"/>
  <c r="W167" i="2" s="1"/>
  <c r="V44" i="5"/>
  <c r="V167" i="2" s="1"/>
  <c r="U44" i="5"/>
  <c r="U167" i="2" s="1"/>
  <c r="T44" i="5"/>
  <c r="T167" i="2" s="1"/>
  <c r="S44" i="5"/>
  <c r="S167" i="2" s="1"/>
  <c r="R44" i="5"/>
  <c r="R167" i="2" s="1"/>
  <c r="Q44" i="5"/>
  <c r="Q167" i="2" s="1"/>
  <c r="P44" i="5"/>
  <c r="P167" i="2" s="1"/>
  <c r="O44" i="5"/>
  <c r="O167" i="2" s="1"/>
  <c r="N44" i="5"/>
  <c r="N167" i="2" s="1"/>
  <c r="M44" i="5"/>
  <c r="M167" i="2" s="1"/>
  <c r="L44" i="5"/>
  <c r="L167" i="2" s="1"/>
  <c r="K44" i="5"/>
  <c r="K167" i="2" s="1"/>
  <c r="J44" i="5"/>
  <c r="J167" i="2" s="1"/>
  <c r="I44" i="5"/>
  <c r="I167" i="2" s="1"/>
  <c r="H44" i="5"/>
  <c r="H167" i="2" s="1"/>
  <c r="G44" i="5"/>
  <c r="G167" i="2" s="1"/>
  <c r="F44" i="5"/>
  <c r="F167" i="2" s="1"/>
  <c r="E44" i="5"/>
  <c r="E167" i="2" s="1"/>
  <c r="BL43" i="5"/>
  <c r="BL166" i="2" s="1"/>
  <c r="BK43" i="5"/>
  <c r="BK166" i="2" s="1"/>
  <c r="BJ43" i="5"/>
  <c r="BJ166" i="2" s="1"/>
  <c r="BI43" i="5"/>
  <c r="BI166" i="2" s="1"/>
  <c r="BH43" i="5"/>
  <c r="BH166" i="2" s="1"/>
  <c r="BG43" i="5"/>
  <c r="BG166" i="2" s="1"/>
  <c r="BF43" i="5"/>
  <c r="BF166" i="2" s="1"/>
  <c r="BE43" i="5"/>
  <c r="BE166" i="2" s="1"/>
  <c r="BD43" i="5"/>
  <c r="BD166" i="2" s="1"/>
  <c r="BC43" i="5"/>
  <c r="BC166" i="2" s="1"/>
  <c r="BB43" i="5"/>
  <c r="BB166" i="2" s="1"/>
  <c r="BA43" i="5"/>
  <c r="BA166" i="2" s="1"/>
  <c r="AZ43" i="5"/>
  <c r="AZ166" i="2" s="1"/>
  <c r="AY43" i="5"/>
  <c r="AY166" i="2" s="1"/>
  <c r="AX43" i="5"/>
  <c r="AX166" i="2" s="1"/>
  <c r="AW43" i="5"/>
  <c r="AW166" i="2" s="1"/>
  <c r="AV43" i="5"/>
  <c r="AV166" i="2" s="1"/>
  <c r="AU43" i="5"/>
  <c r="AU166" i="2" s="1"/>
  <c r="AT43" i="5"/>
  <c r="AT166" i="2" s="1"/>
  <c r="AS43" i="5"/>
  <c r="AS166" i="2" s="1"/>
  <c r="AR43" i="5"/>
  <c r="AR166" i="2" s="1"/>
  <c r="AQ43" i="5"/>
  <c r="AQ166" i="2" s="1"/>
  <c r="AP43" i="5"/>
  <c r="AP166" i="2" s="1"/>
  <c r="AO43" i="5"/>
  <c r="AO166" i="2" s="1"/>
  <c r="AN43" i="5"/>
  <c r="AN166" i="2" s="1"/>
  <c r="AM43" i="5"/>
  <c r="AM166" i="2" s="1"/>
  <c r="AL43" i="5"/>
  <c r="AL166" i="2" s="1"/>
  <c r="AK43" i="5"/>
  <c r="AK166" i="2" s="1"/>
  <c r="AJ43" i="5"/>
  <c r="AJ166" i="2" s="1"/>
  <c r="AI43" i="5"/>
  <c r="AI166" i="2" s="1"/>
  <c r="AH43" i="5"/>
  <c r="AH166" i="2" s="1"/>
  <c r="AG43" i="5"/>
  <c r="AG166" i="2" s="1"/>
  <c r="AF43" i="5"/>
  <c r="AF166" i="2" s="1"/>
  <c r="AE43" i="5"/>
  <c r="AE166" i="2" s="1"/>
  <c r="AD43" i="5"/>
  <c r="AD166" i="2" s="1"/>
  <c r="AC43" i="5"/>
  <c r="AC166" i="2" s="1"/>
  <c r="AB43" i="5"/>
  <c r="AB166" i="2" s="1"/>
  <c r="AA43" i="5"/>
  <c r="AA166" i="2" s="1"/>
  <c r="Z43" i="5"/>
  <c r="Z166" i="2" s="1"/>
  <c r="Y43" i="5"/>
  <c r="Y166" i="2" s="1"/>
  <c r="X43" i="5"/>
  <c r="X166" i="2" s="1"/>
  <c r="W43" i="5"/>
  <c r="W166" i="2" s="1"/>
  <c r="V43" i="5"/>
  <c r="V166" i="2" s="1"/>
  <c r="U43" i="5"/>
  <c r="U166" i="2" s="1"/>
  <c r="T43" i="5"/>
  <c r="T166" i="2" s="1"/>
  <c r="S43" i="5"/>
  <c r="S166" i="2" s="1"/>
  <c r="R43" i="5"/>
  <c r="R166" i="2" s="1"/>
  <c r="Q43" i="5"/>
  <c r="Q166" i="2" s="1"/>
  <c r="P43" i="5"/>
  <c r="P166" i="2" s="1"/>
  <c r="O43" i="5"/>
  <c r="O166" i="2" s="1"/>
  <c r="N43" i="5"/>
  <c r="N166" i="2" s="1"/>
  <c r="M43" i="5"/>
  <c r="M166" i="2" s="1"/>
  <c r="L43" i="5"/>
  <c r="L166" i="2" s="1"/>
  <c r="K43" i="5"/>
  <c r="K166" i="2" s="1"/>
  <c r="J43" i="5"/>
  <c r="J166" i="2" s="1"/>
  <c r="I43" i="5"/>
  <c r="I166" i="2" s="1"/>
  <c r="H43" i="5"/>
  <c r="H166" i="2" s="1"/>
  <c r="G43" i="5"/>
  <c r="G166" i="2" s="1"/>
  <c r="F43" i="5"/>
  <c r="F166" i="2" s="1"/>
  <c r="E43" i="5"/>
  <c r="E166" i="2" s="1"/>
  <c r="BL42" i="5"/>
  <c r="BL165" i="2" s="1"/>
  <c r="BK42" i="5"/>
  <c r="BK165" i="2" s="1"/>
  <c r="BJ42" i="5"/>
  <c r="BJ165" i="2" s="1"/>
  <c r="BI42" i="5"/>
  <c r="BI165" i="2" s="1"/>
  <c r="BH42" i="5"/>
  <c r="BH165" i="2" s="1"/>
  <c r="BG42" i="5"/>
  <c r="BG165" i="2" s="1"/>
  <c r="BF42" i="5"/>
  <c r="BF165" i="2" s="1"/>
  <c r="BE42" i="5"/>
  <c r="BE165" i="2" s="1"/>
  <c r="BD42" i="5"/>
  <c r="BD165" i="2" s="1"/>
  <c r="BC42" i="5"/>
  <c r="BC165" i="2" s="1"/>
  <c r="BB42" i="5"/>
  <c r="BB165" i="2" s="1"/>
  <c r="BA42" i="5"/>
  <c r="BA165" i="2" s="1"/>
  <c r="AZ42" i="5"/>
  <c r="AZ165" i="2" s="1"/>
  <c r="AY42" i="5"/>
  <c r="AY165" i="2" s="1"/>
  <c r="AX42" i="5"/>
  <c r="AX165" i="2" s="1"/>
  <c r="AW42" i="5"/>
  <c r="AW165" i="2" s="1"/>
  <c r="AV42" i="5"/>
  <c r="AV165" i="2" s="1"/>
  <c r="AU42" i="5"/>
  <c r="AU165" i="2" s="1"/>
  <c r="AT42" i="5"/>
  <c r="AT165" i="2" s="1"/>
  <c r="AS42" i="5"/>
  <c r="AS165" i="2" s="1"/>
  <c r="AR42" i="5"/>
  <c r="AR165" i="2" s="1"/>
  <c r="AQ42" i="5"/>
  <c r="AQ165" i="2" s="1"/>
  <c r="AP42" i="5"/>
  <c r="AP165" i="2" s="1"/>
  <c r="AO42" i="5"/>
  <c r="AO165" i="2" s="1"/>
  <c r="AN42" i="5"/>
  <c r="AN165" i="2" s="1"/>
  <c r="AM42" i="5"/>
  <c r="AM165" i="2" s="1"/>
  <c r="AL42" i="5"/>
  <c r="AL165" i="2" s="1"/>
  <c r="AK42" i="5"/>
  <c r="AK165" i="2" s="1"/>
  <c r="AJ42" i="5"/>
  <c r="AJ165" i="2" s="1"/>
  <c r="AI42" i="5"/>
  <c r="AI165" i="2" s="1"/>
  <c r="AH42" i="5"/>
  <c r="AH165" i="2" s="1"/>
  <c r="AG42" i="5"/>
  <c r="AG165" i="2" s="1"/>
  <c r="AF42" i="5"/>
  <c r="AF165" i="2" s="1"/>
  <c r="AE42" i="5"/>
  <c r="AE165" i="2" s="1"/>
  <c r="AD42" i="5"/>
  <c r="AD165" i="2" s="1"/>
  <c r="AC42" i="5"/>
  <c r="AC165" i="2" s="1"/>
  <c r="AB42" i="5"/>
  <c r="AB165" i="2" s="1"/>
  <c r="AA42" i="5"/>
  <c r="AA165" i="2" s="1"/>
  <c r="Z42" i="5"/>
  <c r="Z165" i="2" s="1"/>
  <c r="Y42" i="5"/>
  <c r="Y165" i="2" s="1"/>
  <c r="X42" i="5"/>
  <c r="X165" i="2" s="1"/>
  <c r="W42" i="5"/>
  <c r="W165" i="2" s="1"/>
  <c r="V42" i="5"/>
  <c r="V165" i="2" s="1"/>
  <c r="U42" i="5"/>
  <c r="U165" i="2" s="1"/>
  <c r="T42" i="5"/>
  <c r="T165" i="2" s="1"/>
  <c r="S42" i="5"/>
  <c r="S165" i="2" s="1"/>
  <c r="R42" i="5"/>
  <c r="R165" i="2" s="1"/>
  <c r="Q42" i="5"/>
  <c r="Q165" i="2" s="1"/>
  <c r="P42" i="5"/>
  <c r="P165" i="2" s="1"/>
  <c r="O42" i="5"/>
  <c r="O165" i="2" s="1"/>
  <c r="N42" i="5"/>
  <c r="N165" i="2" s="1"/>
  <c r="M42" i="5"/>
  <c r="M165" i="2" s="1"/>
  <c r="L42" i="5"/>
  <c r="L165" i="2" s="1"/>
  <c r="K42" i="5"/>
  <c r="K165" i="2" s="1"/>
  <c r="J42" i="5"/>
  <c r="J165" i="2" s="1"/>
  <c r="I42" i="5"/>
  <c r="I165" i="2" s="1"/>
  <c r="H42" i="5"/>
  <c r="H165" i="2" s="1"/>
  <c r="G42" i="5"/>
  <c r="G165" i="2" s="1"/>
  <c r="F42" i="5"/>
  <c r="F165" i="2" s="1"/>
  <c r="E42" i="5"/>
  <c r="E165" i="2" s="1"/>
  <c r="BL41" i="5"/>
  <c r="BL164" i="2" s="1"/>
  <c r="BK41" i="5"/>
  <c r="BK164" i="2" s="1"/>
  <c r="BJ41" i="5"/>
  <c r="BJ164" i="2" s="1"/>
  <c r="BI41" i="5"/>
  <c r="BI164" i="2" s="1"/>
  <c r="BH41" i="5"/>
  <c r="BH164" i="2" s="1"/>
  <c r="BG41" i="5"/>
  <c r="BG164" i="2" s="1"/>
  <c r="BF41" i="5"/>
  <c r="BF164" i="2" s="1"/>
  <c r="BE41" i="5"/>
  <c r="BE164" i="2" s="1"/>
  <c r="BD41" i="5"/>
  <c r="BD164" i="2" s="1"/>
  <c r="BC41" i="5"/>
  <c r="BC164" i="2" s="1"/>
  <c r="BB41" i="5"/>
  <c r="BB164" i="2" s="1"/>
  <c r="BA41" i="5"/>
  <c r="BA164" i="2" s="1"/>
  <c r="AZ41" i="5"/>
  <c r="AZ164" i="2" s="1"/>
  <c r="AY41" i="5"/>
  <c r="AY164" i="2" s="1"/>
  <c r="AX41" i="5"/>
  <c r="AX164" i="2" s="1"/>
  <c r="AW41" i="5"/>
  <c r="AW164" i="2" s="1"/>
  <c r="AV41" i="5"/>
  <c r="AV164" i="2" s="1"/>
  <c r="AU41" i="5"/>
  <c r="AU164" i="2" s="1"/>
  <c r="AT41" i="5"/>
  <c r="AT164" i="2" s="1"/>
  <c r="AS41" i="5"/>
  <c r="AS164" i="2" s="1"/>
  <c r="AR41" i="5"/>
  <c r="AR164" i="2" s="1"/>
  <c r="AQ41" i="5"/>
  <c r="AQ164" i="2" s="1"/>
  <c r="AP41" i="5"/>
  <c r="AP164" i="2" s="1"/>
  <c r="AO41" i="5"/>
  <c r="AO164" i="2" s="1"/>
  <c r="AN41" i="5"/>
  <c r="AN164" i="2" s="1"/>
  <c r="AM41" i="5"/>
  <c r="AM164" i="2" s="1"/>
  <c r="AL41" i="5"/>
  <c r="AL164" i="2" s="1"/>
  <c r="AK41" i="5"/>
  <c r="AK164" i="2" s="1"/>
  <c r="AJ41" i="5"/>
  <c r="AJ164" i="2" s="1"/>
  <c r="AI41" i="5"/>
  <c r="AI164" i="2" s="1"/>
  <c r="AH41" i="5"/>
  <c r="AH164" i="2" s="1"/>
  <c r="AG41" i="5"/>
  <c r="AG164" i="2" s="1"/>
  <c r="AF41" i="5"/>
  <c r="AF164" i="2" s="1"/>
  <c r="AE41" i="5"/>
  <c r="AE164" i="2" s="1"/>
  <c r="AD41" i="5"/>
  <c r="AD164" i="2" s="1"/>
  <c r="AC41" i="5"/>
  <c r="AC164" i="2" s="1"/>
  <c r="AB41" i="5"/>
  <c r="AB164" i="2" s="1"/>
  <c r="AA41" i="5"/>
  <c r="AA164" i="2" s="1"/>
  <c r="Z41" i="5"/>
  <c r="Z164" i="2" s="1"/>
  <c r="Y41" i="5"/>
  <c r="Y164" i="2" s="1"/>
  <c r="X41" i="5"/>
  <c r="X164" i="2" s="1"/>
  <c r="W41" i="5"/>
  <c r="W164" i="2" s="1"/>
  <c r="V41" i="5"/>
  <c r="V164" i="2" s="1"/>
  <c r="U41" i="5"/>
  <c r="U164" i="2" s="1"/>
  <c r="T41" i="5"/>
  <c r="T164" i="2" s="1"/>
  <c r="S41" i="5"/>
  <c r="S164" i="2" s="1"/>
  <c r="R41" i="5"/>
  <c r="R164" i="2" s="1"/>
  <c r="Q41" i="5"/>
  <c r="Q164" i="2" s="1"/>
  <c r="P41" i="5"/>
  <c r="P164" i="2" s="1"/>
  <c r="O41" i="5"/>
  <c r="O164" i="2" s="1"/>
  <c r="N41" i="5"/>
  <c r="N164" i="2" s="1"/>
  <c r="M41" i="5"/>
  <c r="M164" i="2" s="1"/>
  <c r="L41" i="5"/>
  <c r="L164" i="2" s="1"/>
  <c r="K41" i="5"/>
  <c r="K164" i="2" s="1"/>
  <c r="J41" i="5"/>
  <c r="J164" i="2" s="1"/>
  <c r="I41" i="5"/>
  <c r="I164" i="2" s="1"/>
  <c r="H41" i="5"/>
  <c r="H164" i="2" s="1"/>
  <c r="G41" i="5"/>
  <c r="G164" i="2" s="1"/>
  <c r="F41" i="5"/>
  <c r="F164" i="2" s="1"/>
  <c r="E41" i="5"/>
  <c r="E164" i="2" s="1"/>
  <c r="BL40" i="5"/>
  <c r="BL163" i="2" s="1"/>
  <c r="BK40" i="5"/>
  <c r="BK163" i="2" s="1"/>
  <c r="BJ40" i="5"/>
  <c r="BJ163" i="2" s="1"/>
  <c r="BI40" i="5"/>
  <c r="BI163" i="2" s="1"/>
  <c r="BH40" i="5"/>
  <c r="BH163" i="2" s="1"/>
  <c r="BG40" i="5"/>
  <c r="BG163" i="2" s="1"/>
  <c r="BF40" i="5"/>
  <c r="BF163" i="2" s="1"/>
  <c r="BE40" i="5"/>
  <c r="BE163" i="2" s="1"/>
  <c r="BD40" i="5"/>
  <c r="BD163" i="2" s="1"/>
  <c r="BC40" i="5"/>
  <c r="BC163" i="2" s="1"/>
  <c r="BB40" i="5"/>
  <c r="BB163" i="2" s="1"/>
  <c r="BA40" i="5"/>
  <c r="BA163" i="2" s="1"/>
  <c r="AZ40" i="5"/>
  <c r="AZ163" i="2" s="1"/>
  <c r="AY40" i="5"/>
  <c r="AY163" i="2" s="1"/>
  <c r="AX40" i="5"/>
  <c r="AX163" i="2" s="1"/>
  <c r="AW40" i="5"/>
  <c r="AW163" i="2" s="1"/>
  <c r="AV40" i="5"/>
  <c r="AV163" i="2" s="1"/>
  <c r="AU40" i="5"/>
  <c r="AU163" i="2" s="1"/>
  <c r="AT40" i="5"/>
  <c r="AT163" i="2" s="1"/>
  <c r="AS40" i="5"/>
  <c r="AS163" i="2" s="1"/>
  <c r="AR40" i="5"/>
  <c r="AR163" i="2" s="1"/>
  <c r="AQ40" i="5"/>
  <c r="AQ163" i="2" s="1"/>
  <c r="AP40" i="5"/>
  <c r="AP163" i="2" s="1"/>
  <c r="AO40" i="5"/>
  <c r="AO163" i="2" s="1"/>
  <c r="AN40" i="5"/>
  <c r="AN163" i="2" s="1"/>
  <c r="AM40" i="5"/>
  <c r="AM163" i="2" s="1"/>
  <c r="AL40" i="5"/>
  <c r="AL163" i="2" s="1"/>
  <c r="AK40" i="5"/>
  <c r="AK163" i="2" s="1"/>
  <c r="AJ40" i="5"/>
  <c r="AJ163" i="2" s="1"/>
  <c r="AI40" i="5"/>
  <c r="AI163" i="2" s="1"/>
  <c r="AH40" i="5"/>
  <c r="AH163" i="2" s="1"/>
  <c r="AG40" i="5"/>
  <c r="AG163" i="2" s="1"/>
  <c r="AF40" i="5"/>
  <c r="AF163" i="2" s="1"/>
  <c r="AE40" i="5"/>
  <c r="AE163" i="2" s="1"/>
  <c r="AD40" i="5"/>
  <c r="AD163" i="2" s="1"/>
  <c r="AC40" i="5"/>
  <c r="AC163" i="2" s="1"/>
  <c r="AB40" i="5"/>
  <c r="AB163" i="2" s="1"/>
  <c r="AA40" i="5"/>
  <c r="AA163" i="2" s="1"/>
  <c r="Z40" i="5"/>
  <c r="Z163" i="2" s="1"/>
  <c r="Y40" i="5"/>
  <c r="Y163" i="2" s="1"/>
  <c r="X40" i="5"/>
  <c r="X163" i="2" s="1"/>
  <c r="W40" i="5"/>
  <c r="W163" i="2" s="1"/>
  <c r="V40" i="5"/>
  <c r="V163" i="2" s="1"/>
  <c r="U40" i="5"/>
  <c r="U163" i="2" s="1"/>
  <c r="T40" i="5"/>
  <c r="T163" i="2" s="1"/>
  <c r="S40" i="5"/>
  <c r="S163" i="2" s="1"/>
  <c r="R40" i="5"/>
  <c r="R163" i="2" s="1"/>
  <c r="Q40" i="5"/>
  <c r="Q163" i="2" s="1"/>
  <c r="P40" i="5"/>
  <c r="P163" i="2" s="1"/>
  <c r="O40" i="5"/>
  <c r="O163" i="2" s="1"/>
  <c r="N40" i="5"/>
  <c r="N163" i="2" s="1"/>
  <c r="M40" i="5"/>
  <c r="M163" i="2" s="1"/>
  <c r="L40" i="5"/>
  <c r="L163" i="2" s="1"/>
  <c r="K40" i="5"/>
  <c r="K163" i="2" s="1"/>
  <c r="J40" i="5"/>
  <c r="J163" i="2" s="1"/>
  <c r="I40" i="5"/>
  <c r="I163" i="2" s="1"/>
  <c r="H40" i="5"/>
  <c r="H163" i="2" s="1"/>
  <c r="G40" i="5"/>
  <c r="G163" i="2" s="1"/>
  <c r="F40" i="5"/>
  <c r="F163" i="2" s="1"/>
  <c r="E40" i="5"/>
  <c r="E163" i="2" s="1"/>
  <c r="BL39" i="5"/>
  <c r="BL162" i="2" s="1"/>
  <c r="BK39" i="5"/>
  <c r="BK162" i="2" s="1"/>
  <c r="BJ39" i="5"/>
  <c r="BJ162" i="2" s="1"/>
  <c r="BI39" i="5"/>
  <c r="BI162" i="2" s="1"/>
  <c r="BH39" i="5"/>
  <c r="BH162" i="2" s="1"/>
  <c r="BG39" i="5"/>
  <c r="BG162" i="2" s="1"/>
  <c r="BF39" i="5"/>
  <c r="BF162" i="2" s="1"/>
  <c r="BE39" i="5"/>
  <c r="BE162" i="2" s="1"/>
  <c r="BD39" i="5"/>
  <c r="BD162" i="2" s="1"/>
  <c r="BC39" i="5"/>
  <c r="BC162" i="2" s="1"/>
  <c r="BB39" i="5"/>
  <c r="BB162" i="2" s="1"/>
  <c r="BA39" i="5"/>
  <c r="BA162" i="2" s="1"/>
  <c r="AZ39" i="5"/>
  <c r="AZ162" i="2" s="1"/>
  <c r="AY39" i="5"/>
  <c r="AY162" i="2" s="1"/>
  <c r="AX39" i="5"/>
  <c r="AX162" i="2" s="1"/>
  <c r="AW39" i="5"/>
  <c r="AW162" i="2" s="1"/>
  <c r="AV39" i="5"/>
  <c r="AV162" i="2" s="1"/>
  <c r="AU39" i="5"/>
  <c r="AU162" i="2" s="1"/>
  <c r="AT39" i="5"/>
  <c r="AT162" i="2" s="1"/>
  <c r="AS39" i="5"/>
  <c r="AS162" i="2" s="1"/>
  <c r="AR39" i="5"/>
  <c r="AR162" i="2" s="1"/>
  <c r="AQ39" i="5"/>
  <c r="AQ162" i="2" s="1"/>
  <c r="AP39" i="5"/>
  <c r="AP162" i="2" s="1"/>
  <c r="AO39" i="5"/>
  <c r="AO162" i="2" s="1"/>
  <c r="AN39" i="5"/>
  <c r="AN162" i="2" s="1"/>
  <c r="AM39" i="5"/>
  <c r="AM162" i="2" s="1"/>
  <c r="AL39" i="5"/>
  <c r="AL162" i="2" s="1"/>
  <c r="AK39" i="5"/>
  <c r="AK162" i="2" s="1"/>
  <c r="AJ39" i="5"/>
  <c r="AJ162" i="2" s="1"/>
  <c r="AI39" i="5"/>
  <c r="AI162" i="2" s="1"/>
  <c r="AH39" i="5"/>
  <c r="AH162" i="2" s="1"/>
  <c r="AG39" i="5"/>
  <c r="AG162" i="2" s="1"/>
  <c r="AF39" i="5"/>
  <c r="AF162" i="2" s="1"/>
  <c r="AE39" i="5"/>
  <c r="AE162" i="2" s="1"/>
  <c r="AD39" i="5"/>
  <c r="AD162" i="2" s="1"/>
  <c r="AC39" i="5"/>
  <c r="AC162" i="2" s="1"/>
  <c r="AB39" i="5"/>
  <c r="AB162" i="2" s="1"/>
  <c r="AA39" i="5"/>
  <c r="AA162" i="2" s="1"/>
  <c r="Z39" i="5"/>
  <c r="Z162" i="2" s="1"/>
  <c r="Y39" i="5"/>
  <c r="Y162" i="2" s="1"/>
  <c r="X39" i="5"/>
  <c r="X162" i="2" s="1"/>
  <c r="W39" i="5"/>
  <c r="W162" i="2" s="1"/>
  <c r="V39" i="5"/>
  <c r="V162" i="2" s="1"/>
  <c r="U39" i="5"/>
  <c r="U162" i="2" s="1"/>
  <c r="T39" i="5"/>
  <c r="T162" i="2" s="1"/>
  <c r="S39" i="5"/>
  <c r="S162" i="2" s="1"/>
  <c r="R39" i="5"/>
  <c r="R162" i="2" s="1"/>
  <c r="Q39" i="5"/>
  <c r="Q162" i="2" s="1"/>
  <c r="P39" i="5"/>
  <c r="P162" i="2" s="1"/>
  <c r="O39" i="5"/>
  <c r="O162" i="2" s="1"/>
  <c r="N39" i="5"/>
  <c r="N162" i="2" s="1"/>
  <c r="M39" i="5"/>
  <c r="M162" i="2" s="1"/>
  <c r="L39" i="5"/>
  <c r="L162" i="2" s="1"/>
  <c r="K39" i="5"/>
  <c r="K162" i="2" s="1"/>
  <c r="J39" i="5"/>
  <c r="J162" i="2" s="1"/>
  <c r="I39" i="5"/>
  <c r="I162" i="2" s="1"/>
  <c r="H39" i="5"/>
  <c r="H162" i="2" s="1"/>
  <c r="G39" i="5"/>
  <c r="G162" i="2" s="1"/>
  <c r="F39" i="5"/>
  <c r="F162" i="2" s="1"/>
  <c r="E39" i="5"/>
  <c r="E162" i="2" s="1"/>
  <c r="BL38" i="5"/>
  <c r="BL161" i="2" s="1"/>
  <c r="BK38" i="5"/>
  <c r="BK161" i="2" s="1"/>
  <c r="BJ38" i="5"/>
  <c r="BJ161" i="2" s="1"/>
  <c r="BI38" i="5"/>
  <c r="BI161" i="2" s="1"/>
  <c r="BH38" i="5"/>
  <c r="BH161" i="2" s="1"/>
  <c r="BG38" i="5"/>
  <c r="BG161" i="2" s="1"/>
  <c r="BF38" i="5"/>
  <c r="BF161" i="2" s="1"/>
  <c r="BE38" i="5"/>
  <c r="BE161" i="2" s="1"/>
  <c r="BD38" i="5"/>
  <c r="BD161" i="2" s="1"/>
  <c r="BC38" i="5"/>
  <c r="BC161" i="2" s="1"/>
  <c r="BB38" i="5"/>
  <c r="BB161" i="2" s="1"/>
  <c r="BA38" i="5"/>
  <c r="BA161" i="2" s="1"/>
  <c r="AZ38" i="5"/>
  <c r="AZ161" i="2" s="1"/>
  <c r="AY38" i="5"/>
  <c r="AY161" i="2" s="1"/>
  <c r="AX38" i="5"/>
  <c r="AX161" i="2" s="1"/>
  <c r="AW38" i="5"/>
  <c r="AW161" i="2" s="1"/>
  <c r="AV38" i="5"/>
  <c r="AV161" i="2" s="1"/>
  <c r="AU38" i="5"/>
  <c r="AU161" i="2" s="1"/>
  <c r="AT38" i="5"/>
  <c r="AT161" i="2" s="1"/>
  <c r="AS38" i="5"/>
  <c r="AS161" i="2" s="1"/>
  <c r="AR38" i="5"/>
  <c r="AR161" i="2" s="1"/>
  <c r="AQ38" i="5"/>
  <c r="AQ161" i="2" s="1"/>
  <c r="AP38" i="5"/>
  <c r="AP161" i="2" s="1"/>
  <c r="AO38" i="5"/>
  <c r="AO161" i="2" s="1"/>
  <c r="AN38" i="5"/>
  <c r="AN161" i="2" s="1"/>
  <c r="AM38" i="5"/>
  <c r="AM161" i="2" s="1"/>
  <c r="AL38" i="5"/>
  <c r="AL161" i="2" s="1"/>
  <c r="AK38" i="5"/>
  <c r="AK161" i="2" s="1"/>
  <c r="AJ38" i="5"/>
  <c r="AJ161" i="2" s="1"/>
  <c r="AI38" i="5"/>
  <c r="AI161" i="2" s="1"/>
  <c r="AH38" i="5"/>
  <c r="AH161" i="2" s="1"/>
  <c r="AG38" i="5"/>
  <c r="AG161" i="2" s="1"/>
  <c r="AF38" i="5"/>
  <c r="AF161" i="2" s="1"/>
  <c r="AE38" i="5"/>
  <c r="AE161" i="2" s="1"/>
  <c r="AD38" i="5"/>
  <c r="AD161" i="2" s="1"/>
  <c r="AC38" i="5"/>
  <c r="AC161" i="2" s="1"/>
  <c r="AB38" i="5"/>
  <c r="AB161" i="2" s="1"/>
  <c r="AA38" i="5"/>
  <c r="AA161" i="2" s="1"/>
  <c r="Z38" i="5"/>
  <c r="Z161" i="2" s="1"/>
  <c r="Y38" i="5"/>
  <c r="Y161" i="2" s="1"/>
  <c r="X38" i="5"/>
  <c r="X161" i="2" s="1"/>
  <c r="W38" i="5"/>
  <c r="W161" i="2" s="1"/>
  <c r="V38" i="5"/>
  <c r="V161" i="2" s="1"/>
  <c r="U38" i="5"/>
  <c r="U161" i="2" s="1"/>
  <c r="T38" i="5"/>
  <c r="T161" i="2" s="1"/>
  <c r="S38" i="5"/>
  <c r="S161" i="2" s="1"/>
  <c r="R38" i="5"/>
  <c r="R161" i="2" s="1"/>
  <c r="Q38" i="5"/>
  <c r="Q161" i="2" s="1"/>
  <c r="P38" i="5"/>
  <c r="P161" i="2" s="1"/>
  <c r="O38" i="5"/>
  <c r="O161" i="2" s="1"/>
  <c r="N38" i="5"/>
  <c r="N161" i="2" s="1"/>
  <c r="M38" i="5"/>
  <c r="M161" i="2" s="1"/>
  <c r="L38" i="5"/>
  <c r="L161" i="2" s="1"/>
  <c r="K38" i="5"/>
  <c r="K161" i="2" s="1"/>
  <c r="J38" i="5"/>
  <c r="J161" i="2" s="1"/>
  <c r="I38" i="5"/>
  <c r="I161" i="2" s="1"/>
  <c r="H38" i="5"/>
  <c r="H161" i="2" s="1"/>
  <c r="G38" i="5"/>
  <c r="G161" i="2" s="1"/>
  <c r="F38" i="5"/>
  <c r="F161" i="2" s="1"/>
  <c r="E38" i="5"/>
  <c r="E161" i="2" s="1"/>
  <c r="BL37" i="5"/>
  <c r="BL160" i="2" s="1"/>
  <c r="BK37" i="5"/>
  <c r="BK160" i="2" s="1"/>
  <c r="BJ37" i="5"/>
  <c r="BJ160" i="2" s="1"/>
  <c r="BI37" i="5"/>
  <c r="BI160" i="2" s="1"/>
  <c r="BH37" i="5"/>
  <c r="BH160" i="2" s="1"/>
  <c r="BG37" i="5"/>
  <c r="BG160" i="2" s="1"/>
  <c r="BF37" i="5"/>
  <c r="BF160" i="2" s="1"/>
  <c r="BE37" i="5"/>
  <c r="BE160" i="2" s="1"/>
  <c r="BD37" i="5"/>
  <c r="BD160" i="2" s="1"/>
  <c r="BC37" i="5"/>
  <c r="BC160" i="2" s="1"/>
  <c r="BB37" i="5"/>
  <c r="BB160" i="2" s="1"/>
  <c r="BA37" i="5"/>
  <c r="BA160" i="2" s="1"/>
  <c r="AZ37" i="5"/>
  <c r="AZ160" i="2" s="1"/>
  <c r="AY37" i="5"/>
  <c r="AY160" i="2" s="1"/>
  <c r="AX37" i="5"/>
  <c r="AX160" i="2" s="1"/>
  <c r="AW37" i="5"/>
  <c r="AW160" i="2" s="1"/>
  <c r="AV37" i="5"/>
  <c r="AV160" i="2" s="1"/>
  <c r="AU37" i="5"/>
  <c r="AU160" i="2" s="1"/>
  <c r="AT37" i="5"/>
  <c r="AT160" i="2" s="1"/>
  <c r="AS37" i="5"/>
  <c r="AS160" i="2" s="1"/>
  <c r="AR37" i="5"/>
  <c r="AR160" i="2" s="1"/>
  <c r="AQ37" i="5"/>
  <c r="AQ160" i="2" s="1"/>
  <c r="AP37" i="5"/>
  <c r="AP160" i="2" s="1"/>
  <c r="AO37" i="5"/>
  <c r="AO160" i="2" s="1"/>
  <c r="AN37" i="5"/>
  <c r="AN160" i="2" s="1"/>
  <c r="AM37" i="5"/>
  <c r="AM160" i="2" s="1"/>
  <c r="AL37" i="5"/>
  <c r="AL160" i="2" s="1"/>
  <c r="AK37" i="5"/>
  <c r="AK160" i="2" s="1"/>
  <c r="AJ37" i="5"/>
  <c r="AJ160" i="2" s="1"/>
  <c r="AI37" i="5"/>
  <c r="AI160" i="2" s="1"/>
  <c r="AH37" i="5"/>
  <c r="AH160" i="2" s="1"/>
  <c r="AG37" i="5"/>
  <c r="AG160" i="2" s="1"/>
  <c r="AF37" i="5"/>
  <c r="AF160" i="2" s="1"/>
  <c r="AE37" i="5"/>
  <c r="AE160" i="2" s="1"/>
  <c r="AD37" i="5"/>
  <c r="AD160" i="2" s="1"/>
  <c r="AC37" i="5"/>
  <c r="AC160" i="2" s="1"/>
  <c r="AB37" i="5"/>
  <c r="AB160" i="2" s="1"/>
  <c r="AA37" i="5"/>
  <c r="AA160" i="2" s="1"/>
  <c r="Z37" i="5"/>
  <c r="Z160" i="2" s="1"/>
  <c r="Y37" i="5"/>
  <c r="Y160" i="2" s="1"/>
  <c r="X37" i="5"/>
  <c r="X160" i="2" s="1"/>
  <c r="W37" i="5"/>
  <c r="W160" i="2" s="1"/>
  <c r="V37" i="5"/>
  <c r="V160" i="2" s="1"/>
  <c r="U37" i="5"/>
  <c r="U160" i="2" s="1"/>
  <c r="T37" i="5"/>
  <c r="T160" i="2" s="1"/>
  <c r="S37" i="5"/>
  <c r="S160" i="2" s="1"/>
  <c r="R37" i="5"/>
  <c r="R160" i="2" s="1"/>
  <c r="Q37" i="5"/>
  <c r="Q160" i="2" s="1"/>
  <c r="P37" i="5"/>
  <c r="P160" i="2" s="1"/>
  <c r="O37" i="5"/>
  <c r="O160" i="2" s="1"/>
  <c r="N37" i="5"/>
  <c r="N160" i="2" s="1"/>
  <c r="M37" i="5"/>
  <c r="M160" i="2" s="1"/>
  <c r="L37" i="5"/>
  <c r="L160" i="2" s="1"/>
  <c r="K37" i="5"/>
  <c r="K160" i="2" s="1"/>
  <c r="J37" i="5"/>
  <c r="J160" i="2" s="1"/>
  <c r="I37" i="5"/>
  <c r="I160" i="2" s="1"/>
  <c r="H37" i="5"/>
  <c r="H160" i="2" s="1"/>
  <c r="G37" i="5"/>
  <c r="G160" i="2" s="1"/>
  <c r="F37" i="5"/>
  <c r="F160" i="2" s="1"/>
  <c r="E37" i="5"/>
  <c r="E160" i="2" s="1"/>
  <c r="BL36" i="5"/>
  <c r="BL159" i="2" s="1"/>
  <c r="BK36" i="5"/>
  <c r="BK159" i="2" s="1"/>
  <c r="BJ36" i="5"/>
  <c r="BJ159" i="2" s="1"/>
  <c r="BI36" i="5"/>
  <c r="BI159" i="2" s="1"/>
  <c r="BH36" i="5"/>
  <c r="BH159" i="2" s="1"/>
  <c r="BG36" i="5"/>
  <c r="BG159" i="2" s="1"/>
  <c r="BF36" i="5"/>
  <c r="BF159" i="2" s="1"/>
  <c r="BE36" i="5"/>
  <c r="BE159" i="2" s="1"/>
  <c r="BD36" i="5"/>
  <c r="BD159" i="2" s="1"/>
  <c r="BC36" i="5"/>
  <c r="BC159" i="2" s="1"/>
  <c r="BB36" i="5"/>
  <c r="BB159" i="2" s="1"/>
  <c r="BA36" i="5"/>
  <c r="BA159" i="2" s="1"/>
  <c r="AZ36" i="5"/>
  <c r="AZ159" i="2" s="1"/>
  <c r="AY36" i="5"/>
  <c r="AY159" i="2" s="1"/>
  <c r="AX36" i="5"/>
  <c r="AX159" i="2" s="1"/>
  <c r="AW36" i="5"/>
  <c r="AW159" i="2" s="1"/>
  <c r="AV36" i="5"/>
  <c r="AV159" i="2" s="1"/>
  <c r="AU36" i="5"/>
  <c r="AU159" i="2" s="1"/>
  <c r="AT36" i="5"/>
  <c r="AT159" i="2" s="1"/>
  <c r="AS36" i="5"/>
  <c r="AS159" i="2" s="1"/>
  <c r="AR36" i="5"/>
  <c r="AR159" i="2" s="1"/>
  <c r="AQ36" i="5"/>
  <c r="AQ159" i="2" s="1"/>
  <c r="AP36" i="5"/>
  <c r="AP159" i="2" s="1"/>
  <c r="AO36" i="5"/>
  <c r="AO159" i="2" s="1"/>
  <c r="AN36" i="5"/>
  <c r="AN159" i="2" s="1"/>
  <c r="AM36" i="5"/>
  <c r="AM159" i="2" s="1"/>
  <c r="AL36" i="5"/>
  <c r="AL159" i="2" s="1"/>
  <c r="AK36" i="5"/>
  <c r="AK159" i="2" s="1"/>
  <c r="AJ36" i="5"/>
  <c r="AJ159" i="2" s="1"/>
  <c r="AI36" i="5"/>
  <c r="AI159" i="2" s="1"/>
  <c r="AH36" i="5"/>
  <c r="AH159" i="2" s="1"/>
  <c r="AG36" i="5"/>
  <c r="AG159" i="2" s="1"/>
  <c r="AF36" i="5"/>
  <c r="AF159" i="2" s="1"/>
  <c r="AE36" i="5"/>
  <c r="AE159" i="2" s="1"/>
  <c r="AD36" i="5"/>
  <c r="AD159" i="2" s="1"/>
  <c r="AC36" i="5"/>
  <c r="AC159" i="2" s="1"/>
  <c r="AB36" i="5"/>
  <c r="AB159" i="2" s="1"/>
  <c r="AA36" i="5"/>
  <c r="AA159" i="2" s="1"/>
  <c r="Z36" i="5"/>
  <c r="Z159" i="2" s="1"/>
  <c r="Y36" i="5"/>
  <c r="Y159" i="2" s="1"/>
  <c r="X36" i="5"/>
  <c r="X159" i="2" s="1"/>
  <c r="W36" i="5"/>
  <c r="W159" i="2" s="1"/>
  <c r="V36" i="5"/>
  <c r="V159" i="2" s="1"/>
  <c r="U36" i="5"/>
  <c r="U159" i="2" s="1"/>
  <c r="T36" i="5"/>
  <c r="T159" i="2" s="1"/>
  <c r="S36" i="5"/>
  <c r="S159" i="2" s="1"/>
  <c r="R36" i="5"/>
  <c r="R159" i="2" s="1"/>
  <c r="Q36" i="5"/>
  <c r="Q159" i="2" s="1"/>
  <c r="P36" i="5"/>
  <c r="P159" i="2" s="1"/>
  <c r="O36" i="5"/>
  <c r="O159" i="2" s="1"/>
  <c r="N36" i="5"/>
  <c r="N159" i="2" s="1"/>
  <c r="M36" i="5"/>
  <c r="M159" i="2" s="1"/>
  <c r="L36" i="5"/>
  <c r="L159" i="2" s="1"/>
  <c r="K36" i="5"/>
  <c r="K159" i="2" s="1"/>
  <c r="J36" i="5"/>
  <c r="J159" i="2" s="1"/>
  <c r="I36" i="5"/>
  <c r="I159" i="2" s="1"/>
  <c r="H36" i="5"/>
  <c r="H159" i="2" s="1"/>
  <c r="G36" i="5"/>
  <c r="G159" i="2" s="1"/>
  <c r="F36" i="5"/>
  <c r="F159" i="2" s="1"/>
  <c r="E36" i="5"/>
  <c r="E159" i="2" s="1"/>
  <c r="BL35" i="5"/>
  <c r="BL158" i="2" s="1"/>
  <c r="BK35" i="5"/>
  <c r="BK158" i="2" s="1"/>
  <c r="BJ35" i="5"/>
  <c r="BJ158" i="2" s="1"/>
  <c r="BI35" i="5"/>
  <c r="BI158" i="2" s="1"/>
  <c r="BH35" i="5"/>
  <c r="BH158" i="2" s="1"/>
  <c r="BG35" i="5"/>
  <c r="BG158" i="2" s="1"/>
  <c r="BF35" i="5"/>
  <c r="BF158" i="2" s="1"/>
  <c r="BE35" i="5"/>
  <c r="BE158" i="2" s="1"/>
  <c r="BD35" i="5"/>
  <c r="BD158" i="2" s="1"/>
  <c r="BC35" i="5"/>
  <c r="BC158" i="2" s="1"/>
  <c r="BB35" i="5"/>
  <c r="BB158" i="2" s="1"/>
  <c r="BA35" i="5"/>
  <c r="BA158" i="2" s="1"/>
  <c r="AZ35" i="5"/>
  <c r="AZ158" i="2" s="1"/>
  <c r="AY35" i="5"/>
  <c r="AY158" i="2" s="1"/>
  <c r="AX35" i="5"/>
  <c r="AX158" i="2" s="1"/>
  <c r="AW35" i="5"/>
  <c r="AW158" i="2" s="1"/>
  <c r="AV35" i="5"/>
  <c r="AV158" i="2" s="1"/>
  <c r="AU35" i="5"/>
  <c r="AU158" i="2" s="1"/>
  <c r="AT35" i="5"/>
  <c r="AT158" i="2" s="1"/>
  <c r="AS35" i="5"/>
  <c r="AS158" i="2" s="1"/>
  <c r="AR35" i="5"/>
  <c r="AR158" i="2" s="1"/>
  <c r="AQ35" i="5"/>
  <c r="AQ158" i="2" s="1"/>
  <c r="AP35" i="5"/>
  <c r="AP158" i="2" s="1"/>
  <c r="AO35" i="5"/>
  <c r="AO158" i="2" s="1"/>
  <c r="AN35" i="5"/>
  <c r="AN158" i="2" s="1"/>
  <c r="AM35" i="5"/>
  <c r="AM158" i="2" s="1"/>
  <c r="AL35" i="5"/>
  <c r="AL158" i="2" s="1"/>
  <c r="AK35" i="5"/>
  <c r="AK158" i="2" s="1"/>
  <c r="AJ35" i="5"/>
  <c r="AJ158" i="2" s="1"/>
  <c r="AI35" i="5"/>
  <c r="AI158" i="2" s="1"/>
  <c r="AH35" i="5"/>
  <c r="AH158" i="2" s="1"/>
  <c r="AG35" i="5"/>
  <c r="AG158" i="2" s="1"/>
  <c r="AF35" i="5"/>
  <c r="AF158" i="2" s="1"/>
  <c r="AE35" i="5"/>
  <c r="AE158" i="2" s="1"/>
  <c r="AD35" i="5"/>
  <c r="AD158" i="2" s="1"/>
  <c r="AC35" i="5"/>
  <c r="AC158" i="2" s="1"/>
  <c r="AB35" i="5"/>
  <c r="AB158" i="2" s="1"/>
  <c r="AA35" i="5"/>
  <c r="AA158" i="2" s="1"/>
  <c r="Z35" i="5"/>
  <c r="Z158" i="2" s="1"/>
  <c r="Y35" i="5"/>
  <c r="Y158" i="2" s="1"/>
  <c r="X35" i="5"/>
  <c r="X158" i="2" s="1"/>
  <c r="W35" i="5"/>
  <c r="W158" i="2" s="1"/>
  <c r="V35" i="5"/>
  <c r="V158" i="2" s="1"/>
  <c r="U35" i="5"/>
  <c r="U158" i="2" s="1"/>
  <c r="T35" i="5"/>
  <c r="T158" i="2" s="1"/>
  <c r="S35" i="5"/>
  <c r="S158" i="2" s="1"/>
  <c r="R35" i="5"/>
  <c r="R158" i="2" s="1"/>
  <c r="Q35" i="5"/>
  <c r="Q158" i="2" s="1"/>
  <c r="P35" i="5"/>
  <c r="P158" i="2" s="1"/>
  <c r="O35" i="5"/>
  <c r="O158" i="2" s="1"/>
  <c r="N35" i="5"/>
  <c r="N158" i="2" s="1"/>
  <c r="M35" i="5"/>
  <c r="M158" i="2" s="1"/>
  <c r="L35" i="5"/>
  <c r="L158" i="2" s="1"/>
  <c r="K35" i="5"/>
  <c r="K158" i="2" s="1"/>
  <c r="J35" i="5"/>
  <c r="J158" i="2" s="1"/>
  <c r="I35" i="5"/>
  <c r="I158" i="2" s="1"/>
  <c r="H35" i="5"/>
  <c r="H158" i="2" s="1"/>
  <c r="G35" i="5"/>
  <c r="G158" i="2" s="1"/>
  <c r="F35" i="5"/>
  <c r="F158" i="2" s="1"/>
  <c r="E35" i="5"/>
  <c r="E158" i="2" s="1"/>
  <c r="BL34" i="5"/>
  <c r="BL157" i="2" s="1"/>
  <c r="BK34" i="5"/>
  <c r="BK157" i="2" s="1"/>
  <c r="BJ34" i="5"/>
  <c r="BJ157" i="2" s="1"/>
  <c r="BI34" i="5"/>
  <c r="BI157" i="2" s="1"/>
  <c r="BH34" i="5"/>
  <c r="BH157" i="2" s="1"/>
  <c r="BG34" i="5"/>
  <c r="BG157" i="2" s="1"/>
  <c r="BF34" i="5"/>
  <c r="BF157" i="2" s="1"/>
  <c r="BE34" i="5"/>
  <c r="BE157" i="2" s="1"/>
  <c r="BD34" i="5"/>
  <c r="BD157" i="2" s="1"/>
  <c r="BC34" i="5"/>
  <c r="BC157" i="2" s="1"/>
  <c r="BB34" i="5"/>
  <c r="BB157" i="2" s="1"/>
  <c r="BA34" i="5"/>
  <c r="BA157" i="2" s="1"/>
  <c r="AZ34" i="5"/>
  <c r="AZ157" i="2" s="1"/>
  <c r="AY34" i="5"/>
  <c r="AY157" i="2" s="1"/>
  <c r="AX34" i="5"/>
  <c r="AX157" i="2" s="1"/>
  <c r="AW34" i="5"/>
  <c r="AW157" i="2" s="1"/>
  <c r="AV34" i="5"/>
  <c r="AV157" i="2" s="1"/>
  <c r="AU34" i="5"/>
  <c r="AU157" i="2" s="1"/>
  <c r="AT34" i="5"/>
  <c r="AT157" i="2" s="1"/>
  <c r="AS34" i="5"/>
  <c r="AS157" i="2" s="1"/>
  <c r="AR34" i="5"/>
  <c r="AR157" i="2" s="1"/>
  <c r="AQ34" i="5"/>
  <c r="AQ157" i="2" s="1"/>
  <c r="AP34" i="5"/>
  <c r="AP157" i="2" s="1"/>
  <c r="AO34" i="5"/>
  <c r="AO157" i="2" s="1"/>
  <c r="AN34" i="5"/>
  <c r="AN157" i="2" s="1"/>
  <c r="AM34" i="5"/>
  <c r="AM157" i="2" s="1"/>
  <c r="AL34" i="5"/>
  <c r="AL157" i="2" s="1"/>
  <c r="AK34" i="5"/>
  <c r="AK157" i="2" s="1"/>
  <c r="AJ34" i="5"/>
  <c r="AJ157" i="2" s="1"/>
  <c r="AI34" i="5"/>
  <c r="AI157" i="2" s="1"/>
  <c r="AH34" i="5"/>
  <c r="AH157" i="2" s="1"/>
  <c r="AG34" i="5"/>
  <c r="AG157" i="2" s="1"/>
  <c r="AF34" i="5"/>
  <c r="AF157" i="2" s="1"/>
  <c r="AE34" i="5"/>
  <c r="AE157" i="2" s="1"/>
  <c r="AD34" i="5"/>
  <c r="AD157" i="2" s="1"/>
  <c r="AC34" i="5"/>
  <c r="AC157" i="2" s="1"/>
  <c r="AB34" i="5"/>
  <c r="AB157" i="2" s="1"/>
  <c r="AA34" i="5"/>
  <c r="AA157" i="2" s="1"/>
  <c r="Z34" i="5"/>
  <c r="Z157" i="2" s="1"/>
  <c r="Y34" i="5"/>
  <c r="Y157" i="2" s="1"/>
  <c r="X34" i="5"/>
  <c r="X157" i="2" s="1"/>
  <c r="W34" i="5"/>
  <c r="W157" i="2" s="1"/>
  <c r="V34" i="5"/>
  <c r="V157" i="2" s="1"/>
  <c r="U34" i="5"/>
  <c r="U157" i="2" s="1"/>
  <c r="T34" i="5"/>
  <c r="T157" i="2" s="1"/>
  <c r="S34" i="5"/>
  <c r="S157" i="2" s="1"/>
  <c r="R34" i="5"/>
  <c r="R157" i="2" s="1"/>
  <c r="Q34" i="5"/>
  <c r="Q157" i="2" s="1"/>
  <c r="P34" i="5"/>
  <c r="P157" i="2" s="1"/>
  <c r="O34" i="5"/>
  <c r="O157" i="2" s="1"/>
  <c r="N34" i="5"/>
  <c r="N157" i="2" s="1"/>
  <c r="M34" i="5"/>
  <c r="M157" i="2" s="1"/>
  <c r="L34" i="5"/>
  <c r="L157" i="2" s="1"/>
  <c r="K34" i="5"/>
  <c r="K157" i="2" s="1"/>
  <c r="J34" i="5"/>
  <c r="J157" i="2" s="1"/>
  <c r="I34" i="5"/>
  <c r="I157" i="2" s="1"/>
  <c r="H34" i="5"/>
  <c r="H157" i="2" s="1"/>
  <c r="G34" i="5"/>
  <c r="G157" i="2" s="1"/>
  <c r="F34" i="5"/>
  <c r="F157" i="2" s="1"/>
  <c r="E34" i="5"/>
  <c r="E157" i="2" s="1"/>
  <c r="BL33" i="5"/>
  <c r="BL156" i="2" s="1"/>
  <c r="BK33" i="5"/>
  <c r="BK156" i="2" s="1"/>
  <c r="BJ33" i="5"/>
  <c r="BJ156" i="2" s="1"/>
  <c r="BI33" i="5"/>
  <c r="BI156" i="2" s="1"/>
  <c r="BH33" i="5"/>
  <c r="BH156" i="2" s="1"/>
  <c r="BG33" i="5"/>
  <c r="BG156" i="2" s="1"/>
  <c r="BF33" i="5"/>
  <c r="BF156" i="2" s="1"/>
  <c r="BE33" i="5"/>
  <c r="BE156" i="2" s="1"/>
  <c r="BD33" i="5"/>
  <c r="BD156" i="2" s="1"/>
  <c r="BC33" i="5"/>
  <c r="BC156" i="2" s="1"/>
  <c r="BB33" i="5"/>
  <c r="BB156" i="2" s="1"/>
  <c r="BA33" i="5"/>
  <c r="BA156" i="2" s="1"/>
  <c r="AZ33" i="5"/>
  <c r="AZ156" i="2" s="1"/>
  <c r="AY33" i="5"/>
  <c r="AY156" i="2" s="1"/>
  <c r="AX33" i="5"/>
  <c r="AX156" i="2" s="1"/>
  <c r="AW33" i="5"/>
  <c r="AW156" i="2" s="1"/>
  <c r="AV33" i="5"/>
  <c r="AV156" i="2" s="1"/>
  <c r="AU33" i="5"/>
  <c r="AU156" i="2" s="1"/>
  <c r="AT33" i="5"/>
  <c r="AT156" i="2" s="1"/>
  <c r="AS33" i="5"/>
  <c r="AS156" i="2" s="1"/>
  <c r="AR33" i="5"/>
  <c r="AR156" i="2" s="1"/>
  <c r="AQ33" i="5"/>
  <c r="AQ156" i="2" s="1"/>
  <c r="AP33" i="5"/>
  <c r="AP156" i="2" s="1"/>
  <c r="AO33" i="5"/>
  <c r="AO156" i="2" s="1"/>
  <c r="AN33" i="5"/>
  <c r="AN156" i="2" s="1"/>
  <c r="AM33" i="5"/>
  <c r="AM156" i="2" s="1"/>
  <c r="AL33" i="5"/>
  <c r="AL156" i="2" s="1"/>
  <c r="AK33" i="5"/>
  <c r="AK156" i="2" s="1"/>
  <c r="AJ33" i="5"/>
  <c r="AJ156" i="2" s="1"/>
  <c r="AI33" i="5"/>
  <c r="AI156" i="2" s="1"/>
  <c r="AH33" i="5"/>
  <c r="AH156" i="2" s="1"/>
  <c r="AG33" i="5"/>
  <c r="AG156" i="2" s="1"/>
  <c r="AF33" i="5"/>
  <c r="AF156" i="2" s="1"/>
  <c r="AE33" i="5"/>
  <c r="AE156" i="2" s="1"/>
  <c r="AD33" i="5"/>
  <c r="AD156" i="2" s="1"/>
  <c r="AC33" i="5"/>
  <c r="AC156" i="2" s="1"/>
  <c r="AB33" i="5"/>
  <c r="AB156" i="2" s="1"/>
  <c r="AA33" i="5"/>
  <c r="AA156" i="2" s="1"/>
  <c r="Z33" i="5"/>
  <c r="Z156" i="2" s="1"/>
  <c r="Y33" i="5"/>
  <c r="Y156" i="2" s="1"/>
  <c r="X33" i="5"/>
  <c r="X156" i="2" s="1"/>
  <c r="W33" i="5"/>
  <c r="W156" i="2" s="1"/>
  <c r="V33" i="5"/>
  <c r="V156" i="2" s="1"/>
  <c r="U33" i="5"/>
  <c r="U156" i="2" s="1"/>
  <c r="T33" i="5"/>
  <c r="T156" i="2" s="1"/>
  <c r="S33" i="5"/>
  <c r="S156" i="2" s="1"/>
  <c r="R33" i="5"/>
  <c r="R156" i="2" s="1"/>
  <c r="Q33" i="5"/>
  <c r="Q156" i="2" s="1"/>
  <c r="P33" i="5"/>
  <c r="P156" i="2" s="1"/>
  <c r="O33" i="5"/>
  <c r="O156" i="2" s="1"/>
  <c r="N33" i="5"/>
  <c r="N156" i="2" s="1"/>
  <c r="M33" i="5"/>
  <c r="M156" i="2" s="1"/>
  <c r="L33" i="5"/>
  <c r="L156" i="2" s="1"/>
  <c r="K33" i="5"/>
  <c r="K156" i="2" s="1"/>
  <c r="J33" i="5"/>
  <c r="J156" i="2" s="1"/>
  <c r="I33" i="5"/>
  <c r="I156" i="2" s="1"/>
  <c r="H33" i="5"/>
  <c r="H156" i="2" s="1"/>
  <c r="G33" i="5"/>
  <c r="G156" i="2" s="1"/>
  <c r="F33" i="5"/>
  <c r="F156" i="2" s="1"/>
  <c r="E33" i="5"/>
  <c r="E156" i="2" s="1"/>
  <c r="BL32" i="5"/>
  <c r="BL155" i="2" s="1"/>
  <c r="BK32" i="5"/>
  <c r="BK155" i="2" s="1"/>
  <c r="BJ32" i="5"/>
  <c r="BJ155" i="2" s="1"/>
  <c r="BI32" i="5"/>
  <c r="BI155" i="2" s="1"/>
  <c r="BH32" i="5"/>
  <c r="BH155" i="2" s="1"/>
  <c r="BG32" i="5"/>
  <c r="BG155" i="2" s="1"/>
  <c r="BF32" i="5"/>
  <c r="BF155" i="2" s="1"/>
  <c r="BE32" i="5"/>
  <c r="BE155" i="2" s="1"/>
  <c r="BD32" i="5"/>
  <c r="BD155" i="2" s="1"/>
  <c r="BC32" i="5"/>
  <c r="BC155" i="2" s="1"/>
  <c r="BB32" i="5"/>
  <c r="BB155" i="2" s="1"/>
  <c r="BA32" i="5"/>
  <c r="BA155" i="2" s="1"/>
  <c r="AZ32" i="5"/>
  <c r="AZ155" i="2" s="1"/>
  <c r="AY32" i="5"/>
  <c r="AY155" i="2" s="1"/>
  <c r="AX32" i="5"/>
  <c r="AX155" i="2" s="1"/>
  <c r="AW32" i="5"/>
  <c r="AW155" i="2" s="1"/>
  <c r="AV32" i="5"/>
  <c r="AV155" i="2" s="1"/>
  <c r="AU32" i="5"/>
  <c r="AU155" i="2" s="1"/>
  <c r="AT32" i="5"/>
  <c r="AT155" i="2" s="1"/>
  <c r="AS32" i="5"/>
  <c r="AS155" i="2" s="1"/>
  <c r="AR32" i="5"/>
  <c r="AR155" i="2" s="1"/>
  <c r="AQ32" i="5"/>
  <c r="AQ155" i="2" s="1"/>
  <c r="AP32" i="5"/>
  <c r="AP155" i="2" s="1"/>
  <c r="AO32" i="5"/>
  <c r="AO155" i="2" s="1"/>
  <c r="AN32" i="5"/>
  <c r="AN155" i="2" s="1"/>
  <c r="AM32" i="5"/>
  <c r="AM155" i="2" s="1"/>
  <c r="AL32" i="5"/>
  <c r="AL155" i="2" s="1"/>
  <c r="AK32" i="5"/>
  <c r="AK155" i="2" s="1"/>
  <c r="AJ32" i="5"/>
  <c r="AJ155" i="2" s="1"/>
  <c r="AI32" i="5"/>
  <c r="AI155" i="2" s="1"/>
  <c r="AH32" i="5"/>
  <c r="AH155" i="2" s="1"/>
  <c r="AG32" i="5"/>
  <c r="AG155" i="2" s="1"/>
  <c r="AF32" i="5"/>
  <c r="AF155" i="2" s="1"/>
  <c r="AE32" i="5"/>
  <c r="AE155" i="2" s="1"/>
  <c r="AD32" i="5"/>
  <c r="AD155" i="2" s="1"/>
  <c r="AC32" i="5"/>
  <c r="AC155" i="2" s="1"/>
  <c r="AB32" i="5"/>
  <c r="AB155" i="2" s="1"/>
  <c r="AA32" i="5"/>
  <c r="AA155" i="2" s="1"/>
  <c r="Z32" i="5"/>
  <c r="Z155" i="2" s="1"/>
  <c r="Y32" i="5"/>
  <c r="Y155" i="2" s="1"/>
  <c r="X32" i="5"/>
  <c r="X155" i="2" s="1"/>
  <c r="W32" i="5"/>
  <c r="W155" i="2" s="1"/>
  <c r="V32" i="5"/>
  <c r="V155" i="2" s="1"/>
  <c r="U32" i="5"/>
  <c r="U155" i="2" s="1"/>
  <c r="T32" i="5"/>
  <c r="T155" i="2" s="1"/>
  <c r="S32" i="5"/>
  <c r="S155" i="2" s="1"/>
  <c r="R32" i="5"/>
  <c r="R155" i="2" s="1"/>
  <c r="Q32" i="5"/>
  <c r="Q155" i="2" s="1"/>
  <c r="P32" i="5"/>
  <c r="P155" i="2" s="1"/>
  <c r="O32" i="5"/>
  <c r="O155" i="2" s="1"/>
  <c r="N32" i="5"/>
  <c r="N155" i="2" s="1"/>
  <c r="M32" i="5"/>
  <c r="M155" i="2" s="1"/>
  <c r="L32" i="5"/>
  <c r="L155" i="2" s="1"/>
  <c r="K32" i="5"/>
  <c r="K155" i="2" s="1"/>
  <c r="J32" i="5"/>
  <c r="J155" i="2" s="1"/>
  <c r="I32" i="5"/>
  <c r="I155" i="2" s="1"/>
  <c r="H32" i="5"/>
  <c r="H155" i="2" s="1"/>
  <c r="G32" i="5"/>
  <c r="G155" i="2" s="1"/>
  <c r="F32" i="5"/>
  <c r="F155" i="2" s="1"/>
  <c r="E32" i="5"/>
  <c r="E155" i="2" s="1"/>
  <c r="BL31" i="5"/>
  <c r="BL154" i="2" s="1"/>
  <c r="BK31" i="5"/>
  <c r="BK154" i="2" s="1"/>
  <c r="BJ31" i="5"/>
  <c r="BJ154" i="2" s="1"/>
  <c r="BI31" i="5"/>
  <c r="BI154" i="2" s="1"/>
  <c r="BH31" i="5"/>
  <c r="BH154" i="2" s="1"/>
  <c r="BG31" i="5"/>
  <c r="BG154" i="2" s="1"/>
  <c r="BF31" i="5"/>
  <c r="BF154" i="2" s="1"/>
  <c r="BE31" i="5"/>
  <c r="BE154" i="2" s="1"/>
  <c r="BD31" i="5"/>
  <c r="BD154" i="2" s="1"/>
  <c r="BC31" i="5"/>
  <c r="BC154" i="2" s="1"/>
  <c r="BB31" i="5"/>
  <c r="BB154" i="2" s="1"/>
  <c r="BA31" i="5"/>
  <c r="BA154" i="2" s="1"/>
  <c r="AZ31" i="5"/>
  <c r="AZ154" i="2" s="1"/>
  <c r="AY31" i="5"/>
  <c r="AY154" i="2" s="1"/>
  <c r="AX31" i="5"/>
  <c r="AX154" i="2" s="1"/>
  <c r="AW31" i="5"/>
  <c r="AW154" i="2" s="1"/>
  <c r="AV31" i="5"/>
  <c r="AV154" i="2" s="1"/>
  <c r="AU31" i="5"/>
  <c r="AU154" i="2" s="1"/>
  <c r="AT31" i="5"/>
  <c r="AT154" i="2" s="1"/>
  <c r="AS31" i="5"/>
  <c r="AS154" i="2" s="1"/>
  <c r="AR31" i="5"/>
  <c r="AR154" i="2" s="1"/>
  <c r="AQ31" i="5"/>
  <c r="AQ154" i="2" s="1"/>
  <c r="AP31" i="5"/>
  <c r="AP154" i="2" s="1"/>
  <c r="AO31" i="5"/>
  <c r="AO154" i="2" s="1"/>
  <c r="AN31" i="5"/>
  <c r="AN154" i="2" s="1"/>
  <c r="AM31" i="5"/>
  <c r="AM154" i="2" s="1"/>
  <c r="AL31" i="5"/>
  <c r="AL154" i="2" s="1"/>
  <c r="AK31" i="5"/>
  <c r="AK154" i="2" s="1"/>
  <c r="AJ31" i="5"/>
  <c r="AJ154" i="2" s="1"/>
  <c r="AI31" i="5"/>
  <c r="AI154" i="2" s="1"/>
  <c r="AH31" i="5"/>
  <c r="AH154" i="2" s="1"/>
  <c r="AG31" i="5"/>
  <c r="AG154" i="2" s="1"/>
  <c r="AF31" i="5"/>
  <c r="AF154" i="2" s="1"/>
  <c r="AE31" i="5"/>
  <c r="AE154" i="2" s="1"/>
  <c r="AD31" i="5"/>
  <c r="AD154" i="2" s="1"/>
  <c r="AC31" i="5"/>
  <c r="AC154" i="2" s="1"/>
  <c r="AB31" i="5"/>
  <c r="AB154" i="2" s="1"/>
  <c r="AA31" i="5"/>
  <c r="AA154" i="2" s="1"/>
  <c r="Z31" i="5"/>
  <c r="Z154" i="2" s="1"/>
  <c r="Y31" i="5"/>
  <c r="Y154" i="2" s="1"/>
  <c r="X31" i="5"/>
  <c r="X154" i="2" s="1"/>
  <c r="W31" i="5"/>
  <c r="W154" i="2" s="1"/>
  <c r="V31" i="5"/>
  <c r="V154" i="2" s="1"/>
  <c r="U31" i="5"/>
  <c r="U154" i="2" s="1"/>
  <c r="T31" i="5"/>
  <c r="T154" i="2" s="1"/>
  <c r="S31" i="5"/>
  <c r="S154" i="2" s="1"/>
  <c r="R31" i="5"/>
  <c r="R154" i="2" s="1"/>
  <c r="Q31" i="5"/>
  <c r="Q154" i="2" s="1"/>
  <c r="P31" i="5"/>
  <c r="P154" i="2" s="1"/>
  <c r="O31" i="5"/>
  <c r="O154" i="2" s="1"/>
  <c r="N31" i="5"/>
  <c r="N154" i="2" s="1"/>
  <c r="M31" i="5"/>
  <c r="M154" i="2" s="1"/>
  <c r="L31" i="5"/>
  <c r="L154" i="2" s="1"/>
  <c r="K31" i="5"/>
  <c r="K154" i="2" s="1"/>
  <c r="J31" i="5"/>
  <c r="J154" i="2" s="1"/>
  <c r="I31" i="5"/>
  <c r="I154" i="2" s="1"/>
  <c r="H31" i="5"/>
  <c r="H154" i="2" s="1"/>
  <c r="G31" i="5"/>
  <c r="G154" i="2" s="1"/>
  <c r="F31" i="5"/>
  <c r="F154" i="2" s="1"/>
  <c r="E31" i="5"/>
  <c r="E154" i="2" s="1"/>
  <c r="BL30" i="5"/>
  <c r="BL153" i="2" s="1"/>
  <c r="BK30" i="5"/>
  <c r="BK153" i="2" s="1"/>
  <c r="BJ30" i="5"/>
  <c r="BJ153" i="2" s="1"/>
  <c r="BI30" i="5"/>
  <c r="BI153" i="2" s="1"/>
  <c r="BH30" i="5"/>
  <c r="BH153" i="2" s="1"/>
  <c r="BG30" i="5"/>
  <c r="BG153" i="2" s="1"/>
  <c r="BF30" i="5"/>
  <c r="BF153" i="2" s="1"/>
  <c r="BE30" i="5"/>
  <c r="BE153" i="2" s="1"/>
  <c r="BD30" i="5"/>
  <c r="BD153" i="2" s="1"/>
  <c r="BC30" i="5"/>
  <c r="BC153" i="2" s="1"/>
  <c r="BB30" i="5"/>
  <c r="BB153" i="2" s="1"/>
  <c r="BA30" i="5"/>
  <c r="BA153" i="2" s="1"/>
  <c r="AZ30" i="5"/>
  <c r="AZ153" i="2" s="1"/>
  <c r="AY30" i="5"/>
  <c r="AY153" i="2" s="1"/>
  <c r="AX30" i="5"/>
  <c r="AX153" i="2" s="1"/>
  <c r="AW30" i="5"/>
  <c r="AW153" i="2" s="1"/>
  <c r="AV30" i="5"/>
  <c r="AV153" i="2" s="1"/>
  <c r="AU30" i="5"/>
  <c r="AU153" i="2" s="1"/>
  <c r="AT30" i="5"/>
  <c r="AT153" i="2" s="1"/>
  <c r="AS30" i="5"/>
  <c r="AS153" i="2" s="1"/>
  <c r="AR30" i="5"/>
  <c r="AR153" i="2" s="1"/>
  <c r="AQ30" i="5"/>
  <c r="AQ153" i="2" s="1"/>
  <c r="AP30" i="5"/>
  <c r="AP153" i="2" s="1"/>
  <c r="AO30" i="5"/>
  <c r="AO153" i="2" s="1"/>
  <c r="AN30" i="5"/>
  <c r="AN153" i="2" s="1"/>
  <c r="AM30" i="5"/>
  <c r="AM153" i="2" s="1"/>
  <c r="AL30" i="5"/>
  <c r="AL153" i="2" s="1"/>
  <c r="AK30" i="5"/>
  <c r="AK153" i="2" s="1"/>
  <c r="AJ30" i="5"/>
  <c r="AJ153" i="2" s="1"/>
  <c r="AI30" i="5"/>
  <c r="AI153" i="2" s="1"/>
  <c r="AH30" i="5"/>
  <c r="AH153" i="2" s="1"/>
  <c r="AG30" i="5"/>
  <c r="AG153" i="2" s="1"/>
  <c r="AF30" i="5"/>
  <c r="AF153" i="2" s="1"/>
  <c r="AE30" i="5"/>
  <c r="AE153" i="2" s="1"/>
  <c r="AD30" i="5"/>
  <c r="AD153" i="2" s="1"/>
  <c r="AC30" i="5"/>
  <c r="AC153" i="2" s="1"/>
  <c r="AB30" i="5"/>
  <c r="AB153" i="2" s="1"/>
  <c r="AA30" i="5"/>
  <c r="AA153" i="2" s="1"/>
  <c r="Z30" i="5"/>
  <c r="Z153" i="2" s="1"/>
  <c r="Y30" i="5"/>
  <c r="Y153" i="2" s="1"/>
  <c r="X30" i="5"/>
  <c r="X153" i="2" s="1"/>
  <c r="W30" i="5"/>
  <c r="W153" i="2" s="1"/>
  <c r="V30" i="5"/>
  <c r="V153" i="2" s="1"/>
  <c r="U30" i="5"/>
  <c r="U153" i="2" s="1"/>
  <c r="T30" i="5"/>
  <c r="T153" i="2" s="1"/>
  <c r="S30" i="5"/>
  <c r="S153" i="2" s="1"/>
  <c r="R30" i="5"/>
  <c r="R153" i="2" s="1"/>
  <c r="Q30" i="5"/>
  <c r="Q153" i="2" s="1"/>
  <c r="P30" i="5"/>
  <c r="P153" i="2" s="1"/>
  <c r="O30" i="5"/>
  <c r="O153" i="2" s="1"/>
  <c r="N30" i="5"/>
  <c r="N153" i="2" s="1"/>
  <c r="M30" i="5"/>
  <c r="M153" i="2" s="1"/>
  <c r="L30" i="5"/>
  <c r="L153" i="2" s="1"/>
  <c r="K30" i="5"/>
  <c r="K153" i="2" s="1"/>
  <c r="J30" i="5"/>
  <c r="J153" i="2" s="1"/>
  <c r="I30" i="5"/>
  <c r="I153" i="2" s="1"/>
  <c r="H30" i="5"/>
  <c r="H153" i="2" s="1"/>
  <c r="G30" i="5"/>
  <c r="G153" i="2" s="1"/>
  <c r="F30" i="5"/>
  <c r="F153" i="2" s="1"/>
  <c r="E30" i="5"/>
  <c r="E153" i="2" s="1"/>
  <c r="BL29" i="5"/>
  <c r="BL152" i="2" s="1"/>
  <c r="BK29" i="5"/>
  <c r="BK152" i="2" s="1"/>
  <c r="BJ29" i="5"/>
  <c r="BJ152" i="2" s="1"/>
  <c r="BI29" i="5"/>
  <c r="BI152" i="2" s="1"/>
  <c r="BH29" i="5"/>
  <c r="BH152" i="2" s="1"/>
  <c r="BG29" i="5"/>
  <c r="BG152" i="2" s="1"/>
  <c r="BF29" i="5"/>
  <c r="BF152" i="2" s="1"/>
  <c r="BE29" i="5"/>
  <c r="BE152" i="2" s="1"/>
  <c r="BD29" i="5"/>
  <c r="BD152" i="2" s="1"/>
  <c r="BC29" i="5"/>
  <c r="BC152" i="2" s="1"/>
  <c r="BB29" i="5"/>
  <c r="BB152" i="2" s="1"/>
  <c r="BA29" i="5"/>
  <c r="BA152" i="2" s="1"/>
  <c r="AZ29" i="5"/>
  <c r="AZ152" i="2" s="1"/>
  <c r="AY29" i="5"/>
  <c r="AY152" i="2" s="1"/>
  <c r="AX29" i="5"/>
  <c r="AX152" i="2" s="1"/>
  <c r="AW29" i="5"/>
  <c r="AW152" i="2" s="1"/>
  <c r="AV29" i="5"/>
  <c r="AV152" i="2" s="1"/>
  <c r="AU29" i="5"/>
  <c r="AU152" i="2" s="1"/>
  <c r="AT29" i="5"/>
  <c r="AT152" i="2" s="1"/>
  <c r="AS29" i="5"/>
  <c r="AS152" i="2" s="1"/>
  <c r="AR29" i="5"/>
  <c r="AR152" i="2" s="1"/>
  <c r="AQ29" i="5"/>
  <c r="AQ152" i="2" s="1"/>
  <c r="AP29" i="5"/>
  <c r="AP152" i="2" s="1"/>
  <c r="AO29" i="5"/>
  <c r="AO152" i="2" s="1"/>
  <c r="AN29" i="5"/>
  <c r="AN152" i="2" s="1"/>
  <c r="AM29" i="5"/>
  <c r="AM152" i="2" s="1"/>
  <c r="AL29" i="5"/>
  <c r="AL152" i="2" s="1"/>
  <c r="AK29" i="5"/>
  <c r="AK152" i="2" s="1"/>
  <c r="AJ29" i="5"/>
  <c r="AJ152" i="2" s="1"/>
  <c r="AI29" i="5"/>
  <c r="AI152" i="2" s="1"/>
  <c r="AH29" i="5"/>
  <c r="AH152" i="2" s="1"/>
  <c r="AG29" i="5"/>
  <c r="AG152" i="2" s="1"/>
  <c r="AF29" i="5"/>
  <c r="AF152" i="2" s="1"/>
  <c r="AE29" i="5"/>
  <c r="AE152" i="2" s="1"/>
  <c r="AD29" i="5"/>
  <c r="AD152" i="2" s="1"/>
  <c r="AC29" i="5"/>
  <c r="AC152" i="2" s="1"/>
  <c r="AB29" i="5"/>
  <c r="AB152" i="2" s="1"/>
  <c r="AA29" i="5"/>
  <c r="AA152" i="2" s="1"/>
  <c r="Z29" i="5"/>
  <c r="Z152" i="2" s="1"/>
  <c r="Y29" i="5"/>
  <c r="Y152" i="2" s="1"/>
  <c r="X29" i="5"/>
  <c r="X152" i="2" s="1"/>
  <c r="W29" i="5"/>
  <c r="W152" i="2" s="1"/>
  <c r="V29" i="5"/>
  <c r="V152" i="2" s="1"/>
  <c r="U29" i="5"/>
  <c r="U152" i="2" s="1"/>
  <c r="T29" i="5"/>
  <c r="T152" i="2" s="1"/>
  <c r="S29" i="5"/>
  <c r="S152" i="2" s="1"/>
  <c r="R29" i="5"/>
  <c r="R152" i="2" s="1"/>
  <c r="Q29" i="5"/>
  <c r="Q152" i="2" s="1"/>
  <c r="P29" i="5"/>
  <c r="P152" i="2" s="1"/>
  <c r="O29" i="5"/>
  <c r="O152" i="2" s="1"/>
  <c r="N29" i="5"/>
  <c r="N152" i="2" s="1"/>
  <c r="M29" i="5"/>
  <c r="M152" i="2" s="1"/>
  <c r="L29" i="5"/>
  <c r="L152" i="2" s="1"/>
  <c r="K29" i="5"/>
  <c r="K152" i="2" s="1"/>
  <c r="J29" i="5"/>
  <c r="J152" i="2" s="1"/>
  <c r="I29" i="5"/>
  <c r="I152" i="2" s="1"/>
  <c r="H29" i="5"/>
  <c r="H152" i="2" s="1"/>
  <c r="G29" i="5"/>
  <c r="G152" i="2" s="1"/>
  <c r="F29" i="5"/>
  <c r="F152" i="2" s="1"/>
  <c r="E29" i="5"/>
  <c r="E152" i="2" s="1"/>
  <c r="BL28" i="5"/>
  <c r="BL151" i="2" s="1"/>
  <c r="BK28" i="5"/>
  <c r="BK151" i="2" s="1"/>
  <c r="BJ28" i="5"/>
  <c r="BJ151" i="2" s="1"/>
  <c r="BI28" i="5"/>
  <c r="BI151" i="2" s="1"/>
  <c r="BH28" i="5"/>
  <c r="BH151" i="2" s="1"/>
  <c r="BG28" i="5"/>
  <c r="BG151" i="2" s="1"/>
  <c r="BF28" i="5"/>
  <c r="BF151" i="2" s="1"/>
  <c r="BE28" i="5"/>
  <c r="BE151" i="2" s="1"/>
  <c r="BD28" i="5"/>
  <c r="BD151" i="2" s="1"/>
  <c r="BC28" i="5"/>
  <c r="BC151" i="2" s="1"/>
  <c r="BB28" i="5"/>
  <c r="BB151" i="2" s="1"/>
  <c r="BA28" i="5"/>
  <c r="BA151" i="2" s="1"/>
  <c r="AZ28" i="5"/>
  <c r="AZ151" i="2" s="1"/>
  <c r="AY28" i="5"/>
  <c r="AY151" i="2" s="1"/>
  <c r="AX28" i="5"/>
  <c r="AX151" i="2" s="1"/>
  <c r="AW28" i="5"/>
  <c r="AW151" i="2" s="1"/>
  <c r="AV28" i="5"/>
  <c r="AV151" i="2" s="1"/>
  <c r="AU28" i="5"/>
  <c r="AU151" i="2" s="1"/>
  <c r="AT28" i="5"/>
  <c r="AT151" i="2" s="1"/>
  <c r="AS28" i="5"/>
  <c r="AS151" i="2" s="1"/>
  <c r="AR28" i="5"/>
  <c r="AR151" i="2" s="1"/>
  <c r="AQ28" i="5"/>
  <c r="AQ151" i="2" s="1"/>
  <c r="AP28" i="5"/>
  <c r="AP151" i="2" s="1"/>
  <c r="AO28" i="5"/>
  <c r="AO151" i="2" s="1"/>
  <c r="AN28" i="5"/>
  <c r="AN151" i="2" s="1"/>
  <c r="AM28" i="5"/>
  <c r="AM151" i="2" s="1"/>
  <c r="AL28" i="5"/>
  <c r="AL151" i="2" s="1"/>
  <c r="AK28" i="5"/>
  <c r="AK151" i="2" s="1"/>
  <c r="AJ28" i="5"/>
  <c r="AJ151" i="2" s="1"/>
  <c r="AI28" i="5"/>
  <c r="AI151" i="2" s="1"/>
  <c r="AH28" i="5"/>
  <c r="AH151" i="2" s="1"/>
  <c r="AG28" i="5"/>
  <c r="AG151" i="2" s="1"/>
  <c r="AF28" i="5"/>
  <c r="AF151" i="2" s="1"/>
  <c r="AE28" i="5"/>
  <c r="AE151" i="2" s="1"/>
  <c r="AD28" i="5"/>
  <c r="AD151" i="2" s="1"/>
  <c r="AC28" i="5"/>
  <c r="AC151" i="2" s="1"/>
  <c r="AB28" i="5"/>
  <c r="AB151" i="2" s="1"/>
  <c r="AA28" i="5"/>
  <c r="AA151" i="2" s="1"/>
  <c r="Z28" i="5"/>
  <c r="Z151" i="2" s="1"/>
  <c r="Y28" i="5"/>
  <c r="Y151" i="2" s="1"/>
  <c r="X28" i="5"/>
  <c r="X151" i="2" s="1"/>
  <c r="W28" i="5"/>
  <c r="W151" i="2" s="1"/>
  <c r="V28" i="5"/>
  <c r="V151" i="2" s="1"/>
  <c r="U28" i="5"/>
  <c r="U151" i="2" s="1"/>
  <c r="T28" i="5"/>
  <c r="T151" i="2" s="1"/>
  <c r="S28" i="5"/>
  <c r="S151" i="2" s="1"/>
  <c r="R28" i="5"/>
  <c r="R151" i="2" s="1"/>
  <c r="Q28" i="5"/>
  <c r="Q151" i="2" s="1"/>
  <c r="P28" i="5"/>
  <c r="P151" i="2" s="1"/>
  <c r="O28" i="5"/>
  <c r="O151" i="2" s="1"/>
  <c r="N28" i="5"/>
  <c r="N151" i="2" s="1"/>
  <c r="M28" i="5"/>
  <c r="M151" i="2" s="1"/>
  <c r="L28" i="5"/>
  <c r="L151" i="2" s="1"/>
  <c r="K28" i="5"/>
  <c r="K151" i="2" s="1"/>
  <c r="J28" i="5"/>
  <c r="J151" i="2" s="1"/>
  <c r="I28" i="5"/>
  <c r="I151" i="2" s="1"/>
  <c r="H28" i="5"/>
  <c r="H151" i="2" s="1"/>
  <c r="G28" i="5"/>
  <c r="G151" i="2" s="1"/>
  <c r="F28" i="5"/>
  <c r="F151" i="2" s="1"/>
  <c r="E28" i="5"/>
  <c r="E151" i="2" s="1"/>
  <c r="BL27" i="5"/>
  <c r="BL150" i="2" s="1"/>
  <c r="BK27" i="5"/>
  <c r="BK150" i="2" s="1"/>
  <c r="BJ27" i="5"/>
  <c r="BJ150" i="2" s="1"/>
  <c r="BI27" i="5"/>
  <c r="BI150" i="2" s="1"/>
  <c r="BH27" i="5"/>
  <c r="BH150" i="2" s="1"/>
  <c r="BG27" i="5"/>
  <c r="BG150" i="2" s="1"/>
  <c r="BF27" i="5"/>
  <c r="BF150" i="2" s="1"/>
  <c r="BE27" i="5"/>
  <c r="BE150" i="2" s="1"/>
  <c r="BD27" i="5"/>
  <c r="BD150" i="2" s="1"/>
  <c r="BC27" i="5"/>
  <c r="BC150" i="2" s="1"/>
  <c r="BB27" i="5"/>
  <c r="BB150" i="2" s="1"/>
  <c r="BA27" i="5"/>
  <c r="BA150" i="2" s="1"/>
  <c r="AZ27" i="5"/>
  <c r="AZ150" i="2" s="1"/>
  <c r="AY27" i="5"/>
  <c r="AY150" i="2" s="1"/>
  <c r="AX27" i="5"/>
  <c r="AX150" i="2" s="1"/>
  <c r="AW27" i="5"/>
  <c r="AW150" i="2" s="1"/>
  <c r="AV27" i="5"/>
  <c r="AV150" i="2" s="1"/>
  <c r="AU27" i="5"/>
  <c r="AU150" i="2" s="1"/>
  <c r="AT27" i="5"/>
  <c r="AT150" i="2" s="1"/>
  <c r="AS27" i="5"/>
  <c r="AS150" i="2" s="1"/>
  <c r="AR27" i="5"/>
  <c r="AR150" i="2" s="1"/>
  <c r="AQ27" i="5"/>
  <c r="AQ150" i="2" s="1"/>
  <c r="AP27" i="5"/>
  <c r="AP150" i="2" s="1"/>
  <c r="AO27" i="5"/>
  <c r="AO150" i="2" s="1"/>
  <c r="AN27" i="5"/>
  <c r="AN150" i="2" s="1"/>
  <c r="AM27" i="5"/>
  <c r="AM150" i="2" s="1"/>
  <c r="AL27" i="5"/>
  <c r="AL150" i="2" s="1"/>
  <c r="AK27" i="5"/>
  <c r="AK150" i="2" s="1"/>
  <c r="AJ27" i="5"/>
  <c r="AJ150" i="2" s="1"/>
  <c r="AI27" i="5"/>
  <c r="AI150" i="2" s="1"/>
  <c r="AH27" i="5"/>
  <c r="AH150" i="2" s="1"/>
  <c r="AG27" i="5"/>
  <c r="AG150" i="2" s="1"/>
  <c r="AF27" i="5"/>
  <c r="AF150" i="2" s="1"/>
  <c r="AE27" i="5"/>
  <c r="AE150" i="2" s="1"/>
  <c r="AD27" i="5"/>
  <c r="AD150" i="2" s="1"/>
  <c r="AC27" i="5"/>
  <c r="AC150" i="2" s="1"/>
  <c r="AB27" i="5"/>
  <c r="AB150" i="2" s="1"/>
  <c r="AA27" i="5"/>
  <c r="AA150" i="2" s="1"/>
  <c r="Z27" i="5"/>
  <c r="Z150" i="2" s="1"/>
  <c r="Y27" i="5"/>
  <c r="Y150" i="2" s="1"/>
  <c r="X27" i="5"/>
  <c r="X150" i="2" s="1"/>
  <c r="W27" i="5"/>
  <c r="W150" i="2" s="1"/>
  <c r="V27" i="5"/>
  <c r="V150" i="2" s="1"/>
  <c r="U27" i="5"/>
  <c r="U150" i="2" s="1"/>
  <c r="T27" i="5"/>
  <c r="T150" i="2" s="1"/>
  <c r="S27" i="5"/>
  <c r="S150" i="2" s="1"/>
  <c r="R27" i="5"/>
  <c r="R150" i="2" s="1"/>
  <c r="Q27" i="5"/>
  <c r="Q150" i="2" s="1"/>
  <c r="P27" i="5"/>
  <c r="P150" i="2" s="1"/>
  <c r="O27" i="5"/>
  <c r="O150" i="2" s="1"/>
  <c r="N27" i="5"/>
  <c r="N150" i="2" s="1"/>
  <c r="M27" i="5"/>
  <c r="M150" i="2" s="1"/>
  <c r="L27" i="5"/>
  <c r="L150" i="2" s="1"/>
  <c r="K27" i="5"/>
  <c r="K150" i="2" s="1"/>
  <c r="J27" i="5"/>
  <c r="J150" i="2" s="1"/>
  <c r="I27" i="5"/>
  <c r="I150" i="2" s="1"/>
  <c r="H27" i="5"/>
  <c r="H150" i="2" s="1"/>
  <c r="G27" i="5"/>
  <c r="G150" i="2" s="1"/>
  <c r="F27" i="5"/>
  <c r="F150" i="2" s="1"/>
  <c r="E27" i="5"/>
  <c r="E150" i="2" s="1"/>
  <c r="BL26" i="5"/>
  <c r="BL149" i="2" s="1"/>
  <c r="BK26" i="5"/>
  <c r="BK149" i="2" s="1"/>
  <c r="BJ26" i="5"/>
  <c r="BJ149" i="2" s="1"/>
  <c r="BI26" i="5"/>
  <c r="BI149" i="2" s="1"/>
  <c r="BH26" i="5"/>
  <c r="BH149" i="2" s="1"/>
  <c r="BG26" i="5"/>
  <c r="BG149" i="2" s="1"/>
  <c r="BF26" i="5"/>
  <c r="BF149" i="2" s="1"/>
  <c r="BE26" i="5"/>
  <c r="BE149" i="2" s="1"/>
  <c r="BD26" i="5"/>
  <c r="BD149" i="2" s="1"/>
  <c r="BC26" i="5"/>
  <c r="BC149" i="2" s="1"/>
  <c r="BB26" i="5"/>
  <c r="BB149" i="2" s="1"/>
  <c r="BA26" i="5"/>
  <c r="BA149" i="2" s="1"/>
  <c r="AZ26" i="5"/>
  <c r="AZ149" i="2" s="1"/>
  <c r="AY26" i="5"/>
  <c r="AY149" i="2" s="1"/>
  <c r="AX26" i="5"/>
  <c r="AX149" i="2" s="1"/>
  <c r="AW26" i="5"/>
  <c r="AW149" i="2" s="1"/>
  <c r="AV26" i="5"/>
  <c r="AV149" i="2" s="1"/>
  <c r="AU26" i="5"/>
  <c r="AU149" i="2" s="1"/>
  <c r="AT26" i="5"/>
  <c r="AT149" i="2" s="1"/>
  <c r="AS26" i="5"/>
  <c r="AS149" i="2" s="1"/>
  <c r="AR26" i="5"/>
  <c r="AR149" i="2" s="1"/>
  <c r="AQ26" i="5"/>
  <c r="AQ149" i="2" s="1"/>
  <c r="AP26" i="5"/>
  <c r="AP149" i="2" s="1"/>
  <c r="AO26" i="5"/>
  <c r="AO149" i="2" s="1"/>
  <c r="AN26" i="5"/>
  <c r="AN149" i="2" s="1"/>
  <c r="AM26" i="5"/>
  <c r="AM149" i="2" s="1"/>
  <c r="AL26" i="5"/>
  <c r="AL149" i="2" s="1"/>
  <c r="AK26" i="5"/>
  <c r="AK149" i="2" s="1"/>
  <c r="AJ26" i="5"/>
  <c r="AJ149" i="2" s="1"/>
  <c r="AI26" i="5"/>
  <c r="AI149" i="2" s="1"/>
  <c r="AH26" i="5"/>
  <c r="AH149" i="2" s="1"/>
  <c r="AG26" i="5"/>
  <c r="AG149" i="2" s="1"/>
  <c r="AF26" i="5"/>
  <c r="AF149" i="2" s="1"/>
  <c r="AE26" i="5"/>
  <c r="AE149" i="2" s="1"/>
  <c r="AD26" i="5"/>
  <c r="AD149" i="2" s="1"/>
  <c r="AC26" i="5"/>
  <c r="AC149" i="2" s="1"/>
  <c r="AB26" i="5"/>
  <c r="AB149" i="2" s="1"/>
  <c r="AA26" i="5"/>
  <c r="AA149" i="2" s="1"/>
  <c r="Z26" i="5"/>
  <c r="Z149" i="2" s="1"/>
  <c r="Y26" i="5"/>
  <c r="Y149" i="2" s="1"/>
  <c r="X26" i="5"/>
  <c r="X149" i="2" s="1"/>
  <c r="W26" i="5"/>
  <c r="W149" i="2" s="1"/>
  <c r="V26" i="5"/>
  <c r="V149" i="2" s="1"/>
  <c r="U26" i="5"/>
  <c r="U149" i="2" s="1"/>
  <c r="T26" i="5"/>
  <c r="T149" i="2" s="1"/>
  <c r="S26" i="5"/>
  <c r="S149" i="2" s="1"/>
  <c r="R26" i="5"/>
  <c r="R149" i="2" s="1"/>
  <c r="Q26" i="5"/>
  <c r="Q149" i="2" s="1"/>
  <c r="P26" i="5"/>
  <c r="P149" i="2" s="1"/>
  <c r="O26" i="5"/>
  <c r="O149" i="2" s="1"/>
  <c r="N26" i="5"/>
  <c r="N149" i="2" s="1"/>
  <c r="M26" i="5"/>
  <c r="M149" i="2" s="1"/>
  <c r="L26" i="5"/>
  <c r="L149" i="2" s="1"/>
  <c r="K26" i="5"/>
  <c r="K149" i="2" s="1"/>
  <c r="J26" i="5"/>
  <c r="J149" i="2" s="1"/>
  <c r="I26" i="5"/>
  <c r="I149" i="2" s="1"/>
  <c r="H26" i="5"/>
  <c r="H149" i="2" s="1"/>
  <c r="G26" i="5"/>
  <c r="G149" i="2" s="1"/>
  <c r="F26" i="5"/>
  <c r="F149" i="2" s="1"/>
  <c r="E26" i="5"/>
  <c r="E149" i="2" s="1"/>
  <c r="BL25" i="5"/>
  <c r="BL148" i="2" s="1"/>
  <c r="BK25" i="5"/>
  <c r="BK148" i="2" s="1"/>
  <c r="BJ25" i="5"/>
  <c r="BJ148" i="2" s="1"/>
  <c r="BI25" i="5"/>
  <c r="BI148" i="2" s="1"/>
  <c r="BH25" i="5"/>
  <c r="BH148" i="2" s="1"/>
  <c r="BG25" i="5"/>
  <c r="BG148" i="2" s="1"/>
  <c r="BF25" i="5"/>
  <c r="BF148" i="2" s="1"/>
  <c r="BE25" i="5"/>
  <c r="BE148" i="2" s="1"/>
  <c r="BD25" i="5"/>
  <c r="BD148" i="2" s="1"/>
  <c r="BC25" i="5"/>
  <c r="BC148" i="2" s="1"/>
  <c r="BB25" i="5"/>
  <c r="BB148" i="2" s="1"/>
  <c r="BA25" i="5"/>
  <c r="BA148" i="2" s="1"/>
  <c r="AZ25" i="5"/>
  <c r="AZ148" i="2" s="1"/>
  <c r="AY25" i="5"/>
  <c r="AY148" i="2" s="1"/>
  <c r="AX25" i="5"/>
  <c r="AX148" i="2" s="1"/>
  <c r="AW25" i="5"/>
  <c r="AW148" i="2" s="1"/>
  <c r="AV25" i="5"/>
  <c r="AV148" i="2" s="1"/>
  <c r="AU25" i="5"/>
  <c r="AU148" i="2" s="1"/>
  <c r="AT25" i="5"/>
  <c r="AT148" i="2" s="1"/>
  <c r="AS25" i="5"/>
  <c r="AS148" i="2" s="1"/>
  <c r="AR25" i="5"/>
  <c r="AR148" i="2" s="1"/>
  <c r="AQ25" i="5"/>
  <c r="AQ148" i="2" s="1"/>
  <c r="AP25" i="5"/>
  <c r="AP148" i="2" s="1"/>
  <c r="AO25" i="5"/>
  <c r="AO148" i="2" s="1"/>
  <c r="AN25" i="5"/>
  <c r="AN148" i="2" s="1"/>
  <c r="AM25" i="5"/>
  <c r="AM148" i="2" s="1"/>
  <c r="AL25" i="5"/>
  <c r="AL148" i="2" s="1"/>
  <c r="AK25" i="5"/>
  <c r="AK148" i="2" s="1"/>
  <c r="AJ25" i="5"/>
  <c r="AJ148" i="2" s="1"/>
  <c r="AI25" i="5"/>
  <c r="AI148" i="2" s="1"/>
  <c r="AH25" i="5"/>
  <c r="AH148" i="2" s="1"/>
  <c r="AG25" i="5"/>
  <c r="AG148" i="2" s="1"/>
  <c r="AF25" i="5"/>
  <c r="AF148" i="2" s="1"/>
  <c r="AE25" i="5"/>
  <c r="AE148" i="2" s="1"/>
  <c r="AD25" i="5"/>
  <c r="AD148" i="2" s="1"/>
  <c r="AC25" i="5"/>
  <c r="AC148" i="2" s="1"/>
  <c r="AB25" i="5"/>
  <c r="AB148" i="2" s="1"/>
  <c r="AA25" i="5"/>
  <c r="AA148" i="2" s="1"/>
  <c r="Z25" i="5"/>
  <c r="Z148" i="2" s="1"/>
  <c r="Y25" i="5"/>
  <c r="Y148" i="2" s="1"/>
  <c r="X25" i="5"/>
  <c r="X148" i="2" s="1"/>
  <c r="W25" i="5"/>
  <c r="W148" i="2" s="1"/>
  <c r="V25" i="5"/>
  <c r="V148" i="2" s="1"/>
  <c r="U25" i="5"/>
  <c r="U148" i="2" s="1"/>
  <c r="T25" i="5"/>
  <c r="T148" i="2" s="1"/>
  <c r="S25" i="5"/>
  <c r="S148" i="2" s="1"/>
  <c r="R25" i="5"/>
  <c r="R148" i="2" s="1"/>
  <c r="Q25" i="5"/>
  <c r="Q148" i="2" s="1"/>
  <c r="P25" i="5"/>
  <c r="P148" i="2" s="1"/>
  <c r="O25" i="5"/>
  <c r="O148" i="2" s="1"/>
  <c r="N25" i="5"/>
  <c r="N148" i="2" s="1"/>
  <c r="M25" i="5"/>
  <c r="M148" i="2" s="1"/>
  <c r="L25" i="5"/>
  <c r="L148" i="2" s="1"/>
  <c r="K25" i="5"/>
  <c r="K148" i="2" s="1"/>
  <c r="J25" i="5"/>
  <c r="J148" i="2" s="1"/>
  <c r="I25" i="5"/>
  <c r="I148" i="2" s="1"/>
  <c r="H25" i="5"/>
  <c r="H148" i="2" s="1"/>
  <c r="G25" i="5"/>
  <c r="G148" i="2" s="1"/>
  <c r="F25" i="5"/>
  <c r="F148" i="2" s="1"/>
  <c r="E25" i="5"/>
  <c r="E148" i="2" s="1"/>
  <c r="BL24" i="5"/>
  <c r="BL147" i="2" s="1"/>
  <c r="BK24" i="5"/>
  <c r="BK147" i="2" s="1"/>
  <c r="BJ24" i="5"/>
  <c r="BJ147" i="2" s="1"/>
  <c r="BI24" i="5"/>
  <c r="BI147" i="2" s="1"/>
  <c r="BH24" i="5"/>
  <c r="BH147" i="2" s="1"/>
  <c r="BG24" i="5"/>
  <c r="BG147" i="2" s="1"/>
  <c r="BF24" i="5"/>
  <c r="BF147" i="2" s="1"/>
  <c r="BE24" i="5"/>
  <c r="BE147" i="2" s="1"/>
  <c r="BD24" i="5"/>
  <c r="BD147" i="2" s="1"/>
  <c r="BC24" i="5"/>
  <c r="BC147" i="2" s="1"/>
  <c r="BB24" i="5"/>
  <c r="BB147" i="2" s="1"/>
  <c r="BA24" i="5"/>
  <c r="BA147" i="2" s="1"/>
  <c r="AZ24" i="5"/>
  <c r="AZ147" i="2" s="1"/>
  <c r="AY24" i="5"/>
  <c r="AY147" i="2" s="1"/>
  <c r="AX24" i="5"/>
  <c r="AX147" i="2" s="1"/>
  <c r="AW24" i="5"/>
  <c r="AW147" i="2" s="1"/>
  <c r="AV24" i="5"/>
  <c r="AV147" i="2" s="1"/>
  <c r="AU24" i="5"/>
  <c r="AU147" i="2" s="1"/>
  <c r="AT24" i="5"/>
  <c r="AT147" i="2" s="1"/>
  <c r="AS24" i="5"/>
  <c r="AS147" i="2" s="1"/>
  <c r="AR24" i="5"/>
  <c r="AR147" i="2" s="1"/>
  <c r="AQ24" i="5"/>
  <c r="AQ147" i="2" s="1"/>
  <c r="AP24" i="5"/>
  <c r="AP147" i="2" s="1"/>
  <c r="AO24" i="5"/>
  <c r="AO147" i="2" s="1"/>
  <c r="AN24" i="5"/>
  <c r="AN147" i="2" s="1"/>
  <c r="AM24" i="5"/>
  <c r="AM147" i="2" s="1"/>
  <c r="AL24" i="5"/>
  <c r="AL147" i="2" s="1"/>
  <c r="AK24" i="5"/>
  <c r="AK147" i="2" s="1"/>
  <c r="AJ24" i="5"/>
  <c r="AJ147" i="2" s="1"/>
  <c r="AI24" i="5"/>
  <c r="AI147" i="2" s="1"/>
  <c r="AH24" i="5"/>
  <c r="AH147" i="2" s="1"/>
  <c r="AG24" i="5"/>
  <c r="AG147" i="2" s="1"/>
  <c r="AF24" i="5"/>
  <c r="AF147" i="2" s="1"/>
  <c r="AE24" i="5"/>
  <c r="AE147" i="2" s="1"/>
  <c r="AD24" i="5"/>
  <c r="AD147" i="2" s="1"/>
  <c r="AC24" i="5"/>
  <c r="AC147" i="2" s="1"/>
  <c r="AB24" i="5"/>
  <c r="AB147" i="2" s="1"/>
  <c r="AA24" i="5"/>
  <c r="AA147" i="2" s="1"/>
  <c r="Z24" i="5"/>
  <c r="Z147" i="2" s="1"/>
  <c r="Y24" i="5"/>
  <c r="Y147" i="2" s="1"/>
  <c r="X24" i="5"/>
  <c r="X147" i="2" s="1"/>
  <c r="W24" i="5"/>
  <c r="W147" i="2" s="1"/>
  <c r="V24" i="5"/>
  <c r="V147" i="2" s="1"/>
  <c r="U24" i="5"/>
  <c r="U147" i="2" s="1"/>
  <c r="T24" i="5"/>
  <c r="T147" i="2" s="1"/>
  <c r="S24" i="5"/>
  <c r="S147" i="2" s="1"/>
  <c r="R24" i="5"/>
  <c r="R147" i="2" s="1"/>
  <c r="Q24" i="5"/>
  <c r="Q147" i="2" s="1"/>
  <c r="P24" i="5"/>
  <c r="P147" i="2" s="1"/>
  <c r="O24" i="5"/>
  <c r="O147" i="2" s="1"/>
  <c r="N24" i="5"/>
  <c r="N147" i="2" s="1"/>
  <c r="M24" i="5"/>
  <c r="M147" i="2" s="1"/>
  <c r="L24" i="5"/>
  <c r="L147" i="2" s="1"/>
  <c r="K24" i="5"/>
  <c r="K147" i="2" s="1"/>
  <c r="J24" i="5"/>
  <c r="J147" i="2" s="1"/>
  <c r="I24" i="5"/>
  <c r="I147" i="2" s="1"/>
  <c r="H24" i="5"/>
  <c r="H147" i="2" s="1"/>
  <c r="G24" i="5"/>
  <c r="G147" i="2" s="1"/>
  <c r="F24" i="5"/>
  <c r="F147" i="2" s="1"/>
  <c r="E24" i="5"/>
  <c r="E147" i="2" s="1"/>
  <c r="BL23" i="5"/>
  <c r="BL146" i="2" s="1"/>
  <c r="BK23" i="5"/>
  <c r="BK146" i="2" s="1"/>
  <c r="BJ23" i="5"/>
  <c r="BJ146" i="2" s="1"/>
  <c r="BI23" i="5"/>
  <c r="BI146" i="2" s="1"/>
  <c r="BH23" i="5"/>
  <c r="BH146" i="2" s="1"/>
  <c r="BG23" i="5"/>
  <c r="BG146" i="2" s="1"/>
  <c r="BF23" i="5"/>
  <c r="BF146" i="2" s="1"/>
  <c r="BE23" i="5"/>
  <c r="BE146" i="2" s="1"/>
  <c r="BD23" i="5"/>
  <c r="BD146" i="2" s="1"/>
  <c r="BC23" i="5"/>
  <c r="BC146" i="2" s="1"/>
  <c r="BB23" i="5"/>
  <c r="BB146" i="2" s="1"/>
  <c r="BA23" i="5"/>
  <c r="BA146" i="2" s="1"/>
  <c r="AZ23" i="5"/>
  <c r="AZ146" i="2" s="1"/>
  <c r="AY23" i="5"/>
  <c r="AY146" i="2" s="1"/>
  <c r="AX23" i="5"/>
  <c r="AX146" i="2" s="1"/>
  <c r="AW23" i="5"/>
  <c r="AW146" i="2" s="1"/>
  <c r="AV23" i="5"/>
  <c r="AV146" i="2" s="1"/>
  <c r="AU23" i="5"/>
  <c r="AU146" i="2" s="1"/>
  <c r="AT23" i="5"/>
  <c r="AT146" i="2" s="1"/>
  <c r="AS23" i="5"/>
  <c r="AS146" i="2" s="1"/>
  <c r="AR23" i="5"/>
  <c r="AR146" i="2" s="1"/>
  <c r="AQ23" i="5"/>
  <c r="AQ146" i="2" s="1"/>
  <c r="AP23" i="5"/>
  <c r="AP146" i="2" s="1"/>
  <c r="AO23" i="5"/>
  <c r="AO146" i="2" s="1"/>
  <c r="AN23" i="5"/>
  <c r="AN146" i="2" s="1"/>
  <c r="AM23" i="5"/>
  <c r="AM146" i="2" s="1"/>
  <c r="AL23" i="5"/>
  <c r="AL146" i="2" s="1"/>
  <c r="AK23" i="5"/>
  <c r="AK146" i="2" s="1"/>
  <c r="AJ23" i="5"/>
  <c r="AJ146" i="2" s="1"/>
  <c r="AI23" i="5"/>
  <c r="AI146" i="2" s="1"/>
  <c r="AH23" i="5"/>
  <c r="AH146" i="2" s="1"/>
  <c r="AG23" i="5"/>
  <c r="AG146" i="2" s="1"/>
  <c r="AF23" i="5"/>
  <c r="AF146" i="2" s="1"/>
  <c r="AE23" i="5"/>
  <c r="AE146" i="2" s="1"/>
  <c r="AD23" i="5"/>
  <c r="AD146" i="2" s="1"/>
  <c r="AC23" i="5"/>
  <c r="AC146" i="2" s="1"/>
  <c r="AB23" i="5"/>
  <c r="AB146" i="2" s="1"/>
  <c r="AA23" i="5"/>
  <c r="AA146" i="2" s="1"/>
  <c r="Z23" i="5"/>
  <c r="Z146" i="2" s="1"/>
  <c r="Y23" i="5"/>
  <c r="Y146" i="2" s="1"/>
  <c r="X23" i="5"/>
  <c r="X146" i="2" s="1"/>
  <c r="W23" i="5"/>
  <c r="W146" i="2" s="1"/>
  <c r="V23" i="5"/>
  <c r="V146" i="2" s="1"/>
  <c r="U23" i="5"/>
  <c r="U146" i="2" s="1"/>
  <c r="T23" i="5"/>
  <c r="T146" i="2" s="1"/>
  <c r="S23" i="5"/>
  <c r="S146" i="2" s="1"/>
  <c r="R23" i="5"/>
  <c r="R146" i="2" s="1"/>
  <c r="Q23" i="5"/>
  <c r="Q146" i="2" s="1"/>
  <c r="P23" i="5"/>
  <c r="P146" i="2" s="1"/>
  <c r="O23" i="5"/>
  <c r="O146" i="2" s="1"/>
  <c r="N23" i="5"/>
  <c r="N146" i="2" s="1"/>
  <c r="M23" i="5"/>
  <c r="M146" i="2" s="1"/>
  <c r="L23" i="5"/>
  <c r="L146" i="2" s="1"/>
  <c r="K23" i="5"/>
  <c r="K146" i="2" s="1"/>
  <c r="J23" i="5"/>
  <c r="J146" i="2" s="1"/>
  <c r="I23" i="5"/>
  <c r="I146" i="2" s="1"/>
  <c r="H23" i="5"/>
  <c r="H146" i="2" s="1"/>
  <c r="G23" i="5"/>
  <c r="G146" i="2" s="1"/>
  <c r="F23" i="5"/>
  <c r="F146" i="2" s="1"/>
  <c r="E23" i="5"/>
  <c r="E146" i="2" s="1"/>
  <c r="BL22" i="5"/>
  <c r="BL145" i="2" s="1"/>
  <c r="BK22" i="5"/>
  <c r="BK145" i="2" s="1"/>
  <c r="BJ22" i="5"/>
  <c r="BJ145" i="2" s="1"/>
  <c r="BI22" i="5"/>
  <c r="BI145" i="2" s="1"/>
  <c r="BH22" i="5"/>
  <c r="BH145" i="2" s="1"/>
  <c r="BG22" i="5"/>
  <c r="BG145" i="2" s="1"/>
  <c r="BF22" i="5"/>
  <c r="BF145" i="2" s="1"/>
  <c r="BE22" i="5"/>
  <c r="BE145" i="2" s="1"/>
  <c r="BD22" i="5"/>
  <c r="BD145" i="2" s="1"/>
  <c r="BC22" i="5"/>
  <c r="BC145" i="2" s="1"/>
  <c r="BB22" i="5"/>
  <c r="BB145" i="2" s="1"/>
  <c r="BA22" i="5"/>
  <c r="BA145" i="2" s="1"/>
  <c r="AZ22" i="5"/>
  <c r="AZ145" i="2" s="1"/>
  <c r="AY22" i="5"/>
  <c r="AY145" i="2" s="1"/>
  <c r="AX22" i="5"/>
  <c r="AX145" i="2" s="1"/>
  <c r="AW22" i="5"/>
  <c r="AW145" i="2" s="1"/>
  <c r="AV22" i="5"/>
  <c r="AV145" i="2" s="1"/>
  <c r="AU22" i="5"/>
  <c r="AU145" i="2" s="1"/>
  <c r="AT22" i="5"/>
  <c r="AT145" i="2" s="1"/>
  <c r="AS22" i="5"/>
  <c r="AS145" i="2" s="1"/>
  <c r="AR22" i="5"/>
  <c r="AR145" i="2" s="1"/>
  <c r="AQ22" i="5"/>
  <c r="AQ145" i="2" s="1"/>
  <c r="AP22" i="5"/>
  <c r="AP145" i="2" s="1"/>
  <c r="AO22" i="5"/>
  <c r="AO145" i="2" s="1"/>
  <c r="AN22" i="5"/>
  <c r="AN145" i="2" s="1"/>
  <c r="AM22" i="5"/>
  <c r="AM145" i="2" s="1"/>
  <c r="AL22" i="5"/>
  <c r="AL145" i="2" s="1"/>
  <c r="AK22" i="5"/>
  <c r="AK145" i="2" s="1"/>
  <c r="AJ22" i="5"/>
  <c r="AJ145" i="2" s="1"/>
  <c r="AI22" i="5"/>
  <c r="AI145" i="2" s="1"/>
  <c r="AH22" i="5"/>
  <c r="AH145" i="2" s="1"/>
  <c r="AG22" i="5"/>
  <c r="AG145" i="2" s="1"/>
  <c r="AF22" i="5"/>
  <c r="AF145" i="2" s="1"/>
  <c r="AE22" i="5"/>
  <c r="AE145" i="2" s="1"/>
  <c r="AD22" i="5"/>
  <c r="AD145" i="2" s="1"/>
  <c r="AC22" i="5"/>
  <c r="AC145" i="2" s="1"/>
  <c r="AB22" i="5"/>
  <c r="AB145" i="2" s="1"/>
  <c r="AA22" i="5"/>
  <c r="AA145" i="2" s="1"/>
  <c r="Z22" i="5"/>
  <c r="Z145" i="2" s="1"/>
  <c r="Y22" i="5"/>
  <c r="Y145" i="2" s="1"/>
  <c r="X22" i="5"/>
  <c r="X145" i="2" s="1"/>
  <c r="W22" i="5"/>
  <c r="W145" i="2" s="1"/>
  <c r="V22" i="5"/>
  <c r="V145" i="2" s="1"/>
  <c r="U22" i="5"/>
  <c r="U145" i="2" s="1"/>
  <c r="T22" i="5"/>
  <c r="T145" i="2" s="1"/>
  <c r="S22" i="5"/>
  <c r="S145" i="2" s="1"/>
  <c r="R22" i="5"/>
  <c r="R145" i="2" s="1"/>
  <c r="Q22" i="5"/>
  <c r="Q145" i="2" s="1"/>
  <c r="P22" i="5"/>
  <c r="P145" i="2" s="1"/>
  <c r="O22" i="5"/>
  <c r="O145" i="2" s="1"/>
  <c r="N22" i="5"/>
  <c r="N145" i="2" s="1"/>
  <c r="M22" i="5"/>
  <c r="M145" i="2" s="1"/>
  <c r="L22" i="5"/>
  <c r="L145" i="2" s="1"/>
  <c r="K22" i="5"/>
  <c r="K145" i="2" s="1"/>
  <c r="J22" i="5"/>
  <c r="J145" i="2" s="1"/>
  <c r="I22" i="5"/>
  <c r="I145" i="2" s="1"/>
  <c r="H22" i="5"/>
  <c r="H145" i="2" s="1"/>
  <c r="G22" i="5"/>
  <c r="G145" i="2" s="1"/>
  <c r="F22" i="5"/>
  <c r="F145" i="2" s="1"/>
  <c r="E22" i="5"/>
  <c r="E145" i="2" s="1"/>
  <c r="BL21" i="5"/>
  <c r="BL144" i="2" s="1"/>
  <c r="BK21" i="5"/>
  <c r="BK144" i="2" s="1"/>
  <c r="BJ21" i="5"/>
  <c r="BJ144" i="2" s="1"/>
  <c r="BI21" i="5"/>
  <c r="BI144" i="2" s="1"/>
  <c r="BH21" i="5"/>
  <c r="BH144" i="2" s="1"/>
  <c r="BG21" i="5"/>
  <c r="BG144" i="2" s="1"/>
  <c r="BF21" i="5"/>
  <c r="BF144" i="2" s="1"/>
  <c r="BE21" i="5"/>
  <c r="BE144" i="2" s="1"/>
  <c r="BD21" i="5"/>
  <c r="BD144" i="2" s="1"/>
  <c r="BC21" i="5"/>
  <c r="BC144" i="2" s="1"/>
  <c r="BB21" i="5"/>
  <c r="BB144" i="2" s="1"/>
  <c r="BA21" i="5"/>
  <c r="BA144" i="2" s="1"/>
  <c r="AZ21" i="5"/>
  <c r="AZ144" i="2" s="1"/>
  <c r="AY21" i="5"/>
  <c r="AY144" i="2" s="1"/>
  <c r="AX21" i="5"/>
  <c r="AX144" i="2" s="1"/>
  <c r="AW21" i="5"/>
  <c r="AW144" i="2" s="1"/>
  <c r="AV21" i="5"/>
  <c r="AV144" i="2" s="1"/>
  <c r="AU21" i="5"/>
  <c r="AU144" i="2" s="1"/>
  <c r="AT21" i="5"/>
  <c r="AT144" i="2" s="1"/>
  <c r="AS21" i="5"/>
  <c r="AS144" i="2" s="1"/>
  <c r="AR21" i="5"/>
  <c r="AR144" i="2" s="1"/>
  <c r="AQ21" i="5"/>
  <c r="AQ144" i="2" s="1"/>
  <c r="AP21" i="5"/>
  <c r="AP144" i="2" s="1"/>
  <c r="AO21" i="5"/>
  <c r="AO144" i="2" s="1"/>
  <c r="AN21" i="5"/>
  <c r="AN144" i="2" s="1"/>
  <c r="AM21" i="5"/>
  <c r="AM144" i="2" s="1"/>
  <c r="AL21" i="5"/>
  <c r="AL144" i="2" s="1"/>
  <c r="AK21" i="5"/>
  <c r="AK144" i="2" s="1"/>
  <c r="AJ21" i="5"/>
  <c r="AJ144" i="2" s="1"/>
  <c r="AI21" i="5"/>
  <c r="AI144" i="2" s="1"/>
  <c r="AH21" i="5"/>
  <c r="AH144" i="2" s="1"/>
  <c r="AG21" i="5"/>
  <c r="AG144" i="2" s="1"/>
  <c r="AF21" i="5"/>
  <c r="AF144" i="2" s="1"/>
  <c r="AE21" i="5"/>
  <c r="AE144" i="2" s="1"/>
  <c r="AD21" i="5"/>
  <c r="AD144" i="2" s="1"/>
  <c r="AC21" i="5"/>
  <c r="AC144" i="2" s="1"/>
  <c r="AB21" i="5"/>
  <c r="AB144" i="2" s="1"/>
  <c r="AA21" i="5"/>
  <c r="AA144" i="2" s="1"/>
  <c r="Z21" i="5"/>
  <c r="Z144" i="2" s="1"/>
  <c r="Y21" i="5"/>
  <c r="Y144" i="2" s="1"/>
  <c r="X21" i="5"/>
  <c r="X144" i="2" s="1"/>
  <c r="W21" i="5"/>
  <c r="W144" i="2" s="1"/>
  <c r="V21" i="5"/>
  <c r="V144" i="2" s="1"/>
  <c r="U21" i="5"/>
  <c r="U144" i="2" s="1"/>
  <c r="T21" i="5"/>
  <c r="T144" i="2" s="1"/>
  <c r="S21" i="5"/>
  <c r="S144" i="2" s="1"/>
  <c r="R21" i="5"/>
  <c r="R144" i="2" s="1"/>
  <c r="Q21" i="5"/>
  <c r="Q144" i="2" s="1"/>
  <c r="P21" i="5"/>
  <c r="P144" i="2" s="1"/>
  <c r="O21" i="5"/>
  <c r="O144" i="2" s="1"/>
  <c r="N21" i="5"/>
  <c r="N144" i="2" s="1"/>
  <c r="M21" i="5"/>
  <c r="M144" i="2" s="1"/>
  <c r="L21" i="5"/>
  <c r="L144" i="2" s="1"/>
  <c r="K21" i="5"/>
  <c r="K144" i="2" s="1"/>
  <c r="J21" i="5"/>
  <c r="J144" i="2" s="1"/>
  <c r="I21" i="5"/>
  <c r="I144" i="2" s="1"/>
  <c r="H21" i="5"/>
  <c r="H144" i="2" s="1"/>
  <c r="G21" i="5"/>
  <c r="G144" i="2" s="1"/>
  <c r="F21" i="5"/>
  <c r="F144" i="2" s="1"/>
  <c r="E21" i="5"/>
  <c r="E144" i="2" s="1"/>
  <c r="BL20" i="5"/>
  <c r="BL143" i="2" s="1"/>
  <c r="BK20" i="5"/>
  <c r="BK143" i="2" s="1"/>
  <c r="BJ20" i="5"/>
  <c r="BJ143" i="2" s="1"/>
  <c r="BI20" i="5"/>
  <c r="BI143" i="2" s="1"/>
  <c r="BH20" i="5"/>
  <c r="BH143" i="2" s="1"/>
  <c r="BG20" i="5"/>
  <c r="BG143" i="2" s="1"/>
  <c r="BF20" i="5"/>
  <c r="BF143" i="2" s="1"/>
  <c r="BE20" i="5"/>
  <c r="BE143" i="2" s="1"/>
  <c r="BD20" i="5"/>
  <c r="BD143" i="2" s="1"/>
  <c r="BC20" i="5"/>
  <c r="BC143" i="2" s="1"/>
  <c r="BB20" i="5"/>
  <c r="BB143" i="2" s="1"/>
  <c r="BA20" i="5"/>
  <c r="BA143" i="2" s="1"/>
  <c r="AZ20" i="5"/>
  <c r="AZ143" i="2" s="1"/>
  <c r="AY20" i="5"/>
  <c r="AY143" i="2" s="1"/>
  <c r="AX20" i="5"/>
  <c r="AX143" i="2" s="1"/>
  <c r="AW20" i="5"/>
  <c r="AW143" i="2" s="1"/>
  <c r="AV20" i="5"/>
  <c r="AV143" i="2" s="1"/>
  <c r="AU20" i="5"/>
  <c r="AU143" i="2" s="1"/>
  <c r="AT20" i="5"/>
  <c r="AT143" i="2" s="1"/>
  <c r="AS20" i="5"/>
  <c r="AS143" i="2" s="1"/>
  <c r="AR20" i="5"/>
  <c r="AR143" i="2" s="1"/>
  <c r="AQ20" i="5"/>
  <c r="AQ143" i="2" s="1"/>
  <c r="AP20" i="5"/>
  <c r="AP143" i="2" s="1"/>
  <c r="AO20" i="5"/>
  <c r="AO143" i="2" s="1"/>
  <c r="AN20" i="5"/>
  <c r="AN143" i="2" s="1"/>
  <c r="AM20" i="5"/>
  <c r="AM143" i="2" s="1"/>
  <c r="AL20" i="5"/>
  <c r="AL143" i="2" s="1"/>
  <c r="AK20" i="5"/>
  <c r="AK143" i="2" s="1"/>
  <c r="AJ20" i="5"/>
  <c r="AJ143" i="2" s="1"/>
  <c r="AI20" i="5"/>
  <c r="AI143" i="2" s="1"/>
  <c r="AH20" i="5"/>
  <c r="AH143" i="2" s="1"/>
  <c r="AG20" i="5"/>
  <c r="AG143" i="2" s="1"/>
  <c r="AF20" i="5"/>
  <c r="AF143" i="2" s="1"/>
  <c r="AE20" i="5"/>
  <c r="AE143" i="2" s="1"/>
  <c r="AD20" i="5"/>
  <c r="AD143" i="2" s="1"/>
  <c r="AC20" i="5"/>
  <c r="AC143" i="2" s="1"/>
  <c r="AB20" i="5"/>
  <c r="AB143" i="2" s="1"/>
  <c r="AA20" i="5"/>
  <c r="AA143" i="2" s="1"/>
  <c r="Z20" i="5"/>
  <c r="Z143" i="2" s="1"/>
  <c r="Y20" i="5"/>
  <c r="Y143" i="2" s="1"/>
  <c r="X20" i="5"/>
  <c r="X143" i="2" s="1"/>
  <c r="W20" i="5"/>
  <c r="W143" i="2" s="1"/>
  <c r="V20" i="5"/>
  <c r="V143" i="2" s="1"/>
  <c r="U20" i="5"/>
  <c r="U143" i="2" s="1"/>
  <c r="T20" i="5"/>
  <c r="T143" i="2" s="1"/>
  <c r="S20" i="5"/>
  <c r="S143" i="2" s="1"/>
  <c r="R20" i="5"/>
  <c r="R143" i="2" s="1"/>
  <c r="Q20" i="5"/>
  <c r="Q143" i="2" s="1"/>
  <c r="P20" i="5"/>
  <c r="P143" i="2" s="1"/>
  <c r="O20" i="5"/>
  <c r="O143" i="2" s="1"/>
  <c r="N20" i="5"/>
  <c r="N143" i="2" s="1"/>
  <c r="M20" i="5"/>
  <c r="M143" i="2" s="1"/>
  <c r="L20" i="5"/>
  <c r="L143" i="2" s="1"/>
  <c r="K20" i="5"/>
  <c r="K143" i="2" s="1"/>
  <c r="J20" i="5"/>
  <c r="J143" i="2" s="1"/>
  <c r="I20" i="5"/>
  <c r="I143" i="2" s="1"/>
  <c r="H20" i="5"/>
  <c r="H143" i="2" s="1"/>
  <c r="G20" i="5"/>
  <c r="G143" i="2" s="1"/>
  <c r="F20" i="5"/>
  <c r="F143" i="2" s="1"/>
  <c r="E20" i="5"/>
  <c r="E143" i="2" s="1"/>
  <c r="BL19" i="5"/>
  <c r="BL142" i="2" s="1"/>
  <c r="BK19" i="5"/>
  <c r="BK142" i="2" s="1"/>
  <c r="BJ19" i="5"/>
  <c r="BJ142" i="2" s="1"/>
  <c r="BI19" i="5"/>
  <c r="BI142" i="2" s="1"/>
  <c r="BH19" i="5"/>
  <c r="BH142" i="2" s="1"/>
  <c r="BG19" i="5"/>
  <c r="BG142" i="2" s="1"/>
  <c r="BF19" i="5"/>
  <c r="BF142" i="2" s="1"/>
  <c r="BE19" i="5"/>
  <c r="BE142" i="2" s="1"/>
  <c r="BD19" i="5"/>
  <c r="BD142" i="2" s="1"/>
  <c r="BC19" i="5"/>
  <c r="BC142" i="2" s="1"/>
  <c r="BB19" i="5"/>
  <c r="BB142" i="2" s="1"/>
  <c r="BA19" i="5"/>
  <c r="BA142" i="2" s="1"/>
  <c r="AZ19" i="5"/>
  <c r="AZ142" i="2" s="1"/>
  <c r="AY19" i="5"/>
  <c r="AY142" i="2" s="1"/>
  <c r="AX19" i="5"/>
  <c r="AX142" i="2" s="1"/>
  <c r="AW19" i="5"/>
  <c r="AW142" i="2" s="1"/>
  <c r="AV19" i="5"/>
  <c r="AV142" i="2" s="1"/>
  <c r="AU19" i="5"/>
  <c r="AU142" i="2" s="1"/>
  <c r="AT19" i="5"/>
  <c r="AT142" i="2" s="1"/>
  <c r="AS19" i="5"/>
  <c r="AS142" i="2" s="1"/>
  <c r="AR19" i="5"/>
  <c r="AR142" i="2" s="1"/>
  <c r="AQ19" i="5"/>
  <c r="AQ142" i="2" s="1"/>
  <c r="AP19" i="5"/>
  <c r="AP142" i="2" s="1"/>
  <c r="AO19" i="5"/>
  <c r="AO142" i="2" s="1"/>
  <c r="AN19" i="5"/>
  <c r="AN142" i="2" s="1"/>
  <c r="AM19" i="5"/>
  <c r="AM142" i="2" s="1"/>
  <c r="AL19" i="5"/>
  <c r="AL142" i="2" s="1"/>
  <c r="AK19" i="5"/>
  <c r="AK142" i="2" s="1"/>
  <c r="AJ19" i="5"/>
  <c r="AJ142" i="2" s="1"/>
  <c r="AI19" i="5"/>
  <c r="AI142" i="2" s="1"/>
  <c r="AH19" i="5"/>
  <c r="AH142" i="2" s="1"/>
  <c r="AG19" i="5"/>
  <c r="AG142" i="2" s="1"/>
  <c r="AF19" i="5"/>
  <c r="AF142" i="2" s="1"/>
  <c r="AE19" i="5"/>
  <c r="AE142" i="2" s="1"/>
  <c r="AD19" i="5"/>
  <c r="AD142" i="2" s="1"/>
  <c r="AC19" i="5"/>
  <c r="AC142" i="2" s="1"/>
  <c r="AB19" i="5"/>
  <c r="AB142" i="2" s="1"/>
  <c r="AA19" i="5"/>
  <c r="AA142" i="2" s="1"/>
  <c r="Z19" i="5"/>
  <c r="Z142" i="2" s="1"/>
  <c r="Y19" i="5"/>
  <c r="Y142" i="2" s="1"/>
  <c r="X19" i="5"/>
  <c r="X142" i="2" s="1"/>
  <c r="W19" i="5"/>
  <c r="W142" i="2" s="1"/>
  <c r="V19" i="5"/>
  <c r="V142" i="2" s="1"/>
  <c r="U19" i="5"/>
  <c r="U142" i="2" s="1"/>
  <c r="T19" i="5"/>
  <c r="T142" i="2" s="1"/>
  <c r="S19" i="5"/>
  <c r="S142" i="2" s="1"/>
  <c r="R19" i="5"/>
  <c r="R142" i="2" s="1"/>
  <c r="Q19" i="5"/>
  <c r="Q142" i="2" s="1"/>
  <c r="P19" i="5"/>
  <c r="P142" i="2" s="1"/>
  <c r="O19" i="5"/>
  <c r="O142" i="2" s="1"/>
  <c r="N19" i="5"/>
  <c r="N142" i="2" s="1"/>
  <c r="M19" i="5"/>
  <c r="M142" i="2" s="1"/>
  <c r="L19" i="5"/>
  <c r="L142" i="2" s="1"/>
  <c r="K19" i="5"/>
  <c r="K142" i="2" s="1"/>
  <c r="J19" i="5"/>
  <c r="J142" i="2" s="1"/>
  <c r="I19" i="5"/>
  <c r="I142" i="2" s="1"/>
  <c r="H19" i="5"/>
  <c r="H142" i="2" s="1"/>
  <c r="G19" i="5"/>
  <c r="G142" i="2" s="1"/>
  <c r="F19" i="5"/>
  <c r="F142" i="2" s="1"/>
  <c r="E19" i="5"/>
  <c r="E142" i="2" s="1"/>
  <c r="BL18" i="5"/>
  <c r="BL141" i="2" s="1"/>
  <c r="BK18" i="5"/>
  <c r="BK141" i="2" s="1"/>
  <c r="BJ18" i="5"/>
  <c r="BJ141" i="2" s="1"/>
  <c r="BI18" i="5"/>
  <c r="BI141" i="2" s="1"/>
  <c r="BH18" i="5"/>
  <c r="BH141" i="2" s="1"/>
  <c r="BG18" i="5"/>
  <c r="BG141" i="2" s="1"/>
  <c r="BF18" i="5"/>
  <c r="BF141" i="2" s="1"/>
  <c r="BE18" i="5"/>
  <c r="BE141" i="2" s="1"/>
  <c r="BD18" i="5"/>
  <c r="BD141" i="2" s="1"/>
  <c r="BC18" i="5"/>
  <c r="BC141" i="2" s="1"/>
  <c r="BB18" i="5"/>
  <c r="BB141" i="2" s="1"/>
  <c r="BA18" i="5"/>
  <c r="BA141" i="2" s="1"/>
  <c r="AZ18" i="5"/>
  <c r="AZ141" i="2" s="1"/>
  <c r="AY18" i="5"/>
  <c r="AY141" i="2" s="1"/>
  <c r="AX18" i="5"/>
  <c r="AX141" i="2" s="1"/>
  <c r="AW18" i="5"/>
  <c r="AW141" i="2" s="1"/>
  <c r="AV18" i="5"/>
  <c r="AV141" i="2" s="1"/>
  <c r="AU18" i="5"/>
  <c r="AU141" i="2" s="1"/>
  <c r="AT18" i="5"/>
  <c r="AT141" i="2" s="1"/>
  <c r="AS18" i="5"/>
  <c r="AS141" i="2" s="1"/>
  <c r="AR18" i="5"/>
  <c r="AR141" i="2" s="1"/>
  <c r="AQ18" i="5"/>
  <c r="AQ141" i="2" s="1"/>
  <c r="AP18" i="5"/>
  <c r="AP141" i="2" s="1"/>
  <c r="AO18" i="5"/>
  <c r="AO141" i="2" s="1"/>
  <c r="AN18" i="5"/>
  <c r="AN141" i="2" s="1"/>
  <c r="AM18" i="5"/>
  <c r="AM141" i="2" s="1"/>
  <c r="AL18" i="5"/>
  <c r="AL141" i="2" s="1"/>
  <c r="AK18" i="5"/>
  <c r="AK141" i="2" s="1"/>
  <c r="AJ18" i="5"/>
  <c r="AJ141" i="2" s="1"/>
  <c r="AI18" i="5"/>
  <c r="AI141" i="2" s="1"/>
  <c r="AH18" i="5"/>
  <c r="AH141" i="2" s="1"/>
  <c r="AG18" i="5"/>
  <c r="AG141" i="2" s="1"/>
  <c r="AF18" i="5"/>
  <c r="AF141" i="2" s="1"/>
  <c r="AE18" i="5"/>
  <c r="AE141" i="2" s="1"/>
  <c r="AD18" i="5"/>
  <c r="AD141" i="2" s="1"/>
  <c r="AC18" i="5"/>
  <c r="AC141" i="2" s="1"/>
  <c r="AB18" i="5"/>
  <c r="AB141" i="2" s="1"/>
  <c r="AA18" i="5"/>
  <c r="AA141" i="2" s="1"/>
  <c r="Z18" i="5"/>
  <c r="Z141" i="2" s="1"/>
  <c r="Y18" i="5"/>
  <c r="Y141" i="2" s="1"/>
  <c r="X18" i="5"/>
  <c r="X141" i="2" s="1"/>
  <c r="W18" i="5"/>
  <c r="W141" i="2" s="1"/>
  <c r="V18" i="5"/>
  <c r="V141" i="2" s="1"/>
  <c r="U18" i="5"/>
  <c r="U141" i="2" s="1"/>
  <c r="T18" i="5"/>
  <c r="T141" i="2" s="1"/>
  <c r="S18" i="5"/>
  <c r="S141" i="2" s="1"/>
  <c r="R18" i="5"/>
  <c r="R141" i="2" s="1"/>
  <c r="Q18" i="5"/>
  <c r="Q141" i="2" s="1"/>
  <c r="P18" i="5"/>
  <c r="P141" i="2" s="1"/>
  <c r="O18" i="5"/>
  <c r="O141" i="2" s="1"/>
  <c r="N18" i="5"/>
  <c r="N141" i="2" s="1"/>
  <c r="M18" i="5"/>
  <c r="M141" i="2" s="1"/>
  <c r="L18" i="5"/>
  <c r="L141" i="2" s="1"/>
  <c r="K18" i="5"/>
  <c r="K141" i="2" s="1"/>
  <c r="J18" i="5"/>
  <c r="J141" i="2" s="1"/>
  <c r="I18" i="5"/>
  <c r="I141" i="2" s="1"/>
  <c r="H18" i="5"/>
  <c r="H141" i="2" s="1"/>
  <c r="G18" i="5"/>
  <c r="G141" i="2" s="1"/>
  <c r="F18" i="5"/>
  <c r="F141" i="2" s="1"/>
  <c r="E18" i="5"/>
  <c r="E141" i="2" s="1"/>
  <c r="BL17" i="5"/>
  <c r="BL140" i="2" s="1"/>
  <c r="BK17" i="5"/>
  <c r="BK140" i="2" s="1"/>
  <c r="BJ17" i="5"/>
  <c r="BJ140" i="2" s="1"/>
  <c r="BI17" i="5"/>
  <c r="BI140" i="2" s="1"/>
  <c r="BH17" i="5"/>
  <c r="BH140" i="2" s="1"/>
  <c r="BG17" i="5"/>
  <c r="BG140" i="2" s="1"/>
  <c r="BF17" i="5"/>
  <c r="BF140" i="2" s="1"/>
  <c r="BE17" i="5"/>
  <c r="BE140" i="2" s="1"/>
  <c r="BD17" i="5"/>
  <c r="BD140" i="2" s="1"/>
  <c r="BC17" i="5"/>
  <c r="BC140" i="2" s="1"/>
  <c r="BB17" i="5"/>
  <c r="BB140" i="2" s="1"/>
  <c r="BA17" i="5"/>
  <c r="BA140" i="2" s="1"/>
  <c r="AZ17" i="5"/>
  <c r="AZ140" i="2" s="1"/>
  <c r="AY17" i="5"/>
  <c r="AY140" i="2" s="1"/>
  <c r="AX17" i="5"/>
  <c r="AX140" i="2" s="1"/>
  <c r="AW17" i="5"/>
  <c r="AW140" i="2" s="1"/>
  <c r="AV17" i="5"/>
  <c r="AV140" i="2" s="1"/>
  <c r="AU17" i="5"/>
  <c r="AU140" i="2" s="1"/>
  <c r="AT17" i="5"/>
  <c r="AT140" i="2" s="1"/>
  <c r="AS17" i="5"/>
  <c r="AS140" i="2" s="1"/>
  <c r="AR17" i="5"/>
  <c r="AR140" i="2" s="1"/>
  <c r="AQ17" i="5"/>
  <c r="AQ140" i="2" s="1"/>
  <c r="AP17" i="5"/>
  <c r="AP140" i="2" s="1"/>
  <c r="AO17" i="5"/>
  <c r="AO140" i="2" s="1"/>
  <c r="AN17" i="5"/>
  <c r="AN140" i="2" s="1"/>
  <c r="AM17" i="5"/>
  <c r="AM140" i="2" s="1"/>
  <c r="AL17" i="5"/>
  <c r="AL140" i="2" s="1"/>
  <c r="AK17" i="5"/>
  <c r="AK140" i="2" s="1"/>
  <c r="AJ17" i="5"/>
  <c r="AJ140" i="2" s="1"/>
  <c r="AI17" i="5"/>
  <c r="AI140" i="2" s="1"/>
  <c r="AH17" i="5"/>
  <c r="AH140" i="2" s="1"/>
  <c r="AG17" i="5"/>
  <c r="AG140" i="2" s="1"/>
  <c r="AF17" i="5"/>
  <c r="AF140" i="2" s="1"/>
  <c r="AE17" i="5"/>
  <c r="AE140" i="2" s="1"/>
  <c r="AD17" i="5"/>
  <c r="AD140" i="2" s="1"/>
  <c r="AC17" i="5"/>
  <c r="AC140" i="2" s="1"/>
  <c r="AB17" i="5"/>
  <c r="AB140" i="2" s="1"/>
  <c r="AA17" i="5"/>
  <c r="AA140" i="2" s="1"/>
  <c r="Z17" i="5"/>
  <c r="Z140" i="2" s="1"/>
  <c r="Y17" i="5"/>
  <c r="Y140" i="2" s="1"/>
  <c r="X17" i="5"/>
  <c r="X140" i="2" s="1"/>
  <c r="W17" i="5"/>
  <c r="W140" i="2" s="1"/>
  <c r="V17" i="5"/>
  <c r="V140" i="2" s="1"/>
  <c r="U17" i="5"/>
  <c r="U140" i="2" s="1"/>
  <c r="T17" i="5"/>
  <c r="T140" i="2" s="1"/>
  <c r="S17" i="5"/>
  <c r="S140" i="2" s="1"/>
  <c r="R17" i="5"/>
  <c r="R140" i="2" s="1"/>
  <c r="Q17" i="5"/>
  <c r="Q140" i="2" s="1"/>
  <c r="P17" i="5"/>
  <c r="P140" i="2" s="1"/>
  <c r="O17" i="5"/>
  <c r="O140" i="2" s="1"/>
  <c r="N17" i="5"/>
  <c r="N140" i="2" s="1"/>
  <c r="M17" i="5"/>
  <c r="M140" i="2" s="1"/>
  <c r="L17" i="5"/>
  <c r="L140" i="2" s="1"/>
  <c r="K17" i="5"/>
  <c r="K140" i="2" s="1"/>
  <c r="J17" i="5"/>
  <c r="J140" i="2" s="1"/>
  <c r="I17" i="5"/>
  <c r="I140" i="2" s="1"/>
  <c r="H17" i="5"/>
  <c r="H140" i="2" s="1"/>
  <c r="G17" i="5"/>
  <c r="G140" i="2" s="1"/>
  <c r="F17" i="5"/>
  <c r="F140" i="2" s="1"/>
  <c r="E17" i="5"/>
  <c r="E140" i="2" s="1"/>
  <c r="BL16" i="5"/>
  <c r="BL139" i="2" s="1"/>
  <c r="BK16" i="5"/>
  <c r="BK139" i="2" s="1"/>
  <c r="BJ16" i="5"/>
  <c r="BJ139" i="2" s="1"/>
  <c r="BI16" i="5"/>
  <c r="BI139" i="2" s="1"/>
  <c r="BH16" i="5"/>
  <c r="BH139" i="2" s="1"/>
  <c r="BG16" i="5"/>
  <c r="BG139" i="2" s="1"/>
  <c r="BF16" i="5"/>
  <c r="BF139" i="2" s="1"/>
  <c r="BE16" i="5"/>
  <c r="BE139" i="2" s="1"/>
  <c r="BD16" i="5"/>
  <c r="BD139" i="2" s="1"/>
  <c r="BC16" i="5"/>
  <c r="BC139" i="2" s="1"/>
  <c r="BB16" i="5"/>
  <c r="BB139" i="2" s="1"/>
  <c r="BA16" i="5"/>
  <c r="BA139" i="2" s="1"/>
  <c r="AZ16" i="5"/>
  <c r="AZ139" i="2" s="1"/>
  <c r="AY16" i="5"/>
  <c r="AY139" i="2" s="1"/>
  <c r="AX16" i="5"/>
  <c r="AX139" i="2" s="1"/>
  <c r="AW16" i="5"/>
  <c r="AW139" i="2" s="1"/>
  <c r="AV16" i="5"/>
  <c r="AV139" i="2" s="1"/>
  <c r="AU16" i="5"/>
  <c r="AU139" i="2" s="1"/>
  <c r="AT16" i="5"/>
  <c r="AT139" i="2" s="1"/>
  <c r="AS16" i="5"/>
  <c r="AS139" i="2" s="1"/>
  <c r="AR16" i="5"/>
  <c r="AR139" i="2" s="1"/>
  <c r="AQ16" i="5"/>
  <c r="AQ139" i="2" s="1"/>
  <c r="AP16" i="5"/>
  <c r="AP139" i="2" s="1"/>
  <c r="AO16" i="5"/>
  <c r="AO139" i="2" s="1"/>
  <c r="AN16" i="5"/>
  <c r="AN139" i="2" s="1"/>
  <c r="AM16" i="5"/>
  <c r="AM139" i="2" s="1"/>
  <c r="AL16" i="5"/>
  <c r="AL139" i="2" s="1"/>
  <c r="AK16" i="5"/>
  <c r="AK139" i="2" s="1"/>
  <c r="AJ16" i="5"/>
  <c r="AJ139" i="2" s="1"/>
  <c r="AI16" i="5"/>
  <c r="AI139" i="2" s="1"/>
  <c r="AH16" i="5"/>
  <c r="AH139" i="2" s="1"/>
  <c r="AG16" i="5"/>
  <c r="AG139" i="2" s="1"/>
  <c r="AF16" i="5"/>
  <c r="AF139" i="2" s="1"/>
  <c r="AE16" i="5"/>
  <c r="AE139" i="2" s="1"/>
  <c r="AD16" i="5"/>
  <c r="AD139" i="2" s="1"/>
  <c r="AC16" i="5"/>
  <c r="AC139" i="2" s="1"/>
  <c r="AB16" i="5"/>
  <c r="AB139" i="2" s="1"/>
  <c r="AA16" i="5"/>
  <c r="AA139" i="2" s="1"/>
  <c r="Z16" i="5"/>
  <c r="Z139" i="2" s="1"/>
  <c r="Y16" i="5"/>
  <c r="Y139" i="2" s="1"/>
  <c r="X16" i="5"/>
  <c r="X139" i="2" s="1"/>
  <c r="W16" i="5"/>
  <c r="W139" i="2" s="1"/>
  <c r="V16" i="5"/>
  <c r="V139" i="2" s="1"/>
  <c r="U16" i="5"/>
  <c r="U139" i="2" s="1"/>
  <c r="T16" i="5"/>
  <c r="T139" i="2" s="1"/>
  <c r="S16" i="5"/>
  <c r="S139" i="2" s="1"/>
  <c r="R16" i="5"/>
  <c r="R139" i="2" s="1"/>
  <c r="Q16" i="5"/>
  <c r="Q139" i="2" s="1"/>
  <c r="P16" i="5"/>
  <c r="P139" i="2" s="1"/>
  <c r="O16" i="5"/>
  <c r="O139" i="2" s="1"/>
  <c r="N16" i="5"/>
  <c r="N139" i="2" s="1"/>
  <c r="M16" i="5"/>
  <c r="M139" i="2" s="1"/>
  <c r="L16" i="5"/>
  <c r="L139" i="2" s="1"/>
  <c r="K16" i="5"/>
  <c r="K139" i="2" s="1"/>
  <c r="J16" i="5"/>
  <c r="J139" i="2" s="1"/>
  <c r="I16" i="5"/>
  <c r="I139" i="2" s="1"/>
  <c r="H16" i="5"/>
  <c r="H139" i="2" s="1"/>
  <c r="G16" i="5"/>
  <c r="G139" i="2" s="1"/>
  <c r="F16" i="5"/>
  <c r="F139" i="2" s="1"/>
  <c r="E16" i="5"/>
  <c r="E139" i="2" s="1"/>
  <c r="BL15" i="5"/>
  <c r="BL138" i="2" s="1"/>
  <c r="BK15" i="5"/>
  <c r="BK138" i="2" s="1"/>
  <c r="BJ15" i="5"/>
  <c r="BJ138" i="2" s="1"/>
  <c r="BI15" i="5"/>
  <c r="BI138" i="2" s="1"/>
  <c r="BH15" i="5"/>
  <c r="BH138" i="2" s="1"/>
  <c r="BG15" i="5"/>
  <c r="BG138" i="2" s="1"/>
  <c r="BF15" i="5"/>
  <c r="BF138" i="2" s="1"/>
  <c r="BE15" i="5"/>
  <c r="BE138" i="2" s="1"/>
  <c r="BD15" i="5"/>
  <c r="BD138" i="2" s="1"/>
  <c r="BC15" i="5"/>
  <c r="BC138" i="2" s="1"/>
  <c r="BB15" i="5"/>
  <c r="BB138" i="2" s="1"/>
  <c r="BA15" i="5"/>
  <c r="BA138" i="2" s="1"/>
  <c r="AZ15" i="5"/>
  <c r="AZ138" i="2" s="1"/>
  <c r="AY15" i="5"/>
  <c r="AY138" i="2" s="1"/>
  <c r="AX15" i="5"/>
  <c r="AX138" i="2" s="1"/>
  <c r="AW15" i="5"/>
  <c r="AW138" i="2" s="1"/>
  <c r="AV15" i="5"/>
  <c r="AV138" i="2" s="1"/>
  <c r="AU15" i="5"/>
  <c r="AU138" i="2" s="1"/>
  <c r="AT15" i="5"/>
  <c r="AT138" i="2" s="1"/>
  <c r="AS15" i="5"/>
  <c r="AS138" i="2" s="1"/>
  <c r="AR15" i="5"/>
  <c r="AR138" i="2" s="1"/>
  <c r="AQ15" i="5"/>
  <c r="AQ138" i="2" s="1"/>
  <c r="AP15" i="5"/>
  <c r="AP138" i="2" s="1"/>
  <c r="AO15" i="5"/>
  <c r="AO138" i="2" s="1"/>
  <c r="AN15" i="5"/>
  <c r="AN138" i="2" s="1"/>
  <c r="AM15" i="5"/>
  <c r="AM138" i="2" s="1"/>
  <c r="AL15" i="5"/>
  <c r="AL138" i="2" s="1"/>
  <c r="AK15" i="5"/>
  <c r="AK138" i="2" s="1"/>
  <c r="AJ15" i="5"/>
  <c r="AJ138" i="2" s="1"/>
  <c r="AI15" i="5"/>
  <c r="AI138" i="2" s="1"/>
  <c r="AH15" i="5"/>
  <c r="AH138" i="2" s="1"/>
  <c r="AG15" i="5"/>
  <c r="AG138" i="2" s="1"/>
  <c r="AF15" i="5"/>
  <c r="AF138" i="2" s="1"/>
  <c r="AE15" i="5"/>
  <c r="AE138" i="2" s="1"/>
  <c r="AD15" i="5"/>
  <c r="AD138" i="2" s="1"/>
  <c r="AC15" i="5"/>
  <c r="AC138" i="2" s="1"/>
  <c r="AB15" i="5"/>
  <c r="AB138" i="2" s="1"/>
  <c r="AA15" i="5"/>
  <c r="AA138" i="2" s="1"/>
  <c r="Z15" i="5"/>
  <c r="Z138" i="2" s="1"/>
  <c r="Y15" i="5"/>
  <c r="Y138" i="2" s="1"/>
  <c r="X15" i="5"/>
  <c r="X138" i="2" s="1"/>
  <c r="W15" i="5"/>
  <c r="W138" i="2" s="1"/>
  <c r="V15" i="5"/>
  <c r="V138" i="2" s="1"/>
  <c r="U15" i="5"/>
  <c r="U138" i="2" s="1"/>
  <c r="T15" i="5"/>
  <c r="T138" i="2" s="1"/>
  <c r="S15" i="5"/>
  <c r="S138" i="2" s="1"/>
  <c r="R15" i="5"/>
  <c r="R138" i="2" s="1"/>
  <c r="Q15" i="5"/>
  <c r="Q138" i="2" s="1"/>
  <c r="P15" i="5"/>
  <c r="P138" i="2" s="1"/>
  <c r="O15" i="5"/>
  <c r="O138" i="2" s="1"/>
  <c r="N15" i="5"/>
  <c r="N138" i="2" s="1"/>
  <c r="M15" i="5"/>
  <c r="M138" i="2" s="1"/>
  <c r="L15" i="5"/>
  <c r="L138" i="2" s="1"/>
  <c r="K15" i="5"/>
  <c r="K138" i="2" s="1"/>
  <c r="J15" i="5"/>
  <c r="J138" i="2" s="1"/>
  <c r="I15" i="5"/>
  <c r="I138" i="2" s="1"/>
  <c r="H15" i="5"/>
  <c r="H138" i="2" s="1"/>
  <c r="G15" i="5"/>
  <c r="G138" i="2" s="1"/>
  <c r="F15" i="5"/>
  <c r="F138" i="2" s="1"/>
  <c r="E15" i="5"/>
  <c r="E138" i="2" s="1"/>
  <c r="BL14" i="5"/>
  <c r="BL137" i="2" s="1"/>
  <c r="BK14" i="5"/>
  <c r="BK137" i="2" s="1"/>
  <c r="BJ14" i="5"/>
  <c r="BJ137" i="2" s="1"/>
  <c r="BI14" i="5"/>
  <c r="BI137" i="2" s="1"/>
  <c r="BH14" i="5"/>
  <c r="BH137" i="2" s="1"/>
  <c r="BG14" i="5"/>
  <c r="BG137" i="2" s="1"/>
  <c r="BF14" i="5"/>
  <c r="BF137" i="2" s="1"/>
  <c r="BE14" i="5"/>
  <c r="BE137" i="2" s="1"/>
  <c r="BD14" i="5"/>
  <c r="BD137" i="2" s="1"/>
  <c r="BC14" i="5"/>
  <c r="BC137" i="2" s="1"/>
  <c r="BB14" i="5"/>
  <c r="BB137" i="2" s="1"/>
  <c r="BA14" i="5"/>
  <c r="BA137" i="2" s="1"/>
  <c r="AZ14" i="5"/>
  <c r="AZ137" i="2" s="1"/>
  <c r="AY14" i="5"/>
  <c r="AY137" i="2" s="1"/>
  <c r="AX14" i="5"/>
  <c r="AX137" i="2" s="1"/>
  <c r="AW14" i="5"/>
  <c r="AW137" i="2" s="1"/>
  <c r="AV14" i="5"/>
  <c r="AV137" i="2" s="1"/>
  <c r="AU14" i="5"/>
  <c r="AU137" i="2" s="1"/>
  <c r="AT14" i="5"/>
  <c r="AT137" i="2" s="1"/>
  <c r="AS14" i="5"/>
  <c r="AS137" i="2" s="1"/>
  <c r="AR14" i="5"/>
  <c r="AR137" i="2" s="1"/>
  <c r="AQ14" i="5"/>
  <c r="AQ137" i="2" s="1"/>
  <c r="AP14" i="5"/>
  <c r="AP137" i="2" s="1"/>
  <c r="AO14" i="5"/>
  <c r="AO137" i="2" s="1"/>
  <c r="AN14" i="5"/>
  <c r="AN137" i="2" s="1"/>
  <c r="AM14" i="5"/>
  <c r="AM137" i="2" s="1"/>
  <c r="AL14" i="5"/>
  <c r="AL137" i="2" s="1"/>
  <c r="AK14" i="5"/>
  <c r="AK137" i="2" s="1"/>
  <c r="AJ14" i="5"/>
  <c r="AJ137" i="2" s="1"/>
  <c r="AI14" i="5"/>
  <c r="AI137" i="2" s="1"/>
  <c r="AH14" i="5"/>
  <c r="AH137" i="2" s="1"/>
  <c r="AG14" i="5"/>
  <c r="AG137" i="2" s="1"/>
  <c r="AF14" i="5"/>
  <c r="AF137" i="2" s="1"/>
  <c r="AE14" i="5"/>
  <c r="AE137" i="2" s="1"/>
  <c r="AD14" i="5"/>
  <c r="AD137" i="2" s="1"/>
  <c r="AC14" i="5"/>
  <c r="AC137" i="2" s="1"/>
  <c r="AB14" i="5"/>
  <c r="AB137" i="2" s="1"/>
  <c r="AA14" i="5"/>
  <c r="AA137" i="2" s="1"/>
  <c r="Z14" i="5"/>
  <c r="Z137" i="2" s="1"/>
  <c r="Y14" i="5"/>
  <c r="Y137" i="2" s="1"/>
  <c r="X14" i="5"/>
  <c r="X137" i="2" s="1"/>
  <c r="W14" i="5"/>
  <c r="W137" i="2" s="1"/>
  <c r="V14" i="5"/>
  <c r="V137" i="2" s="1"/>
  <c r="U14" i="5"/>
  <c r="U137" i="2" s="1"/>
  <c r="T14" i="5"/>
  <c r="T137" i="2" s="1"/>
  <c r="S14" i="5"/>
  <c r="S137" i="2" s="1"/>
  <c r="R14" i="5"/>
  <c r="R137" i="2" s="1"/>
  <c r="Q14" i="5"/>
  <c r="Q137" i="2" s="1"/>
  <c r="P14" i="5"/>
  <c r="P137" i="2" s="1"/>
  <c r="O14" i="5"/>
  <c r="O137" i="2" s="1"/>
  <c r="N14" i="5"/>
  <c r="N137" i="2" s="1"/>
  <c r="M14" i="5"/>
  <c r="M137" i="2" s="1"/>
  <c r="L14" i="5"/>
  <c r="L137" i="2" s="1"/>
  <c r="K14" i="5"/>
  <c r="K137" i="2" s="1"/>
  <c r="J14" i="5"/>
  <c r="J137" i="2" s="1"/>
  <c r="I14" i="5"/>
  <c r="I137" i="2" s="1"/>
  <c r="H14" i="5"/>
  <c r="H137" i="2" s="1"/>
  <c r="G14" i="5"/>
  <c r="G137" i="2" s="1"/>
  <c r="F14" i="5"/>
  <c r="F137" i="2" s="1"/>
  <c r="E14" i="5"/>
  <c r="E137" i="2" s="1"/>
  <c r="BL13" i="5"/>
  <c r="BL136" i="2" s="1"/>
  <c r="BK13" i="5"/>
  <c r="BK136" i="2" s="1"/>
  <c r="BJ13" i="5"/>
  <c r="BJ136" i="2" s="1"/>
  <c r="BI13" i="5"/>
  <c r="BI136" i="2" s="1"/>
  <c r="BH13" i="5"/>
  <c r="BH136" i="2" s="1"/>
  <c r="BG13" i="5"/>
  <c r="BG136" i="2" s="1"/>
  <c r="BF13" i="5"/>
  <c r="BF136" i="2" s="1"/>
  <c r="BE13" i="5"/>
  <c r="BE136" i="2" s="1"/>
  <c r="BD13" i="5"/>
  <c r="BD136" i="2" s="1"/>
  <c r="BC13" i="5"/>
  <c r="BC136" i="2" s="1"/>
  <c r="BB13" i="5"/>
  <c r="BB136" i="2" s="1"/>
  <c r="BA13" i="5"/>
  <c r="BA136" i="2" s="1"/>
  <c r="AZ13" i="5"/>
  <c r="AZ136" i="2" s="1"/>
  <c r="AY13" i="5"/>
  <c r="AY136" i="2" s="1"/>
  <c r="AX13" i="5"/>
  <c r="AX136" i="2" s="1"/>
  <c r="AW13" i="5"/>
  <c r="AW136" i="2" s="1"/>
  <c r="AV13" i="5"/>
  <c r="AV136" i="2" s="1"/>
  <c r="AU13" i="5"/>
  <c r="AU136" i="2" s="1"/>
  <c r="AT13" i="5"/>
  <c r="AT136" i="2" s="1"/>
  <c r="AS13" i="5"/>
  <c r="AS136" i="2" s="1"/>
  <c r="AR13" i="5"/>
  <c r="AR136" i="2" s="1"/>
  <c r="AQ13" i="5"/>
  <c r="AQ136" i="2" s="1"/>
  <c r="AP13" i="5"/>
  <c r="AP136" i="2" s="1"/>
  <c r="AO13" i="5"/>
  <c r="AO136" i="2" s="1"/>
  <c r="AN13" i="5"/>
  <c r="AN136" i="2" s="1"/>
  <c r="AM13" i="5"/>
  <c r="AM136" i="2" s="1"/>
  <c r="AL13" i="5"/>
  <c r="AL136" i="2" s="1"/>
  <c r="AK13" i="5"/>
  <c r="AK136" i="2" s="1"/>
  <c r="AJ13" i="5"/>
  <c r="AJ136" i="2" s="1"/>
  <c r="AI13" i="5"/>
  <c r="AI136" i="2" s="1"/>
  <c r="AH13" i="5"/>
  <c r="AH136" i="2" s="1"/>
  <c r="AG13" i="5"/>
  <c r="AG136" i="2" s="1"/>
  <c r="AF13" i="5"/>
  <c r="AF136" i="2" s="1"/>
  <c r="AE13" i="5"/>
  <c r="AE136" i="2" s="1"/>
  <c r="AD13" i="5"/>
  <c r="AD136" i="2" s="1"/>
  <c r="AC13" i="5"/>
  <c r="AC136" i="2" s="1"/>
  <c r="AB13" i="5"/>
  <c r="AB136" i="2" s="1"/>
  <c r="AA13" i="5"/>
  <c r="AA136" i="2" s="1"/>
  <c r="Z13" i="5"/>
  <c r="Z136" i="2" s="1"/>
  <c r="Y13" i="5"/>
  <c r="Y136" i="2" s="1"/>
  <c r="X13" i="5"/>
  <c r="X136" i="2" s="1"/>
  <c r="W13" i="5"/>
  <c r="W136" i="2" s="1"/>
  <c r="V13" i="5"/>
  <c r="V136" i="2" s="1"/>
  <c r="U13" i="5"/>
  <c r="U136" i="2" s="1"/>
  <c r="T13" i="5"/>
  <c r="T136" i="2" s="1"/>
  <c r="S13" i="5"/>
  <c r="S136" i="2" s="1"/>
  <c r="R13" i="5"/>
  <c r="R136" i="2" s="1"/>
  <c r="Q13" i="5"/>
  <c r="Q136" i="2" s="1"/>
  <c r="P13" i="5"/>
  <c r="P136" i="2" s="1"/>
  <c r="O13" i="5"/>
  <c r="O136" i="2" s="1"/>
  <c r="N13" i="5"/>
  <c r="N136" i="2" s="1"/>
  <c r="M13" i="5"/>
  <c r="M136" i="2" s="1"/>
  <c r="L13" i="5"/>
  <c r="L136" i="2" s="1"/>
  <c r="K13" i="5"/>
  <c r="K136" i="2" s="1"/>
  <c r="J13" i="5"/>
  <c r="J136" i="2" s="1"/>
  <c r="I13" i="5"/>
  <c r="I136" i="2" s="1"/>
  <c r="H13" i="5"/>
  <c r="H136" i="2" s="1"/>
  <c r="G13" i="5"/>
  <c r="G136" i="2" s="1"/>
  <c r="F13" i="5"/>
  <c r="F136" i="2" s="1"/>
  <c r="E13" i="5"/>
  <c r="E136" i="2" s="1"/>
  <c r="BL12" i="5"/>
  <c r="BL135" i="2" s="1"/>
  <c r="BK12" i="5"/>
  <c r="BK135" i="2" s="1"/>
  <c r="BJ12" i="5"/>
  <c r="BJ135" i="2" s="1"/>
  <c r="BI12" i="5"/>
  <c r="BI135" i="2" s="1"/>
  <c r="BH12" i="5"/>
  <c r="BH135" i="2" s="1"/>
  <c r="BG12" i="5"/>
  <c r="BG135" i="2" s="1"/>
  <c r="BF12" i="5"/>
  <c r="BF135" i="2" s="1"/>
  <c r="BE12" i="5"/>
  <c r="BE135" i="2" s="1"/>
  <c r="BD12" i="5"/>
  <c r="BD135" i="2" s="1"/>
  <c r="BC12" i="5"/>
  <c r="BC135" i="2" s="1"/>
  <c r="BB12" i="5"/>
  <c r="BB135" i="2" s="1"/>
  <c r="BA12" i="5"/>
  <c r="BA135" i="2" s="1"/>
  <c r="AZ12" i="5"/>
  <c r="AZ135" i="2" s="1"/>
  <c r="AY12" i="5"/>
  <c r="AY135" i="2" s="1"/>
  <c r="AX12" i="5"/>
  <c r="AX135" i="2" s="1"/>
  <c r="AW12" i="5"/>
  <c r="AW135" i="2" s="1"/>
  <c r="AV12" i="5"/>
  <c r="AV135" i="2" s="1"/>
  <c r="AU12" i="5"/>
  <c r="AU135" i="2" s="1"/>
  <c r="AT12" i="5"/>
  <c r="AT135" i="2" s="1"/>
  <c r="AS12" i="5"/>
  <c r="AS135" i="2" s="1"/>
  <c r="AR12" i="5"/>
  <c r="AR135" i="2" s="1"/>
  <c r="AQ12" i="5"/>
  <c r="AQ135" i="2" s="1"/>
  <c r="AP12" i="5"/>
  <c r="AP135" i="2" s="1"/>
  <c r="AO12" i="5"/>
  <c r="AO135" i="2" s="1"/>
  <c r="AN12" i="5"/>
  <c r="AN135" i="2" s="1"/>
  <c r="AM12" i="5"/>
  <c r="AM135" i="2" s="1"/>
  <c r="AL12" i="5"/>
  <c r="AL135" i="2" s="1"/>
  <c r="AK12" i="5"/>
  <c r="AK135" i="2" s="1"/>
  <c r="AJ12" i="5"/>
  <c r="AJ135" i="2" s="1"/>
  <c r="AI12" i="5"/>
  <c r="AI135" i="2" s="1"/>
  <c r="AH12" i="5"/>
  <c r="AH135" i="2" s="1"/>
  <c r="AG12" i="5"/>
  <c r="AG135" i="2" s="1"/>
  <c r="AF12" i="5"/>
  <c r="AF135" i="2" s="1"/>
  <c r="AE12" i="5"/>
  <c r="AE135" i="2" s="1"/>
  <c r="AD12" i="5"/>
  <c r="AD135" i="2" s="1"/>
  <c r="AC12" i="5"/>
  <c r="AC135" i="2" s="1"/>
  <c r="AB12" i="5"/>
  <c r="AB135" i="2" s="1"/>
  <c r="AA12" i="5"/>
  <c r="AA135" i="2" s="1"/>
  <c r="Z12" i="5"/>
  <c r="Z135" i="2" s="1"/>
  <c r="Y12" i="5"/>
  <c r="Y135" i="2" s="1"/>
  <c r="X12" i="5"/>
  <c r="X135" i="2" s="1"/>
  <c r="W12" i="5"/>
  <c r="W135" i="2" s="1"/>
  <c r="V12" i="5"/>
  <c r="V135" i="2" s="1"/>
  <c r="U12" i="5"/>
  <c r="U135" i="2" s="1"/>
  <c r="T12" i="5"/>
  <c r="T135" i="2" s="1"/>
  <c r="S12" i="5"/>
  <c r="S135" i="2" s="1"/>
  <c r="R12" i="5"/>
  <c r="R135" i="2" s="1"/>
  <c r="Q12" i="5"/>
  <c r="Q135" i="2" s="1"/>
  <c r="P12" i="5"/>
  <c r="P135" i="2" s="1"/>
  <c r="O12" i="5"/>
  <c r="O135" i="2" s="1"/>
  <c r="N12" i="5"/>
  <c r="N135" i="2" s="1"/>
  <c r="M12" i="5"/>
  <c r="M135" i="2" s="1"/>
  <c r="L12" i="5"/>
  <c r="L135" i="2" s="1"/>
  <c r="K12" i="5"/>
  <c r="K135" i="2" s="1"/>
  <c r="J12" i="5"/>
  <c r="J135" i="2" s="1"/>
  <c r="I12" i="5"/>
  <c r="I135" i="2" s="1"/>
  <c r="H12" i="5"/>
  <c r="H135" i="2" s="1"/>
  <c r="G12" i="5"/>
  <c r="G135" i="2" s="1"/>
  <c r="F12" i="5"/>
  <c r="F135" i="2" s="1"/>
  <c r="E12" i="5"/>
  <c r="E135" i="2" s="1"/>
  <c r="BL11" i="5"/>
  <c r="BL134" i="2" s="1"/>
  <c r="BK11" i="5"/>
  <c r="BK134" i="2" s="1"/>
  <c r="BJ11" i="5"/>
  <c r="BJ134" i="2" s="1"/>
  <c r="BI11" i="5"/>
  <c r="BI134" i="2" s="1"/>
  <c r="BH11" i="5"/>
  <c r="BH134" i="2" s="1"/>
  <c r="BG11" i="5"/>
  <c r="BG134" i="2" s="1"/>
  <c r="BF11" i="5"/>
  <c r="BF134" i="2" s="1"/>
  <c r="BE11" i="5"/>
  <c r="BE134" i="2" s="1"/>
  <c r="BD11" i="5"/>
  <c r="BD134" i="2" s="1"/>
  <c r="BC11" i="5"/>
  <c r="BC134" i="2" s="1"/>
  <c r="BB11" i="5"/>
  <c r="BB134" i="2" s="1"/>
  <c r="BA11" i="5"/>
  <c r="BA134" i="2" s="1"/>
  <c r="AZ11" i="5"/>
  <c r="AZ134" i="2" s="1"/>
  <c r="AY11" i="5"/>
  <c r="AY134" i="2" s="1"/>
  <c r="AX11" i="5"/>
  <c r="AX134" i="2" s="1"/>
  <c r="AW11" i="5"/>
  <c r="AW134" i="2" s="1"/>
  <c r="AV11" i="5"/>
  <c r="AV134" i="2" s="1"/>
  <c r="AU11" i="5"/>
  <c r="AU134" i="2" s="1"/>
  <c r="AT11" i="5"/>
  <c r="AT134" i="2" s="1"/>
  <c r="AS11" i="5"/>
  <c r="AS134" i="2" s="1"/>
  <c r="AR11" i="5"/>
  <c r="AR134" i="2" s="1"/>
  <c r="AQ11" i="5"/>
  <c r="AQ134" i="2" s="1"/>
  <c r="AP11" i="5"/>
  <c r="AP134" i="2" s="1"/>
  <c r="AO11" i="5"/>
  <c r="AO134" i="2" s="1"/>
  <c r="AN11" i="5"/>
  <c r="AN134" i="2" s="1"/>
  <c r="AM11" i="5"/>
  <c r="AM134" i="2" s="1"/>
  <c r="AL11" i="5"/>
  <c r="AL134" i="2" s="1"/>
  <c r="AK11" i="5"/>
  <c r="AK134" i="2" s="1"/>
  <c r="AJ11" i="5"/>
  <c r="AJ134" i="2" s="1"/>
  <c r="AI11" i="5"/>
  <c r="AI134" i="2" s="1"/>
  <c r="AH11" i="5"/>
  <c r="AH134" i="2" s="1"/>
  <c r="AG11" i="5"/>
  <c r="AG134" i="2" s="1"/>
  <c r="AF11" i="5"/>
  <c r="AF134" i="2" s="1"/>
  <c r="AE11" i="5"/>
  <c r="AE134" i="2" s="1"/>
  <c r="AD11" i="5"/>
  <c r="AD134" i="2" s="1"/>
  <c r="AC11" i="5"/>
  <c r="AC134" i="2" s="1"/>
  <c r="AB11" i="5"/>
  <c r="AB134" i="2" s="1"/>
  <c r="AA11" i="5"/>
  <c r="AA134" i="2" s="1"/>
  <c r="Z11" i="5"/>
  <c r="Z134" i="2" s="1"/>
  <c r="Y11" i="5"/>
  <c r="Y134" i="2" s="1"/>
  <c r="X11" i="5"/>
  <c r="X134" i="2" s="1"/>
  <c r="W11" i="5"/>
  <c r="W134" i="2" s="1"/>
  <c r="V11" i="5"/>
  <c r="V134" i="2" s="1"/>
  <c r="U11" i="5"/>
  <c r="U134" i="2" s="1"/>
  <c r="T11" i="5"/>
  <c r="T134" i="2" s="1"/>
  <c r="S11" i="5"/>
  <c r="S134" i="2" s="1"/>
  <c r="R11" i="5"/>
  <c r="R134" i="2" s="1"/>
  <c r="Q11" i="5"/>
  <c r="Q134" i="2" s="1"/>
  <c r="P11" i="5"/>
  <c r="P134" i="2" s="1"/>
  <c r="O11" i="5"/>
  <c r="O134" i="2" s="1"/>
  <c r="N11" i="5"/>
  <c r="N134" i="2" s="1"/>
  <c r="M11" i="5"/>
  <c r="M134" i="2" s="1"/>
  <c r="L11" i="5"/>
  <c r="L134" i="2" s="1"/>
  <c r="K11" i="5"/>
  <c r="K134" i="2" s="1"/>
  <c r="J11" i="5"/>
  <c r="J134" i="2" s="1"/>
  <c r="I11" i="5"/>
  <c r="I134" i="2" s="1"/>
  <c r="H11" i="5"/>
  <c r="H134" i="2" s="1"/>
  <c r="G11" i="5"/>
  <c r="G134" i="2" s="1"/>
  <c r="F11" i="5"/>
  <c r="F134" i="2" s="1"/>
  <c r="E11" i="5"/>
  <c r="E134" i="2" s="1"/>
  <c r="BL10" i="5"/>
  <c r="BL133" i="2" s="1"/>
  <c r="BK10" i="5"/>
  <c r="BK133" i="2" s="1"/>
  <c r="BJ10" i="5"/>
  <c r="BJ133" i="2" s="1"/>
  <c r="BI10" i="5"/>
  <c r="BI133" i="2" s="1"/>
  <c r="BH10" i="5"/>
  <c r="BH133" i="2" s="1"/>
  <c r="BG10" i="5"/>
  <c r="BG133" i="2" s="1"/>
  <c r="BF10" i="5"/>
  <c r="BF133" i="2" s="1"/>
  <c r="BE10" i="5"/>
  <c r="BE133" i="2" s="1"/>
  <c r="BD10" i="5"/>
  <c r="BD133" i="2" s="1"/>
  <c r="BC10" i="5"/>
  <c r="BC133" i="2" s="1"/>
  <c r="BB10" i="5"/>
  <c r="BB133" i="2" s="1"/>
  <c r="BA10" i="5"/>
  <c r="BA133" i="2" s="1"/>
  <c r="AZ10" i="5"/>
  <c r="AZ133" i="2" s="1"/>
  <c r="AY10" i="5"/>
  <c r="AY133" i="2" s="1"/>
  <c r="AX10" i="5"/>
  <c r="AX133" i="2" s="1"/>
  <c r="AW10" i="5"/>
  <c r="AW133" i="2" s="1"/>
  <c r="AV10" i="5"/>
  <c r="AV133" i="2" s="1"/>
  <c r="AU10" i="5"/>
  <c r="AU133" i="2" s="1"/>
  <c r="AT10" i="5"/>
  <c r="AT133" i="2" s="1"/>
  <c r="AS10" i="5"/>
  <c r="AS133" i="2" s="1"/>
  <c r="AR10" i="5"/>
  <c r="AR133" i="2" s="1"/>
  <c r="AQ10" i="5"/>
  <c r="AQ133" i="2" s="1"/>
  <c r="AP10" i="5"/>
  <c r="AP133" i="2" s="1"/>
  <c r="AO10" i="5"/>
  <c r="AO133" i="2" s="1"/>
  <c r="AN10" i="5"/>
  <c r="AN133" i="2" s="1"/>
  <c r="AM10" i="5"/>
  <c r="AM133" i="2" s="1"/>
  <c r="AL10" i="5"/>
  <c r="AL133" i="2" s="1"/>
  <c r="AK10" i="5"/>
  <c r="AK133" i="2" s="1"/>
  <c r="AJ10" i="5"/>
  <c r="AJ133" i="2" s="1"/>
  <c r="AI10" i="5"/>
  <c r="AI133" i="2" s="1"/>
  <c r="AH10" i="5"/>
  <c r="AH133" i="2" s="1"/>
  <c r="AG10" i="5"/>
  <c r="AG133" i="2" s="1"/>
  <c r="AF10" i="5"/>
  <c r="AF133" i="2" s="1"/>
  <c r="AE10" i="5"/>
  <c r="AE133" i="2" s="1"/>
  <c r="AD10" i="5"/>
  <c r="AD133" i="2" s="1"/>
  <c r="AC10" i="5"/>
  <c r="AC133" i="2" s="1"/>
  <c r="AB10" i="5"/>
  <c r="AB133" i="2" s="1"/>
  <c r="AA10" i="5"/>
  <c r="AA133" i="2" s="1"/>
  <c r="Z10" i="5"/>
  <c r="Z133" i="2" s="1"/>
  <c r="Y10" i="5"/>
  <c r="Y133" i="2" s="1"/>
  <c r="X10" i="5"/>
  <c r="X133" i="2" s="1"/>
  <c r="W10" i="5"/>
  <c r="W133" i="2" s="1"/>
  <c r="V10" i="5"/>
  <c r="V133" i="2" s="1"/>
  <c r="U10" i="5"/>
  <c r="U133" i="2" s="1"/>
  <c r="T10" i="5"/>
  <c r="T133" i="2" s="1"/>
  <c r="S10" i="5"/>
  <c r="S133" i="2" s="1"/>
  <c r="R10" i="5"/>
  <c r="R133" i="2" s="1"/>
  <c r="Q10" i="5"/>
  <c r="Q133" i="2" s="1"/>
  <c r="P10" i="5"/>
  <c r="P133" i="2" s="1"/>
  <c r="O10" i="5"/>
  <c r="O133" i="2" s="1"/>
  <c r="N10" i="5"/>
  <c r="N133" i="2" s="1"/>
  <c r="M10" i="5"/>
  <c r="M133" i="2" s="1"/>
  <c r="L10" i="5"/>
  <c r="L133" i="2" s="1"/>
  <c r="K10" i="5"/>
  <c r="K133" i="2" s="1"/>
  <c r="J10" i="5"/>
  <c r="J133" i="2" s="1"/>
  <c r="I10" i="5"/>
  <c r="I133" i="2" s="1"/>
  <c r="H10" i="5"/>
  <c r="H133" i="2" s="1"/>
  <c r="G10" i="5"/>
  <c r="G133" i="2" s="1"/>
  <c r="F10" i="5"/>
  <c r="F133" i="2" s="1"/>
  <c r="E10" i="5"/>
  <c r="E133" i="2" s="1"/>
  <c r="BL9" i="5"/>
  <c r="BL132" i="2" s="1"/>
  <c r="BK9" i="5"/>
  <c r="BK132" i="2" s="1"/>
  <c r="BJ9" i="5"/>
  <c r="BJ132" i="2" s="1"/>
  <c r="BI9" i="5"/>
  <c r="BI132" i="2" s="1"/>
  <c r="BH9" i="5"/>
  <c r="BH132" i="2" s="1"/>
  <c r="BG9" i="5"/>
  <c r="BG132" i="2" s="1"/>
  <c r="BF9" i="5"/>
  <c r="BF132" i="2" s="1"/>
  <c r="BE9" i="5"/>
  <c r="BE132" i="2" s="1"/>
  <c r="BD9" i="5"/>
  <c r="BD132" i="2" s="1"/>
  <c r="BC9" i="5"/>
  <c r="BC132" i="2" s="1"/>
  <c r="BB9" i="5"/>
  <c r="BB132" i="2" s="1"/>
  <c r="BA9" i="5"/>
  <c r="BA132" i="2" s="1"/>
  <c r="AZ9" i="5"/>
  <c r="AZ132" i="2" s="1"/>
  <c r="AY9" i="5"/>
  <c r="AY132" i="2" s="1"/>
  <c r="AX9" i="5"/>
  <c r="AX132" i="2" s="1"/>
  <c r="AW9" i="5"/>
  <c r="AW132" i="2" s="1"/>
  <c r="AV9" i="5"/>
  <c r="AV132" i="2" s="1"/>
  <c r="AU9" i="5"/>
  <c r="AU132" i="2" s="1"/>
  <c r="AT9" i="5"/>
  <c r="AT132" i="2" s="1"/>
  <c r="AS9" i="5"/>
  <c r="AS132" i="2" s="1"/>
  <c r="AR9" i="5"/>
  <c r="AR132" i="2" s="1"/>
  <c r="AQ9" i="5"/>
  <c r="AQ132" i="2" s="1"/>
  <c r="AP9" i="5"/>
  <c r="AP132" i="2" s="1"/>
  <c r="AO9" i="5"/>
  <c r="AO132" i="2" s="1"/>
  <c r="AN9" i="5"/>
  <c r="AN132" i="2" s="1"/>
  <c r="AM9" i="5"/>
  <c r="AM132" i="2" s="1"/>
  <c r="AL9" i="5"/>
  <c r="AL132" i="2" s="1"/>
  <c r="AK9" i="5"/>
  <c r="AK132" i="2" s="1"/>
  <c r="AJ9" i="5"/>
  <c r="AJ132" i="2" s="1"/>
  <c r="AI9" i="5"/>
  <c r="AI132" i="2" s="1"/>
  <c r="AH9" i="5"/>
  <c r="AH132" i="2" s="1"/>
  <c r="AG9" i="5"/>
  <c r="AG132" i="2" s="1"/>
  <c r="AF9" i="5"/>
  <c r="AF132" i="2" s="1"/>
  <c r="AE9" i="5"/>
  <c r="AE132" i="2" s="1"/>
  <c r="AD9" i="5"/>
  <c r="AD132" i="2" s="1"/>
  <c r="AC9" i="5"/>
  <c r="AC132" i="2" s="1"/>
  <c r="AB9" i="5"/>
  <c r="AB132" i="2" s="1"/>
  <c r="AA9" i="5"/>
  <c r="AA132" i="2" s="1"/>
  <c r="Z9" i="5"/>
  <c r="Z132" i="2" s="1"/>
  <c r="Y9" i="5"/>
  <c r="Y132" i="2" s="1"/>
  <c r="X9" i="5"/>
  <c r="X132" i="2" s="1"/>
  <c r="W9" i="5"/>
  <c r="W132" i="2" s="1"/>
  <c r="V9" i="5"/>
  <c r="V132" i="2" s="1"/>
  <c r="U9" i="5"/>
  <c r="U132" i="2" s="1"/>
  <c r="T9" i="5"/>
  <c r="T132" i="2" s="1"/>
  <c r="S9" i="5"/>
  <c r="S132" i="2" s="1"/>
  <c r="R9" i="5"/>
  <c r="R132" i="2" s="1"/>
  <c r="Q9" i="5"/>
  <c r="Q132" i="2" s="1"/>
  <c r="P9" i="5"/>
  <c r="P132" i="2" s="1"/>
  <c r="O9" i="5"/>
  <c r="O132" i="2" s="1"/>
  <c r="N9" i="5"/>
  <c r="N132" i="2" s="1"/>
  <c r="M9" i="5"/>
  <c r="M132" i="2" s="1"/>
  <c r="L9" i="5"/>
  <c r="L132" i="2" s="1"/>
  <c r="K9" i="5"/>
  <c r="K132" i="2" s="1"/>
  <c r="J9" i="5"/>
  <c r="J132" i="2" s="1"/>
  <c r="I9" i="5"/>
  <c r="I132" i="2" s="1"/>
  <c r="H9" i="5"/>
  <c r="H132" i="2" s="1"/>
  <c r="G9" i="5"/>
  <c r="G132" i="2" s="1"/>
  <c r="F9" i="5"/>
  <c r="F132" i="2" s="1"/>
  <c r="E9" i="5"/>
  <c r="E132" i="2" s="1"/>
  <c r="BL8" i="5"/>
  <c r="BL131" i="2" s="1"/>
  <c r="BK8" i="5"/>
  <c r="BK131" i="2" s="1"/>
  <c r="BJ8" i="5"/>
  <c r="BJ131" i="2" s="1"/>
  <c r="BI8" i="5"/>
  <c r="BI131" i="2" s="1"/>
  <c r="BH8" i="5"/>
  <c r="BH131" i="2" s="1"/>
  <c r="BG8" i="5"/>
  <c r="BG131" i="2" s="1"/>
  <c r="BF8" i="5"/>
  <c r="BF131" i="2" s="1"/>
  <c r="BE8" i="5"/>
  <c r="BE131" i="2" s="1"/>
  <c r="BD8" i="5"/>
  <c r="BD131" i="2" s="1"/>
  <c r="BC8" i="5"/>
  <c r="BC131" i="2" s="1"/>
  <c r="BB8" i="5"/>
  <c r="BB131" i="2" s="1"/>
  <c r="BA8" i="5"/>
  <c r="BA131" i="2" s="1"/>
  <c r="AZ8" i="5"/>
  <c r="AZ131" i="2" s="1"/>
  <c r="AY8" i="5"/>
  <c r="AY131" i="2" s="1"/>
  <c r="AX8" i="5"/>
  <c r="AX131" i="2" s="1"/>
  <c r="AW8" i="5"/>
  <c r="AW131" i="2" s="1"/>
  <c r="AV8" i="5"/>
  <c r="AV131" i="2" s="1"/>
  <c r="AU8" i="5"/>
  <c r="AU131" i="2" s="1"/>
  <c r="AT8" i="5"/>
  <c r="AT131" i="2" s="1"/>
  <c r="AS8" i="5"/>
  <c r="AS131" i="2" s="1"/>
  <c r="AR8" i="5"/>
  <c r="AR131" i="2" s="1"/>
  <c r="AQ8" i="5"/>
  <c r="AQ131" i="2" s="1"/>
  <c r="AP8" i="5"/>
  <c r="AP131" i="2" s="1"/>
  <c r="AO8" i="5"/>
  <c r="AO131" i="2" s="1"/>
  <c r="AN8" i="5"/>
  <c r="AN131" i="2" s="1"/>
  <c r="AM8" i="5"/>
  <c r="AM131" i="2" s="1"/>
  <c r="AL8" i="5"/>
  <c r="AL131" i="2" s="1"/>
  <c r="AK8" i="5"/>
  <c r="AK131" i="2" s="1"/>
  <c r="AJ8" i="5"/>
  <c r="AJ131" i="2" s="1"/>
  <c r="AI8" i="5"/>
  <c r="AI131" i="2" s="1"/>
  <c r="AH8" i="5"/>
  <c r="AH131" i="2" s="1"/>
  <c r="AG8" i="5"/>
  <c r="AG131" i="2" s="1"/>
  <c r="AF8" i="5"/>
  <c r="AF131" i="2" s="1"/>
  <c r="AE8" i="5"/>
  <c r="AE131" i="2" s="1"/>
  <c r="AD8" i="5"/>
  <c r="AD131" i="2" s="1"/>
  <c r="AC8" i="5"/>
  <c r="AC131" i="2" s="1"/>
  <c r="AB8" i="5"/>
  <c r="AB131" i="2" s="1"/>
  <c r="AA8" i="5"/>
  <c r="AA131" i="2" s="1"/>
  <c r="Z8" i="5"/>
  <c r="Z131" i="2" s="1"/>
  <c r="Y8" i="5"/>
  <c r="Y131" i="2" s="1"/>
  <c r="X8" i="5"/>
  <c r="X131" i="2" s="1"/>
  <c r="W8" i="5"/>
  <c r="W131" i="2" s="1"/>
  <c r="V8" i="5"/>
  <c r="V131" i="2" s="1"/>
  <c r="U8" i="5"/>
  <c r="U131" i="2" s="1"/>
  <c r="T8" i="5"/>
  <c r="T131" i="2" s="1"/>
  <c r="S8" i="5"/>
  <c r="S131" i="2" s="1"/>
  <c r="R8" i="5"/>
  <c r="R131" i="2" s="1"/>
  <c r="Q8" i="5"/>
  <c r="Q131" i="2" s="1"/>
  <c r="P8" i="5"/>
  <c r="P131" i="2" s="1"/>
  <c r="O8" i="5"/>
  <c r="O131" i="2" s="1"/>
  <c r="N8" i="5"/>
  <c r="N131" i="2" s="1"/>
  <c r="M8" i="5"/>
  <c r="M131" i="2" s="1"/>
  <c r="L8" i="5"/>
  <c r="L131" i="2" s="1"/>
  <c r="K8" i="5"/>
  <c r="K131" i="2" s="1"/>
  <c r="J8" i="5"/>
  <c r="J131" i="2" s="1"/>
  <c r="I8" i="5"/>
  <c r="I131" i="2" s="1"/>
  <c r="H8" i="5"/>
  <c r="H131" i="2" s="1"/>
  <c r="G8" i="5"/>
  <c r="G131" i="2" s="1"/>
  <c r="F8" i="5"/>
  <c r="F131" i="2" s="1"/>
  <c r="E8" i="5"/>
  <c r="E131" i="2" s="1"/>
  <c r="BL7" i="5"/>
  <c r="BL130" i="2" s="1"/>
  <c r="BK7" i="5"/>
  <c r="BK130" i="2" s="1"/>
  <c r="BJ7" i="5"/>
  <c r="BJ130" i="2" s="1"/>
  <c r="BI7" i="5"/>
  <c r="BI130" i="2" s="1"/>
  <c r="BH7" i="5"/>
  <c r="BH130" i="2" s="1"/>
  <c r="BG7" i="5"/>
  <c r="BG130" i="2" s="1"/>
  <c r="BF7" i="5"/>
  <c r="BF130" i="2" s="1"/>
  <c r="BE7" i="5"/>
  <c r="BE130" i="2" s="1"/>
  <c r="BD7" i="5"/>
  <c r="BD130" i="2" s="1"/>
  <c r="BC7" i="5"/>
  <c r="BC130" i="2" s="1"/>
  <c r="BB7" i="5"/>
  <c r="BB130" i="2" s="1"/>
  <c r="BA7" i="5"/>
  <c r="BA130" i="2" s="1"/>
  <c r="AZ7" i="5"/>
  <c r="AZ130" i="2" s="1"/>
  <c r="AY7" i="5"/>
  <c r="AY130" i="2" s="1"/>
  <c r="AX7" i="5"/>
  <c r="AX130" i="2" s="1"/>
  <c r="AW7" i="5"/>
  <c r="AW130" i="2" s="1"/>
  <c r="AV7" i="5"/>
  <c r="AV130" i="2" s="1"/>
  <c r="AU7" i="5"/>
  <c r="AU130" i="2" s="1"/>
  <c r="AT7" i="5"/>
  <c r="AT130" i="2" s="1"/>
  <c r="AS7" i="5"/>
  <c r="AS130" i="2" s="1"/>
  <c r="AR7" i="5"/>
  <c r="AR130" i="2" s="1"/>
  <c r="AQ7" i="5"/>
  <c r="AQ130" i="2" s="1"/>
  <c r="AP7" i="5"/>
  <c r="AP130" i="2" s="1"/>
  <c r="AO7" i="5"/>
  <c r="AO130" i="2" s="1"/>
  <c r="AN7" i="5"/>
  <c r="AN130" i="2" s="1"/>
  <c r="AM7" i="5"/>
  <c r="AM130" i="2" s="1"/>
  <c r="AL7" i="5"/>
  <c r="AL130" i="2" s="1"/>
  <c r="AK7" i="5"/>
  <c r="AK130" i="2" s="1"/>
  <c r="AJ7" i="5"/>
  <c r="AJ130" i="2" s="1"/>
  <c r="AI7" i="5"/>
  <c r="AI130" i="2" s="1"/>
  <c r="AH7" i="5"/>
  <c r="AH130" i="2" s="1"/>
  <c r="AG7" i="5"/>
  <c r="AG130" i="2" s="1"/>
  <c r="AF7" i="5"/>
  <c r="AF130" i="2" s="1"/>
  <c r="AE7" i="5"/>
  <c r="AE130" i="2" s="1"/>
  <c r="AD7" i="5"/>
  <c r="AD130" i="2" s="1"/>
  <c r="AC7" i="5"/>
  <c r="AC130" i="2" s="1"/>
  <c r="AB7" i="5"/>
  <c r="AB130" i="2" s="1"/>
  <c r="AA7" i="5"/>
  <c r="AA130" i="2" s="1"/>
  <c r="Z7" i="5"/>
  <c r="Z130" i="2" s="1"/>
  <c r="Y7" i="5"/>
  <c r="Y130" i="2" s="1"/>
  <c r="X7" i="5"/>
  <c r="X130" i="2" s="1"/>
  <c r="W7" i="5"/>
  <c r="W130" i="2" s="1"/>
  <c r="V7" i="5"/>
  <c r="V130" i="2" s="1"/>
  <c r="U7" i="5"/>
  <c r="U130" i="2" s="1"/>
  <c r="T7" i="5"/>
  <c r="T130" i="2" s="1"/>
  <c r="S7" i="5"/>
  <c r="S130" i="2" s="1"/>
  <c r="R7" i="5"/>
  <c r="R130" i="2" s="1"/>
  <c r="Q7" i="5"/>
  <c r="Q130" i="2" s="1"/>
  <c r="P7" i="5"/>
  <c r="P130" i="2" s="1"/>
  <c r="O7" i="5"/>
  <c r="O130" i="2" s="1"/>
  <c r="N7" i="5"/>
  <c r="N130" i="2" s="1"/>
  <c r="M7" i="5"/>
  <c r="M130" i="2" s="1"/>
  <c r="L7" i="5"/>
  <c r="L130" i="2" s="1"/>
  <c r="K7" i="5"/>
  <c r="K130" i="2" s="1"/>
  <c r="J7" i="5"/>
  <c r="J130" i="2" s="1"/>
  <c r="I7" i="5"/>
  <c r="I130" i="2" s="1"/>
  <c r="H7" i="5"/>
  <c r="H130" i="2" s="1"/>
  <c r="G7" i="5"/>
  <c r="G130" i="2" s="1"/>
  <c r="F7" i="5"/>
  <c r="F130" i="2" s="1"/>
  <c r="E7" i="5"/>
  <c r="E130" i="2" s="1"/>
  <c r="BL6" i="5"/>
  <c r="BL129" i="2" s="1"/>
  <c r="BK6" i="5"/>
  <c r="BK129" i="2" s="1"/>
  <c r="BJ6" i="5"/>
  <c r="BJ129" i="2" s="1"/>
  <c r="BI6" i="5"/>
  <c r="BI129" i="2" s="1"/>
  <c r="BH6" i="5"/>
  <c r="BH129" i="2" s="1"/>
  <c r="BG6" i="5"/>
  <c r="BG129" i="2" s="1"/>
  <c r="BF6" i="5"/>
  <c r="BF129" i="2" s="1"/>
  <c r="BE6" i="5"/>
  <c r="BE129" i="2" s="1"/>
  <c r="BD6" i="5"/>
  <c r="BD129" i="2" s="1"/>
  <c r="BC6" i="5"/>
  <c r="BC129" i="2" s="1"/>
  <c r="BB6" i="5"/>
  <c r="BB129" i="2" s="1"/>
  <c r="BA6" i="5"/>
  <c r="BA129" i="2" s="1"/>
  <c r="AZ6" i="5"/>
  <c r="AZ129" i="2" s="1"/>
  <c r="AY6" i="5"/>
  <c r="AY129" i="2" s="1"/>
  <c r="AX6" i="5"/>
  <c r="AX129" i="2" s="1"/>
  <c r="AW6" i="5"/>
  <c r="AW129" i="2" s="1"/>
  <c r="AV6" i="5"/>
  <c r="AV129" i="2" s="1"/>
  <c r="AU6" i="5"/>
  <c r="AU129" i="2" s="1"/>
  <c r="AT6" i="5"/>
  <c r="AT129" i="2" s="1"/>
  <c r="AS6" i="5"/>
  <c r="AS129" i="2" s="1"/>
  <c r="AR6" i="5"/>
  <c r="AR129" i="2" s="1"/>
  <c r="AQ6" i="5"/>
  <c r="AQ129" i="2" s="1"/>
  <c r="AP6" i="5"/>
  <c r="AP129" i="2" s="1"/>
  <c r="AO6" i="5"/>
  <c r="AO129" i="2" s="1"/>
  <c r="AN6" i="5"/>
  <c r="AN129" i="2" s="1"/>
  <c r="AM6" i="5"/>
  <c r="AM129" i="2" s="1"/>
  <c r="AL6" i="5"/>
  <c r="AL129" i="2" s="1"/>
  <c r="AK6" i="5"/>
  <c r="AK129" i="2" s="1"/>
  <c r="AJ6" i="5"/>
  <c r="AJ129" i="2" s="1"/>
  <c r="AI6" i="5"/>
  <c r="AI129" i="2" s="1"/>
  <c r="AH6" i="5"/>
  <c r="AH129" i="2" s="1"/>
  <c r="AG6" i="5"/>
  <c r="AG129" i="2" s="1"/>
  <c r="AF6" i="5"/>
  <c r="AF129" i="2" s="1"/>
  <c r="AE6" i="5"/>
  <c r="AE129" i="2" s="1"/>
  <c r="AD6" i="5"/>
  <c r="AD129" i="2" s="1"/>
  <c r="AC6" i="5"/>
  <c r="AC129" i="2" s="1"/>
  <c r="AB6" i="5"/>
  <c r="AB129" i="2" s="1"/>
  <c r="AA6" i="5"/>
  <c r="AA129" i="2" s="1"/>
  <c r="Z6" i="5"/>
  <c r="Z129" i="2" s="1"/>
  <c r="Y6" i="5"/>
  <c r="Y129" i="2" s="1"/>
  <c r="X6" i="5"/>
  <c r="X129" i="2" s="1"/>
  <c r="W6" i="5"/>
  <c r="W129" i="2" s="1"/>
  <c r="V6" i="5"/>
  <c r="V129" i="2" s="1"/>
  <c r="U6" i="5"/>
  <c r="U129" i="2" s="1"/>
  <c r="T6" i="5"/>
  <c r="T129" i="2" s="1"/>
  <c r="S6" i="5"/>
  <c r="S129" i="2" s="1"/>
  <c r="R6" i="5"/>
  <c r="R129" i="2" s="1"/>
  <c r="Q6" i="5"/>
  <c r="Q129" i="2" s="1"/>
  <c r="P6" i="5"/>
  <c r="P129" i="2" s="1"/>
  <c r="O6" i="5"/>
  <c r="O129" i="2" s="1"/>
  <c r="N6" i="5"/>
  <c r="N129" i="2" s="1"/>
  <c r="M6" i="5"/>
  <c r="M129" i="2" s="1"/>
  <c r="L6" i="5"/>
  <c r="L129" i="2" s="1"/>
  <c r="K6" i="5"/>
  <c r="K129" i="2" s="1"/>
  <c r="J6" i="5"/>
  <c r="J129" i="2" s="1"/>
  <c r="I6" i="5"/>
  <c r="I129" i="2" s="1"/>
  <c r="H6" i="5"/>
  <c r="H129" i="2" s="1"/>
  <c r="G6" i="5"/>
  <c r="G129" i="2" s="1"/>
  <c r="F6" i="5"/>
  <c r="F129" i="2" s="1"/>
  <c r="E6" i="5"/>
  <c r="E129" i="2" s="1"/>
  <c r="BL5" i="5"/>
  <c r="BL128" i="2" s="1"/>
  <c r="BK5" i="5"/>
  <c r="BK128" i="2" s="1"/>
  <c r="BJ5" i="5"/>
  <c r="BJ128" i="2" s="1"/>
  <c r="BI5" i="5"/>
  <c r="BI128" i="2" s="1"/>
  <c r="BH5" i="5"/>
  <c r="BH128" i="2" s="1"/>
  <c r="BG5" i="5"/>
  <c r="BG128" i="2" s="1"/>
  <c r="BF5" i="5"/>
  <c r="BF128" i="2" s="1"/>
  <c r="BE5" i="5"/>
  <c r="BE128" i="2" s="1"/>
  <c r="BD5" i="5"/>
  <c r="BD128" i="2" s="1"/>
  <c r="BC5" i="5"/>
  <c r="BC128" i="2" s="1"/>
  <c r="BB5" i="5"/>
  <c r="BB128" i="2" s="1"/>
  <c r="BA5" i="5"/>
  <c r="BA128" i="2" s="1"/>
  <c r="AZ5" i="5"/>
  <c r="AZ128" i="2" s="1"/>
  <c r="AY5" i="5"/>
  <c r="AY128" i="2" s="1"/>
  <c r="AX5" i="5"/>
  <c r="AX128" i="2" s="1"/>
  <c r="AW5" i="5"/>
  <c r="AW128" i="2" s="1"/>
  <c r="AV5" i="5"/>
  <c r="AV128" i="2" s="1"/>
  <c r="AU5" i="5"/>
  <c r="AU128" i="2" s="1"/>
  <c r="AT5" i="5"/>
  <c r="AT128" i="2" s="1"/>
  <c r="AS5" i="5"/>
  <c r="AS128" i="2" s="1"/>
  <c r="AR5" i="5"/>
  <c r="AR128" i="2" s="1"/>
  <c r="AQ5" i="5"/>
  <c r="AQ128" i="2" s="1"/>
  <c r="AP5" i="5"/>
  <c r="AP128" i="2" s="1"/>
  <c r="AO5" i="5"/>
  <c r="AO128" i="2" s="1"/>
  <c r="AN5" i="5"/>
  <c r="AN128" i="2" s="1"/>
  <c r="AM5" i="5"/>
  <c r="AM128" i="2" s="1"/>
  <c r="AL5" i="5"/>
  <c r="AL128" i="2" s="1"/>
  <c r="AK5" i="5"/>
  <c r="AK128" i="2" s="1"/>
  <c r="AJ5" i="5"/>
  <c r="AJ128" i="2" s="1"/>
  <c r="AI5" i="5"/>
  <c r="AI128" i="2" s="1"/>
  <c r="AH5" i="5"/>
  <c r="AH128" i="2" s="1"/>
  <c r="AG5" i="5"/>
  <c r="AG128" i="2" s="1"/>
  <c r="AF5" i="5"/>
  <c r="AF128" i="2" s="1"/>
  <c r="AE5" i="5"/>
  <c r="AE128" i="2" s="1"/>
  <c r="AD5" i="5"/>
  <c r="AD128" i="2" s="1"/>
  <c r="AC5" i="5"/>
  <c r="AC128" i="2" s="1"/>
  <c r="AB5" i="5"/>
  <c r="AB128" i="2" s="1"/>
  <c r="AA5" i="5"/>
  <c r="AA128" i="2" s="1"/>
  <c r="Z5" i="5"/>
  <c r="Z128" i="2" s="1"/>
  <c r="Y5" i="5"/>
  <c r="Y128" i="2" s="1"/>
  <c r="X5" i="5"/>
  <c r="X128" i="2" s="1"/>
  <c r="W5" i="5"/>
  <c r="W128" i="2" s="1"/>
  <c r="V5" i="5"/>
  <c r="V128" i="2" s="1"/>
  <c r="U5" i="5"/>
  <c r="U128" i="2" s="1"/>
  <c r="T5" i="5"/>
  <c r="T128" i="2" s="1"/>
  <c r="S5" i="5"/>
  <c r="S128" i="2" s="1"/>
  <c r="R5" i="5"/>
  <c r="R128" i="2" s="1"/>
  <c r="Q5" i="5"/>
  <c r="Q128" i="2" s="1"/>
  <c r="P5" i="5"/>
  <c r="P128" i="2" s="1"/>
  <c r="O5" i="5"/>
  <c r="O128" i="2" s="1"/>
  <c r="N5" i="5"/>
  <c r="N128" i="2" s="1"/>
  <c r="M5" i="5"/>
  <c r="M128" i="2" s="1"/>
  <c r="L5" i="5"/>
  <c r="L128" i="2" s="1"/>
  <c r="K5" i="5"/>
  <c r="K128" i="2" s="1"/>
  <c r="J5" i="5"/>
  <c r="J128" i="2" s="1"/>
  <c r="I5" i="5"/>
  <c r="I128" i="2" s="1"/>
  <c r="H5" i="5"/>
  <c r="H128" i="2" s="1"/>
  <c r="G5" i="5"/>
  <c r="G128" i="2" s="1"/>
  <c r="F5" i="5"/>
  <c r="F128" i="2" s="1"/>
  <c r="E5" i="5"/>
  <c r="E128" i="2" s="1"/>
  <c r="D2" i="5"/>
  <c r="D1"/>
  <c r="H3" i="2" a="1"/>
  <c r="J3" s="1"/>
  <c r="O3"/>
  <c r="A6" i="6"/>
  <c r="C6"/>
  <c r="A7"/>
  <c r="C7"/>
  <c r="A8"/>
  <c r="C8"/>
  <c r="A9"/>
  <c r="C9"/>
  <c r="A10"/>
  <c r="C10"/>
  <c r="A11"/>
  <c r="C11"/>
  <c r="A12"/>
  <c r="C12"/>
  <c r="A13"/>
  <c r="C13"/>
  <c r="A14"/>
  <c r="C14"/>
  <c r="A15"/>
  <c r="C15"/>
  <c r="A16"/>
  <c r="C16"/>
  <c r="A17"/>
  <c r="C17"/>
  <c r="A18"/>
  <c r="C18"/>
  <c r="A19"/>
  <c r="C19"/>
  <c r="A20"/>
  <c r="C20"/>
  <c r="A21"/>
  <c r="C21"/>
  <c r="A22"/>
  <c r="C22"/>
  <c r="A23"/>
  <c r="C23"/>
  <c r="A24"/>
  <c r="C24"/>
  <c r="A25"/>
  <c r="C25"/>
  <c r="A26"/>
  <c r="C26"/>
  <c r="A27"/>
  <c r="C27"/>
  <c r="A28"/>
  <c r="C28"/>
  <c r="A29"/>
  <c r="C29"/>
  <c r="A30"/>
  <c r="C30"/>
  <c r="A31"/>
  <c r="C31"/>
  <c r="A32"/>
  <c r="C32"/>
  <c r="A33"/>
  <c r="C33"/>
  <c r="A34"/>
  <c r="C34"/>
  <c r="A35"/>
  <c r="C35"/>
  <c r="A36"/>
  <c r="C36"/>
  <c r="A37"/>
  <c r="C37"/>
  <c r="A38"/>
  <c r="C38"/>
  <c r="A39"/>
  <c r="C39"/>
  <c r="A40"/>
  <c r="C40"/>
  <c r="A41"/>
  <c r="C41"/>
  <c r="A42"/>
  <c r="C42"/>
  <c r="A43"/>
  <c r="C43"/>
  <c r="A44"/>
  <c r="C44"/>
  <c r="A45"/>
  <c r="C45"/>
  <c r="A46"/>
  <c r="C46"/>
  <c r="A47"/>
  <c r="C47"/>
  <c r="A48"/>
  <c r="C48"/>
  <c r="A49"/>
  <c r="C49"/>
  <c r="A50"/>
  <c r="C50"/>
  <c r="A51"/>
  <c r="C51"/>
  <c r="A52"/>
  <c r="C52"/>
  <c r="A53"/>
  <c r="C53"/>
  <c r="A54"/>
  <c r="C54"/>
  <c r="A55"/>
  <c r="C55"/>
  <c r="A56"/>
  <c r="C56"/>
  <c r="A57"/>
  <c r="C57"/>
  <c r="A58"/>
  <c r="C58"/>
  <c r="A59"/>
  <c r="C59"/>
  <c r="A60"/>
  <c r="C60"/>
  <c r="A61"/>
  <c r="C61"/>
  <c r="A62"/>
  <c r="C62"/>
  <c r="A63"/>
  <c r="C63"/>
  <c r="A64"/>
  <c r="C64"/>
  <c r="A65"/>
  <c r="C65"/>
  <c r="A66"/>
  <c r="C66"/>
  <c r="A67"/>
  <c r="C67"/>
  <c r="A68"/>
  <c r="C68"/>
  <c r="A69"/>
  <c r="C69"/>
  <c r="A70"/>
  <c r="C70"/>
  <c r="A71"/>
  <c r="C71"/>
  <c r="A72"/>
  <c r="C72"/>
  <c r="A73"/>
  <c r="C73"/>
  <c r="A74"/>
  <c r="C74"/>
  <c r="A75"/>
  <c r="C75"/>
  <c r="A76"/>
  <c r="C76"/>
  <c r="A77"/>
  <c r="C77"/>
  <c r="A78"/>
  <c r="C78"/>
  <c r="A79"/>
  <c r="C79"/>
  <c r="A80"/>
  <c r="C80"/>
  <c r="A81"/>
  <c r="C81"/>
  <c r="A82"/>
  <c r="C82"/>
  <c r="A83"/>
  <c r="C83"/>
  <c r="A84"/>
  <c r="C84"/>
  <c r="A85"/>
  <c r="C85"/>
  <c r="A86"/>
  <c r="C86"/>
  <c r="A87"/>
  <c r="C87"/>
  <c r="A88"/>
  <c r="C88"/>
  <c r="A89"/>
  <c r="C89"/>
  <c r="A90"/>
  <c r="C90"/>
  <c r="A91"/>
  <c r="C91"/>
  <c r="A92"/>
  <c r="C92"/>
  <c r="A93"/>
  <c r="C93"/>
  <c r="A94"/>
  <c r="C94"/>
  <c r="A95"/>
  <c r="C95"/>
  <c r="A96"/>
  <c r="C96"/>
  <c r="A97"/>
  <c r="C97"/>
  <c r="A98"/>
  <c r="C98"/>
  <c r="A99"/>
  <c r="C99"/>
  <c r="A100"/>
  <c r="C100"/>
  <c r="A101"/>
  <c r="C101"/>
  <c r="A102"/>
  <c r="C102"/>
  <c r="A103"/>
  <c r="C103"/>
  <c r="A104"/>
  <c r="C104"/>
  <c r="A105"/>
  <c r="C105"/>
  <c r="A106"/>
  <c r="C106"/>
  <c r="A107"/>
  <c r="C107"/>
  <c r="A108"/>
  <c r="C108"/>
  <c r="A109"/>
  <c r="C109"/>
  <c r="A110"/>
  <c r="C110"/>
  <c r="A111"/>
  <c r="C111"/>
  <c r="A112"/>
  <c r="C112"/>
  <c r="A113"/>
  <c r="C113"/>
  <c r="A114"/>
  <c r="C114"/>
  <c r="A115"/>
  <c r="C115"/>
  <c r="A116"/>
  <c r="C116"/>
  <c r="A117"/>
  <c r="C117"/>
  <c r="A118"/>
  <c r="C118"/>
  <c r="A119"/>
  <c r="C119"/>
  <c r="C5"/>
  <c r="A5"/>
  <c r="A16" i="4"/>
  <c r="B16"/>
  <c r="C16"/>
  <c r="A17"/>
  <c r="B17"/>
  <c r="C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6"/>
  <c r="B6"/>
  <c r="C6"/>
  <c r="A7"/>
  <c r="B7"/>
  <c r="C7"/>
  <c r="A8"/>
  <c r="B8"/>
  <c r="C8"/>
  <c r="A9"/>
  <c r="B9"/>
  <c r="C9"/>
  <c r="A10"/>
  <c r="B10"/>
  <c r="C10"/>
  <c r="A11"/>
  <c r="B11"/>
  <c r="C11"/>
  <c r="A12"/>
  <c r="B12"/>
  <c r="C12"/>
  <c r="A13"/>
  <c r="B13"/>
  <c r="C13"/>
  <c r="A14"/>
  <c r="B14"/>
  <c r="C14"/>
  <c r="A15"/>
  <c r="B15"/>
  <c r="C15"/>
  <c r="B5"/>
  <c r="C5"/>
  <c r="A5"/>
  <c r="B4"/>
  <c r="C4"/>
  <c r="A4"/>
  <c r="A6" i="3"/>
  <c r="B6"/>
  <c r="C6"/>
  <c r="A7"/>
  <c r="B7"/>
  <c r="C7"/>
  <c r="A8"/>
  <c r="B8"/>
  <c r="C8"/>
  <c r="A9"/>
  <c r="B9"/>
  <c r="C9"/>
  <c r="A10"/>
  <c r="B10"/>
  <c r="C10"/>
  <c r="A11"/>
  <c r="B11"/>
  <c r="C11"/>
  <c r="A12"/>
  <c r="B12"/>
  <c r="C12"/>
  <c r="A13"/>
  <c r="B13"/>
  <c r="C13"/>
  <c r="A14"/>
  <c r="B14"/>
  <c r="C14"/>
  <c r="A15"/>
  <c r="B15"/>
  <c r="C15"/>
  <c r="A16"/>
  <c r="B16"/>
  <c r="C16"/>
  <c r="A17"/>
  <c r="B17"/>
  <c r="C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B5"/>
  <c r="C5"/>
  <c r="A5"/>
  <c r="B4"/>
  <c r="A4"/>
  <c r="B23"/>
  <c r="C23"/>
  <c r="B24"/>
  <c r="C20"/>
  <c r="B25"/>
  <c r="C25"/>
  <c r="C22"/>
  <c r="B22"/>
  <c r="D6" i="5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5"/>
  <c r="D36"/>
  <c r="D37"/>
  <c r="D38"/>
  <c r="D39"/>
  <c r="D40"/>
  <c r="D41"/>
  <c r="D42"/>
  <c r="D43"/>
  <c r="D44"/>
  <c r="D45"/>
  <c r="D46"/>
  <c r="D47"/>
  <c r="D48"/>
  <c r="D57"/>
  <c r="D58"/>
  <c r="D59"/>
  <c r="D60"/>
  <c r="D61"/>
  <c r="D62"/>
  <c r="D63"/>
  <c r="D64"/>
  <c r="D65"/>
  <c r="D66"/>
  <c r="D67"/>
  <c r="D68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80"/>
  <c r="B81"/>
  <c r="B82"/>
  <c r="D5"/>
  <c r="B5"/>
  <c r="E4"/>
  <c r="E127" i="2" s="1"/>
  <c r="F4" i="5"/>
  <c r="F127" i="2" s="1"/>
  <c r="G4" i="5"/>
  <c r="G127" i="2" s="1"/>
  <c r="H4" i="5"/>
  <c r="H127" i="2" s="1"/>
  <c r="I4" i="5"/>
  <c r="I127" i="2" s="1"/>
  <c r="J4" i="5"/>
  <c r="J127" i="2" s="1"/>
  <c r="K4" i="5"/>
  <c r="K127" i="2" s="1"/>
  <c r="L4" i="5"/>
  <c r="L127" i="2" s="1"/>
  <c r="M4" i="5"/>
  <c r="M127" i="2" s="1"/>
  <c r="N4" i="5"/>
  <c r="N127" i="2" s="1"/>
  <c r="O4" i="5"/>
  <c r="O127" i="2" s="1"/>
  <c r="P4" i="5"/>
  <c r="P127" i="2" s="1"/>
  <c r="Q4" i="5"/>
  <c r="Q127" i="2" s="1"/>
  <c r="R4" i="5"/>
  <c r="R127" i="2" s="1"/>
  <c r="S4" i="5"/>
  <c r="S127" i="2" s="1"/>
  <c r="T4" i="5"/>
  <c r="T127" i="2" s="1"/>
  <c r="U4" i="5"/>
  <c r="U127" i="2" s="1"/>
  <c r="V4" i="5"/>
  <c r="V127" i="2" s="1"/>
  <c r="W4" i="5"/>
  <c r="W127" i="2" s="1"/>
  <c r="X4" i="5"/>
  <c r="X127" i="2" s="1"/>
  <c r="Y4" i="5"/>
  <c r="Y127" i="2" s="1"/>
  <c r="Z4" i="5"/>
  <c r="Z127" i="2" s="1"/>
  <c r="AA4" i="5"/>
  <c r="AA127" i="2" s="1"/>
  <c r="AB4" i="5"/>
  <c r="AB127" i="2" s="1"/>
  <c r="AC4" i="5"/>
  <c r="AC127" i="2" s="1"/>
  <c r="AD4" i="5"/>
  <c r="AD127" i="2" s="1"/>
  <c r="AE4" i="5"/>
  <c r="AE127" i="2" s="1"/>
  <c r="AF4" i="5"/>
  <c r="AF127" i="2" s="1"/>
  <c r="AG4" i="5"/>
  <c r="AG127" i="2" s="1"/>
  <c r="AH4" i="5"/>
  <c r="AH127" i="2" s="1"/>
  <c r="AI4" i="5"/>
  <c r="AI127" i="2" s="1"/>
  <c r="AJ4" i="5"/>
  <c r="AJ127" i="2" s="1"/>
  <c r="AK4" i="5"/>
  <c r="AK127" i="2" s="1"/>
  <c r="AL4" i="5"/>
  <c r="AL127" i="2" s="1"/>
  <c r="AM4" i="5"/>
  <c r="AM127" i="2" s="1"/>
  <c r="AN4" i="5"/>
  <c r="AN127" i="2" s="1"/>
  <c r="AO4" i="5"/>
  <c r="AO127" i="2" s="1"/>
  <c r="AP4" i="5"/>
  <c r="AP127" i="2" s="1"/>
  <c r="AQ4" i="5"/>
  <c r="AQ127" i="2" s="1"/>
  <c r="AR4" i="5"/>
  <c r="AR127" i="2" s="1"/>
  <c r="AS4" i="5"/>
  <c r="AS127" i="2" s="1"/>
  <c r="AT4" i="5"/>
  <c r="AT127" i="2" s="1"/>
  <c r="AU4" i="5"/>
  <c r="AU127" i="2" s="1"/>
  <c r="AV4" i="5"/>
  <c r="AV127" i="2" s="1"/>
  <c r="AW4" i="5"/>
  <c r="AW127" i="2" s="1"/>
  <c r="AX4" i="5"/>
  <c r="AX127" i="2" s="1"/>
  <c r="AY4" i="5"/>
  <c r="AY127" i="2" s="1"/>
  <c r="AZ4" i="5"/>
  <c r="AZ127" i="2" s="1"/>
  <c r="BA4" i="5"/>
  <c r="BA127" i="2" s="1"/>
  <c r="BB4" i="5"/>
  <c r="BB127" i="2" s="1"/>
  <c r="BC4" i="5"/>
  <c r="BC127" i="2" s="1"/>
  <c r="BD4" i="5"/>
  <c r="BD127" i="2" s="1"/>
  <c r="BE4" i="5"/>
  <c r="BE127" i="2" s="1"/>
  <c r="BF4" i="5"/>
  <c r="BF127" i="2" s="1"/>
  <c r="BG4" i="5"/>
  <c r="BG127" i="2" s="1"/>
  <c r="BH4" i="5"/>
  <c r="BH127" i="2" s="1"/>
  <c r="BI4" i="5"/>
  <c r="BI127" i="2" s="1"/>
  <c r="BJ4" i="5"/>
  <c r="BJ127" i="2" s="1"/>
  <c r="BK4" i="5"/>
  <c r="BK127" i="2" s="1"/>
  <c r="BL4" i="5"/>
  <c r="BL127" i="2" s="1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E67"/>
  <c r="D67"/>
  <c r="J15"/>
  <c r="K3" i="5" s="1"/>
  <c r="P15" i="2"/>
  <c r="Q3" i="5" s="1"/>
  <c r="V15" i="2"/>
  <c r="W3" i="5" s="1"/>
  <c r="AB15" i="2"/>
  <c r="AC3" i="5" s="1"/>
  <c r="AH15" i="2"/>
  <c r="AI3" i="5" s="1"/>
  <c r="AN15" i="2"/>
  <c r="AO3" i="5" s="1"/>
  <c r="AT15" i="2"/>
  <c r="AU3" i="5" s="1"/>
  <c r="AZ15" i="2"/>
  <c r="BA3" i="5" s="1"/>
  <c r="BF15" i="2"/>
  <c r="BG3" i="5" s="1"/>
  <c r="D15" i="2"/>
  <c r="E3" i="5" s="1"/>
  <c r="A19" i="2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B18"/>
  <c r="C18"/>
  <c r="A18"/>
  <c r="E5" i="3"/>
  <c r="F5"/>
  <c r="G5"/>
  <c r="H5"/>
  <c r="I5"/>
  <c r="E6"/>
  <c r="F6"/>
  <c r="G6"/>
  <c r="H6"/>
  <c r="I6"/>
  <c r="E7"/>
  <c r="F7"/>
  <c r="G7"/>
  <c r="H7"/>
  <c r="I7"/>
  <c r="E8"/>
  <c r="F8"/>
  <c r="G8"/>
  <c r="H8"/>
  <c r="I8"/>
  <c r="E9"/>
  <c r="F9"/>
  <c r="G9"/>
  <c r="H9"/>
  <c r="I9"/>
  <c r="E10"/>
  <c r="F10"/>
  <c r="G10"/>
  <c r="H10"/>
  <c r="I10"/>
  <c r="E11"/>
  <c r="F11"/>
  <c r="G11"/>
  <c r="H11"/>
  <c r="I11"/>
  <c r="E12"/>
  <c r="F12"/>
  <c r="G12"/>
  <c r="H12"/>
  <c r="I12"/>
  <c r="E13"/>
  <c r="F13"/>
  <c r="G13"/>
  <c r="H13"/>
  <c r="I13"/>
  <c r="E14"/>
  <c r="F14"/>
  <c r="G14"/>
  <c r="H14"/>
  <c r="I14"/>
  <c r="E15"/>
  <c r="F15"/>
  <c r="G15"/>
  <c r="H15"/>
  <c r="I15"/>
  <c r="E16"/>
  <c r="F16"/>
  <c r="G16"/>
  <c r="H16"/>
  <c r="I16"/>
  <c r="E17"/>
  <c r="F17"/>
  <c r="G17"/>
  <c r="H17"/>
  <c r="I17"/>
  <c r="E18"/>
  <c r="F18"/>
  <c r="G18"/>
  <c r="H18"/>
  <c r="I18"/>
  <c r="E19"/>
  <c r="F19"/>
  <c r="G19"/>
  <c r="H19"/>
  <c r="I19"/>
  <c r="E20"/>
  <c r="F20"/>
  <c r="G20"/>
  <c r="H20"/>
  <c r="I20"/>
  <c r="E21"/>
  <c r="F21"/>
  <c r="G21"/>
  <c r="H21"/>
  <c r="I21"/>
  <c r="E22"/>
  <c r="F22"/>
  <c r="G22"/>
  <c r="H22"/>
  <c r="I22"/>
  <c r="E23"/>
  <c r="F23"/>
  <c r="G23"/>
  <c r="H23"/>
  <c r="I23"/>
  <c r="E24"/>
  <c r="F24"/>
  <c r="G24"/>
  <c r="H24"/>
  <c r="I24"/>
  <c r="E25"/>
  <c r="F25"/>
  <c r="G25"/>
  <c r="H25"/>
  <c r="I25"/>
  <c r="E26"/>
  <c r="F26"/>
  <c r="G26"/>
  <c r="H26"/>
  <c r="I26"/>
  <c r="E27"/>
  <c r="F27"/>
  <c r="G27"/>
  <c r="H27"/>
  <c r="I27"/>
  <c r="E28"/>
  <c r="F28"/>
  <c r="G28"/>
  <c r="H28"/>
  <c r="I28"/>
  <c r="E29"/>
  <c r="F29"/>
  <c r="G29"/>
  <c r="H29"/>
  <c r="I29"/>
  <c r="E30"/>
  <c r="F30"/>
  <c r="G30"/>
  <c r="H30"/>
  <c r="I30"/>
  <c r="E31"/>
  <c r="F31"/>
  <c r="G31"/>
  <c r="H31"/>
  <c r="I31"/>
  <c r="E32"/>
  <c r="F32"/>
  <c r="G32"/>
  <c r="H32"/>
  <c r="I32"/>
  <c r="E33"/>
  <c r="F33"/>
  <c r="G33"/>
  <c r="H33"/>
  <c r="I33"/>
  <c r="E34"/>
  <c r="F34"/>
  <c r="G34"/>
  <c r="H34"/>
  <c r="I34"/>
  <c r="E35"/>
  <c r="F35"/>
  <c r="G35"/>
  <c r="H35"/>
  <c r="I35"/>
  <c r="E36"/>
  <c r="F36"/>
  <c r="G36"/>
  <c r="H36"/>
  <c r="I36"/>
  <c r="E37"/>
  <c r="F37"/>
  <c r="G37"/>
  <c r="H37"/>
  <c r="I37"/>
  <c r="E38"/>
  <c r="F38"/>
  <c r="G38"/>
  <c r="H38"/>
  <c r="I38"/>
  <c r="E39"/>
  <c r="F39"/>
  <c r="G39"/>
  <c r="H39"/>
  <c r="I39"/>
  <c r="E40"/>
  <c r="F40"/>
  <c r="G40"/>
  <c r="H40"/>
  <c r="I40"/>
  <c r="E41"/>
  <c r="F41"/>
  <c r="G41"/>
  <c r="H41"/>
  <c r="I41"/>
  <c r="E42"/>
  <c r="F42"/>
  <c r="G42"/>
  <c r="H42"/>
  <c r="I42"/>
  <c r="E43"/>
  <c r="F43"/>
  <c r="G43"/>
  <c r="H43"/>
  <c r="I43"/>
  <c r="E44"/>
  <c r="F44"/>
  <c r="G44"/>
  <c r="H44"/>
  <c r="I44"/>
  <c r="E45"/>
  <c r="F45"/>
  <c r="G45"/>
  <c r="H45"/>
  <c r="I45"/>
  <c r="E46"/>
  <c r="F46"/>
  <c r="G46"/>
  <c r="H46"/>
  <c r="I46"/>
  <c r="E47"/>
  <c r="F47"/>
  <c r="G47"/>
  <c r="H47"/>
  <c r="I47"/>
  <c r="E48"/>
  <c r="F48"/>
  <c r="G48"/>
  <c r="H48"/>
  <c r="I48"/>
  <c r="E49"/>
  <c r="F49"/>
  <c r="G49"/>
  <c r="H49"/>
  <c r="I49"/>
  <c r="E50"/>
  <c r="F50"/>
  <c r="G50"/>
  <c r="H50"/>
  <c r="I50"/>
  <c r="E51"/>
  <c r="F51"/>
  <c r="G51"/>
  <c r="H51"/>
  <c r="I51"/>
  <c r="E52"/>
  <c r="F52"/>
  <c r="G52"/>
  <c r="H52"/>
  <c r="I52"/>
  <c r="E53"/>
  <c r="F53"/>
  <c r="G53"/>
  <c r="H53"/>
  <c r="I53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"/>
  <c r="G29" i="1"/>
  <c r="G31"/>
  <c r="G33"/>
  <c r="G35"/>
  <c r="G37"/>
  <c r="G39"/>
  <c r="G41"/>
  <c r="G43"/>
  <c r="G45"/>
  <c r="G47"/>
  <c r="G49"/>
  <c r="G51"/>
  <c r="G53"/>
  <c r="G55"/>
  <c r="G57"/>
  <c r="G59"/>
  <c r="G61"/>
  <c r="G63"/>
  <c r="G65"/>
  <c r="G67"/>
  <c r="G69"/>
  <c r="G71"/>
  <c r="G73"/>
  <c r="G75"/>
  <c r="H28"/>
  <c r="O28"/>
  <c r="AF28"/>
  <c r="Y29"/>
  <c r="Q30"/>
  <c r="AH30"/>
  <c r="AA31"/>
  <c r="X32"/>
  <c r="P33"/>
  <c r="AG33"/>
  <c r="Z34"/>
  <c r="S35"/>
  <c r="O36"/>
  <c r="AF36"/>
  <c r="Y37"/>
  <c r="Q38"/>
  <c r="AH38"/>
  <c r="AA39"/>
  <c r="X40"/>
  <c r="P41"/>
  <c r="AG41"/>
  <c r="Z42"/>
  <c r="S43"/>
  <c r="O44"/>
  <c r="AF44"/>
  <c r="Y45"/>
  <c r="Q46"/>
  <c r="AH46"/>
  <c r="AA47"/>
  <c r="X48"/>
  <c r="P49"/>
  <c r="AG49"/>
  <c r="Z50"/>
  <c r="S51"/>
  <c r="O52"/>
  <c r="AF52"/>
  <c r="Y53"/>
  <c r="Q54"/>
  <c r="AH54"/>
  <c r="AA55"/>
  <c r="X56"/>
  <c r="P57"/>
  <c r="AG57"/>
  <c r="Z58"/>
  <c r="S59"/>
  <c r="O60"/>
  <c r="AF60"/>
  <c r="Y61"/>
  <c r="Q62"/>
  <c r="AH62"/>
  <c r="AA63"/>
  <c r="X64"/>
  <c r="P65"/>
  <c r="N28"/>
  <c r="AE28"/>
  <c r="AB29"/>
  <c r="U30"/>
  <c r="M31"/>
  <c r="AD31"/>
  <c r="W32"/>
  <c r="T33"/>
  <c r="K34"/>
  <c r="AC34"/>
  <c r="V35"/>
  <c r="N36"/>
  <c r="AE36"/>
  <c r="AB37"/>
  <c r="U38"/>
  <c r="M39"/>
  <c r="AD39"/>
  <c r="W40"/>
  <c r="T41"/>
  <c r="K42"/>
  <c r="AC42"/>
  <c r="V43"/>
  <c r="N44"/>
  <c r="AE44"/>
  <c r="AB45"/>
  <c r="U46"/>
  <c r="M47"/>
  <c r="AD47"/>
  <c r="W48"/>
  <c r="T49"/>
  <c r="K50"/>
  <c r="AC50"/>
  <c r="V51"/>
  <c r="N52"/>
  <c r="AE52"/>
  <c r="AB53"/>
  <c r="U54"/>
  <c r="M55"/>
  <c r="AD55"/>
  <c r="W56"/>
  <c r="T57"/>
  <c r="K58"/>
  <c r="AC58"/>
  <c r="V59"/>
  <c r="N60"/>
  <c r="AE60"/>
  <c r="AB61"/>
  <c r="U62"/>
  <c r="M63"/>
  <c r="AD63"/>
  <c r="W64"/>
  <c r="T65"/>
  <c r="M28"/>
  <c r="AD28"/>
  <c r="W29"/>
  <c r="T30"/>
  <c r="K31"/>
  <c r="AC31"/>
  <c r="V32"/>
  <c r="N33"/>
  <c r="AE33"/>
  <c r="AB34"/>
  <c r="U35"/>
  <c r="M36"/>
  <c r="AD36"/>
  <c r="W37"/>
  <c r="T38"/>
  <c r="K39"/>
  <c r="AC39"/>
  <c r="V40"/>
  <c r="N41"/>
  <c r="AE41"/>
  <c r="AB42"/>
  <c r="U43"/>
  <c r="M44"/>
  <c r="AD44"/>
  <c r="W45"/>
  <c r="T46"/>
  <c r="K47"/>
  <c r="AC47"/>
  <c r="V48"/>
  <c r="N49"/>
  <c r="AE49"/>
  <c r="AB50"/>
  <c r="U51"/>
  <c r="M52"/>
  <c r="AD52"/>
  <c r="W53"/>
  <c r="T54"/>
  <c r="K55"/>
  <c r="AC55"/>
  <c r="V56"/>
  <c r="N57"/>
  <c r="AE57"/>
  <c r="AB58"/>
  <c r="U59"/>
  <c r="M60"/>
  <c r="AD60"/>
  <c r="W61"/>
  <c r="T62"/>
  <c r="K28"/>
  <c r="AC28"/>
  <c r="V29"/>
  <c r="N30"/>
  <c r="AE30"/>
  <c r="AB31"/>
  <c r="U32"/>
  <c r="M33"/>
  <c r="AD33"/>
  <c r="W34"/>
  <c r="T35"/>
  <c r="K36"/>
  <c r="AC36"/>
  <c r="V37"/>
  <c r="N38"/>
  <c r="AE38"/>
  <c r="AB39"/>
  <c r="U40"/>
  <c r="M41"/>
  <c r="AD41"/>
  <c r="W42"/>
  <c r="T43"/>
  <c r="K44"/>
  <c r="AC44"/>
  <c r="V45"/>
  <c r="N46"/>
  <c r="AE46"/>
  <c r="AB47"/>
  <c r="U48"/>
  <c r="M49"/>
  <c r="AD49"/>
  <c r="F29"/>
  <c r="J29"/>
  <c r="H30"/>
  <c r="F31"/>
  <c r="J31"/>
  <c r="H32"/>
  <c r="F33"/>
  <c r="J33"/>
  <c r="H34"/>
  <c r="F35"/>
  <c r="J35"/>
  <c r="H36"/>
  <c r="F37"/>
  <c r="J37"/>
  <c r="H38"/>
  <c r="F39"/>
  <c r="J39"/>
  <c r="H40"/>
  <c r="F41"/>
  <c r="J41"/>
  <c r="H42"/>
  <c r="F43"/>
  <c r="J43"/>
  <c r="H44"/>
  <c r="F45"/>
  <c r="J45"/>
  <c r="H46"/>
  <c r="F47"/>
  <c r="J47"/>
  <c r="H48"/>
  <c r="F49"/>
  <c r="J49"/>
  <c r="H50"/>
  <c r="F51"/>
  <c r="J51"/>
  <c r="H52"/>
  <c r="F53"/>
  <c r="J53"/>
  <c r="H54"/>
  <c r="F55"/>
  <c r="J55"/>
  <c r="H56"/>
  <c r="F57"/>
  <c r="J57"/>
  <c r="H58"/>
  <c r="F59"/>
  <c r="J59"/>
  <c r="H60"/>
  <c r="F61"/>
  <c r="J61"/>
  <c r="H62"/>
  <c r="F63"/>
  <c r="J63"/>
  <c r="H64"/>
  <c r="F65"/>
  <c r="J65"/>
  <c r="H66"/>
  <c r="F67"/>
  <c r="J67"/>
  <c r="H68"/>
  <c r="F69"/>
  <c r="J69"/>
  <c r="H70"/>
  <c r="F71"/>
  <c r="J71"/>
  <c r="H72"/>
  <c r="F73"/>
  <c r="J73"/>
  <c r="H74"/>
  <c r="F75"/>
  <c r="J75"/>
  <c r="H76"/>
  <c r="G28"/>
  <c r="G30"/>
  <c r="G32"/>
  <c r="G34"/>
  <c r="G36"/>
  <c r="G38"/>
  <c r="G40"/>
  <c r="G42"/>
  <c r="G44"/>
  <c r="G46"/>
  <c r="G48"/>
  <c r="G50"/>
  <c r="G52"/>
  <c r="G54"/>
  <c r="G56"/>
  <c r="G58"/>
  <c r="G60"/>
  <c r="G62"/>
  <c r="G64"/>
  <c r="G66"/>
  <c r="G68"/>
  <c r="G70"/>
  <c r="G72"/>
  <c r="G74"/>
  <c r="G76"/>
  <c r="F28"/>
  <c r="J28"/>
  <c r="X28"/>
  <c r="P29"/>
  <c r="AG29"/>
  <c r="Z30"/>
  <c r="S31"/>
  <c r="O32"/>
  <c r="AF32"/>
  <c r="Y33"/>
  <c r="Q34"/>
  <c r="AH34"/>
  <c r="AA35"/>
  <c r="X36"/>
  <c r="P37"/>
  <c r="AG37"/>
  <c r="Z38"/>
  <c r="S39"/>
  <c r="O40"/>
  <c r="AF40"/>
  <c r="Y41"/>
  <c r="Q42"/>
  <c r="AH42"/>
  <c r="AA43"/>
  <c r="X44"/>
  <c r="P45"/>
  <c r="AG45"/>
  <c r="Z46"/>
  <c r="S47"/>
  <c r="O48"/>
  <c r="AF48"/>
  <c r="Y49"/>
  <c r="Q50"/>
  <c r="AH50"/>
  <c r="AA51"/>
  <c r="X52"/>
  <c r="P53"/>
  <c r="AG53"/>
  <c r="Z54"/>
  <c r="S55"/>
  <c r="O56"/>
  <c r="AF56"/>
  <c r="Y57"/>
  <c r="Q58"/>
  <c r="AH58"/>
  <c r="AA59"/>
  <c r="X60"/>
  <c r="P61"/>
  <c r="AG61"/>
  <c r="Z62"/>
  <c r="S63"/>
  <c r="O64"/>
  <c r="AF64"/>
  <c r="Y65"/>
  <c r="W28"/>
  <c r="T29"/>
  <c r="K30"/>
  <c r="AC30"/>
  <c r="V31"/>
  <c r="N32"/>
  <c r="AE32"/>
  <c r="AB33"/>
  <c r="U34"/>
  <c r="M35"/>
  <c r="AD35"/>
  <c r="W36"/>
  <c r="T37"/>
  <c r="K38"/>
  <c r="AC38"/>
  <c r="V39"/>
  <c r="N40"/>
  <c r="AE40"/>
  <c r="AB41"/>
  <c r="U42"/>
  <c r="M43"/>
  <c r="AD43"/>
  <c r="W44"/>
  <c r="T45"/>
  <c r="K46"/>
  <c r="AC46"/>
  <c r="V47"/>
  <c r="N48"/>
  <c r="AE48"/>
  <c r="AB49"/>
  <c r="U50"/>
  <c r="M51"/>
  <c r="AD51"/>
  <c r="W52"/>
  <c r="T53"/>
  <c r="K54"/>
  <c r="AC54"/>
  <c r="V55"/>
  <c r="N56"/>
  <c r="AE56"/>
  <c r="AB57"/>
  <c r="U58"/>
  <c r="M59"/>
  <c r="AD59"/>
  <c r="W60"/>
  <c r="T61"/>
  <c r="K62"/>
  <c r="AC62"/>
  <c r="V63"/>
  <c r="N64"/>
  <c r="AE64"/>
  <c r="AB65"/>
  <c r="V28"/>
  <c r="N29"/>
  <c r="AE29"/>
  <c r="AB30"/>
  <c r="U31"/>
  <c r="M32"/>
  <c r="AD32"/>
  <c r="W33"/>
  <c r="T34"/>
  <c r="K35"/>
  <c r="AC35"/>
  <c r="V36"/>
  <c r="N37"/>
  <c r="AE37"/>
  <c r="AB38"/>
  <c r="U39"/>
  <c r="M40"/>
  <c r="AD40"/>
  <c r="W41"/>
  <c r="T42"/>
  <c r="K43"/>
  <c r="AC43"/>
  <c r="V44"/>
  <c r="N45"/>
  <c r="AE45"/>
  <c r="AB46"/>
  <c r="U47"/>
  <c r="M48"/>
  <c r="AD48"/>
  <c r="W49"/>
  <c r="T50"/>
  <c r="K51"/>
  <c r="AC51"/>
  <c r="V52"/>
  <c r="N53"/>
  <c r="AE53"/>
  <c r="AB54"/>
  <c r="U55"/>
  <c r="M56"/>
  <c r="AD56"/>
  <c r="W57"/>
  <c r="T58"/>
  <c r="K59"/>
  <c r="AC59"/>
  <c r="V60"/>
  <c r="N61"/>
  <c r="AE61"/>
  <c r="AB62"/>
  <c r="U28"/>
  <c r="M29"/>
  <c r="AD29"/>
  <c r="W30"/>
  <c r="T31"/>
  <c r="K32"/>
  <c r="AC32"/>
  <c r="V33"/>
  <c r="N34"/>
  <c r="AE34"/>
  <c r="AB35"/>
  <c r="U36"/>
  <c r="M37"/>
  <c r="AD37"/>
  <c r="W38"/>
  <c r="T39"/>
  <c r="K40"/>
  <c r="AC40"/>
  <c r="V41"/>
  <c r="N42"/>
  <c r="AE42"/>
  <c r="AB43"/>
  <c r="U44"/>
  <c r="M45"/>
  <c r="AD45"/>
  <c r="W46"/>
  <c r="T47"/>
  <c r="K48"/>
  <c r="AC48"/>
  <c r="V49"/>
  <c r="H29"/>
  <c r="F30"/>
  <c r="J30"/>
  <c r="H31"/>
  <c r="F32"/>
  <c r="J32"/>
  <c r="H33"/>
  <c r="F34"/>
  <c r="J34"/>
  <c r="H35"/>
  <c r="F36"/>
  <c r="J36"/>
  <c r="H37"/>
  <c r="F38"/>
  <c r="J38"/>
  <c r="H39"/>
  <c r="F40"/>
  <c r="J40"/>
  <c r="H41"/>
  <c r="F42"/>
  <c r="J42"/>
  <c r="H43"/>
  <c r="F44"/>
  <c r="J44"/>
  <c r="H45"/>
  <c r="F46"/>
  <c r="J46"/>
  <c r="H47"/>
  <c r="F48"/>
  <c r="J48"/>
  <c r="H49"/>
  <c r="F50"/>
  <c r="J50"/>
  <c r="H51"/>
  <c r="F52"/>
  <c r="J52"/>
  <c r="H53"/>
  <c r="F54"/>
  <c r="J54"/>
  <c r="H55"/>
  <c r="F56"/>
  <c r="J56"/>
  <c r="H57"/>
  <c r="F58"/>
  <c r="J58"/>
  <c r="H59"/>
  <c r="F60"/>
  <c r="J60"/>
  <c r="H61"/>
  <c r="F62"/>
  <c r="J62"/>
  <c r="H63"/>
  <c r="F64"/>
  <c r="J64"/>
  <c r="H65"/>
  <c r="F66"/>
  <c r="J66"/>
  <c r="H67"/>
  <c r="F68"/>
  <c r="J68"/>
  <c r="H69"/>
  <c r="F70"/>
  <c r="J70"/>
  <c r="H71"/>
  <c r="F72"/>
  <c r="J72"/>
  <c r="H73"/>
  <c r="F74"/>
  <c r="J74"/>
  <c r="H75"/>
  <c r="F76"/>
  <c r="J76"/>
  <c r="T28"/>
  <c r="K29"/>
  <c r="AC29"/>
  <c r="V30"/>
  <c r="N31"/>
  <c r="AE31"/>
  <c r="AB32"/>
  <c r="U33"/>
  <c r="M34"/>
  <c r="AD34"/>
  <c r="W35"/>
  <c r="T36"/>
  <c r="K37"/>
  <c r="AC37"/>
  <c r="V38"/>
  <c r="N39"/>
  <c r="AE39"/>
  <c r="AB40"/>
  <c r="U41"/>
  <c r="M42"/>
  <c r="AD42"/>
  <c r="W43"/>
  <c r="T44"/>
  <c r="K45"/>
  <c r="AC45"/>
  <c r="V46"/>
  <c r="N47"/>
  <c r="AE47"/>
  <c r="AB48"/>
  <c r="U49"/>
  <c r="M50"/>
  <c r="AD50"/>
  <c r="W51"/>
  <c r="T52"/>
  <c r="K53"/>
  <c r="M30"/>
  <c r="K33"/>
  <c r="AE35"/>
  <c r="AD38"/>
  <c r="AC41"/>
  <c r="AB44"/>
  <c r="W47"/>
  <c r="V50"/>
  <c r="U53"/>
  <c r="AD54"/>
  <c r="T56"/>
  <c r="AC57"/>
  <c r="N59"/>
  <c r="AB60"/>
  <c r="M62"/>
  <c r="W63"/>
  <c r="K65"/>
  <c r="AA28"/>
  <c r="P30"/>
  <c r="Z31"/>
  <c r="O33"/>
  <c r="Y34"/>
  <c r="AH35"/>
  <c r="X37"/>
  <c r="AG38"/>
  <c r="S40"/>
  <c r="AF41"/>
  <c r="Q43"/>
  <c r="AA44"/>
  <c r="P46"/>
  <c r="Z47"/>
  <c r="O49"/>
  <c r="Y50"/>
  <c r="AH51"/>
  <c r="X53"/>
  <c r="AG54"/>
  <c r="S56"/>
  <c r="AF57"/>
  <c r="Q59"/>
  <c r="AA60"/>
  <c r="P62"/>
  <c r="Z63"/>
  <c r="O65"/>
  <c r="Z28"/>
  <c r="O30"/>
  <c r="Y31"/>
  <c r="AH32"/>
  <c r="X34"/>
  <c r="AG35"/>
  <c r="S37"/>
  <c r="AF38"/>
  <c r="Q40"/>
  <c r="AA41"/>
  <c r="P43"/>
  <c r="Z44"/>
  <c r="O46"/>
  <c r="Y47"/>
  <c r="AH48"/>
  <c r="X50"/>
  <c r="AG51"/>
  <c r="S53"/>
  <c r="AF54"/>
  <c r="Q56"/>
  <c r="AA57"/>
  <c r="P59"/>
  <c r="Z60"/>
  <c r="O62"/>
  <c r="Y28"/>
  <c r="AH29"/>
  <c r="X31"/>
  <c r="AG32"/>
  <c r="S34"/>
  <c r="AF35"/>
  <c r="Q37"/>
  <c r="AA38"/>
  <c r="P40"/>
  <c r="Z41"/>
  <c r="O43"/>
  <c r="Y44"/>
  <c r="AH45"/>
  <c r="X47"/>
  <c r="AG48"/>
  <c r="N50"/>
  <c r="AE50"/>
  <c r="AB51"/>
  <c r="U52"/>
  <c r="M53"/>
  <c r="AD53"/>
  <c r="W54"/>
  <c r="T55"/>
  <c r="K56"/>
  <c r="AC56"/>
  <c r="V57"/>
  <c r="N58"/>
  <c r="AE58"/>
  <c r="AB59"/>
  <c r="U60"/>
  <c r="M61"/>
  <c r="AD61"/>
  <c r="W62"/>
  <c r="T63"/>
  <c r="K64"/>
  <c r="AC64"/>
  <c r="V65"/>
  <c r="N65"/>
  <c r="X66"/>
  <c r="P67"/>
  <c r="AG67"/>
  <c r="Z68"/>
  <c r="S69"/>
  <c r="O70"/>
  <c r="AF70"/>
  <c r="Y71"/>
  <c r="Q72"/>
  <c r="AH72"/>
  <c r="AA73"/>
  <c r="X74"/>
  <c r="P75"/>
  <c r="AG75"/>
  <c r="Z76"/>
  <c r="AG63"/>
  <c r="N66"/>
  <c r="AE66"/>
  <c r="AB67"/>
  <c r="U68"/>
  <c r="M69"/>
  <c r="AD69"/>
  <c r="W70"/>
  <c r="T71"/>
  <c r="K72"/>
  <c r="AC72"/>
  <c r="V73"/>
  <c r="N74"/>
  <c r="AE74"/>
  <c r="AB75"/>
  <c r="U76"/>
  <c r="K63"/>
  <c r="W65"/>
  <c r="V66"/>
  <c r="N67"/>
  <c r="AE67"/>
  <c r="AB68"/>
  <c r="U69"/>
  <c r="M70"/>
  <c r="AD70"/>
  <c r="W71"/>
  <c r="T72"/>
  <c r="K73"/>
  <c r="AC73"/>
  <c r="V74"/>
  <c r="N75"/>
  <c r="AE75"/>
  <c r="AB76"/>
  <c r="AD64"/>
  <c r="P66"/>
  <c r="AG66"/>
  <c r="Z67"/>
  <c r="S68"/>
  <c r="O69"/>
  <c r="AF69"/>
  <c r="Y70"/>
  <c r="Q71"/>
  <c r="AH71"/>
  <c r="AA72"/>
  <c r="X73"/>
  <c r="P74"/>
  <c r="AG74"/>
  <c r="Z75"/>
  <c r="S76"/>
  <c r="AO28"/>
  <c r="BF28"/>
  <c r="AX29"/>
  <c r="AO30"/>
  <c r="BF30"/>
  <c r="AX31"/>
  <c r="AO32"/>
  <c r="BF32"/>
  <c r="AX33"/>
  <c r="AO34"/>
  <c r="BF34"/>
  <c r="AX35"/>
  <c r="AO36"/>
  <c r="BF36"/>
  <c r="AX37"/>
  <c r="AO38"/>
  <c r="BF38"/>
  <c r="AX39"/>
  <c r="AO40"/>
  <c r="BF40"/>
  <c r="AX41"/>
  <c r="AO42"/>
  <c r="BF42"/>
  <c r="AX43"/>
  <c r="AO44"/>
  <c r="BF44"/>
  <c r="AX45"/>
  <c r="AO46"/>
  <c r="BF46"/>
  <c r="AX47"/>
  <c r="AO48"/>
  <c r="BF48"/>
  <c r="AX49"/>
  <c r="AO50"/>
  <c r="BF50"/>
  <c r="AX51"/>
  <c r="AO52"/>
  <c r="BF52"/>
  <c r="AX53"/>
  <c r="AO54"/>
  <c r="BF54"/>
  <c r="AX55"/>
  <c r="AO56"/>
  <c r="BF56"/>
  <c r="AX57"/>
  <c r="AO58"/>
  <c r="BF58"/>
  <c r="AX59"/>
  <c r="AO60"/>
  <c r="BF60"/>
  <c r="AX61"/>
  <c r="AO62"/>
  <c r="BF62"/>
  <c r="AX63"/>
  <c r="AO64"/>
  <c r="BF64"/>
  <c r="AX65"/>
  <c r="BA28"/>
  <c r="AW29"/>
  <c r="AS30"/>
  <c r="BI30"/>
  <c r="BE31"/>
  <c r="BA32"/>
  <c r="AW33"/>
  <c r="AS34"/>
  <c r="BI34"/>
  <c r="BE35"/>
  <c r="BA36"/>
  <c r="AW37"/>
  <c r="AS38"/>
  <c r="BI38"/>
  <c r="BE39"/>
  <c r="BA40"/>
  <c r="AW41"/>
  <c r="AS42"/>
  <c r="BI42"/>
  <c r="BE43"/>
  <c r="BA44"/>
  <c r="AW45"/>
  <c r="AS46"/>
  <c r="BI46"/>
  <c r="BE47"/>
  <c r="BA48"/>
  <c r="AW49"/>
  <c r="AS50"/>
  <c r="BI50"/>
  <c r="BE51"/>
  <c r="U29"/>
  <c r="T32"/>
  <c r="N35"/>
  <c r="M38"/>
  <c r="K41"/>
  <c r="AE43"/>
  <c r="AD46"/>
  <c r="AC49"/>
  <c r="AB52"/>
  <c r="V54"/>
  <c r="AE55"/>
  <c r="U57"/>
  <c r="AD58"/>
  <c r="T60"/>
  <c r="AC61"/>
  <c r="N63"/>
  <c r="AB64"/>
  <c r="S28"/>
  <c r="AF29"/>
  <c r="Q31"/>
  <c r="AA32"/>
  <c r="P34"/>
  <c r="Z35"/>
  <c r="O37"/>
  <c r="Y38"/>
  <c r="AH39"/>
  <c r="X41"/>
  <c r="AG42"/>
  <c r="S44"/>
  <c r="AF45"/>
  <c r="Q47"/>
  <c r="AA48"/>
  <c r="P50"/>
  <c r="Z51"/>
  <c r="O53"/>
  <c r="Y54"/>
  <c r="AH55"/>
  <c r="X57"/>
  <c r="AG58"/>
  <c r="S60"/>
  <c r="AF61"/>
  <c r="Q63"/>
  <c r="AA64"/>
  <c r="Q28"/>
  <c r="AA29"/>
  <c r="P31"/>
  <c r="Z32"/>
  <c r="O34"/>
  <c r="Y35"/>
  <c r="AH36"/>
  <c r="X38"/>
  <c r="AG39"/>
  <c r="S41"/>
  <c r="AF42"/>
  <c r="Q44"/>
  <c r="AA45"/>
  <c r="P47"/>
  <c r="Z48"/>
  <c r="O50"/>
  <c r="Y51"/>
  <c r="AH52"/>
  <c r="X54"/>
  <c r="AG55"/>
  <c r="S57"/>
  <c r="AF58"/>
  <c r="Q60"/>
  <c r="AA61"/>
  <c r="P28"/>
  <c r="Z29"/>
  <c r="O31"/>
  <c r="Y32"/>
  <c r="AH33"/>
  <c r="X35"/>
  <c r="AG36"/>
  <c r="S38"/>
  <c r="AF39"/>
  <c r="Q41"/>
  <c r="AA42"/>
  <c r="P44"/>
  <c r="Z45"/>
  <c r="O47"/>
  <c r="Y48"/>
  <c r="AH49"/>
  <c r="AA50"/>
  <c r="X51"/>
  <c r="P52"/>
  <c r="AG52"/>
  <c r="Z53"/>
  <c r="S54"/>
  <c r="O55"/>
  <c r="AF55"/>
  <c r="Y56"/>
  <c r="Q57"/>
  <c r="AH57"/>
  <c r="AA58"/>
  <c r="X59"/>
  <c r="P60"/>
  <c r="AG60"/>
  <c r="Z61"/>
  <c r="S62"/>
  <c r="O63"/>
  <c r="AF63"/>
  <c r="Y64"/>
  <c r="Q65"/>
  <c r="Z64"/>
  <c r="T66"/>
  <c r="K67"/>
  <c r="AC67"/>
  <c r="V68"/>
  <c r="N69"/>
  <c r="AE69"/>
  <c r="AB70"/>
  <c r="U71"/>
  <c r="M72"/>
  <c r="AD72"/>
  <c r="W73"/>
  <c r="T74"/>
  <c r="K75"/>
  <c r="AC75"/>
  <c r="V76"/>
  <c r="P63"/>
  <c r="AH65"/>
  <c r="AA66"/>
  <c r="X67"/>
  <c r="P68"/>
  <c r="AG68"/>
  <c r="Z69"/>
  <c r="S70"/>
  <c r="O71"/>
  <c r="AF71"/>
  <c r="Y72"/>
  <c r="Q73"/>
  <c r="AH73"/>
  <c r="AA74"/>
  <c r="X75"/>
  <c r="P76"/>
  <c r="AG76"/>
  <c r="AH64"/>
  <c r="Q66"/>
  <c r="AH66"/>
  <c r="AA67"/>
  <c r="X68"/>
  <c r="P69"/>
  <c r="AG69"/>
  <c r="Z70"/>
  <c r="S71"/>
  <c r="O72"/>
  <c r="AF72"/>
  <c r="Y73"/>
  <c r="Q74"/>
  <c r="AH74"/>
  <c r="AA75"/>
  <c r="X76"/>
  <c r="M64"/>
  <c r="K66"/>
  <c r="AC66"/>
  <c r="V67"/>
  <c r="N68"/>
  <c r="AE68"/>
  <c r="AB69"/>
  <c r="U70"/>
  <c r="M71"/>
  <c r="AD71"/>
  <c r="W72"/>
  <c r="T73"/>
  <c r="K74"/>
  <c r="AC74"/>
  <c r="V75"/>
  <c r="N76"/>
  <c r="AE76"/>
  <c r="BB28"/>
  <c r="AT29"/>
  <c r="BJ29"/>
  <c r="BB30"/>
  <c r="AT31"/>
  <c r="BJ31"/>
  <c r="BB32"/>
  <c r="AT33"/>
  <c r="BJ33"/>
  <c r="BB34"/>
  <c r="AT35"/>
  <c r="BJ35"/>
  <c r="BB36"/>
  <c r="AT37"/>
  <c r="BJ37"/>
  <c r="BB38"/>
  <c r="AT39"/>
  <c r="BJ39"/>
  <c r="BB40"/>
  <c r="AT41"/>
  <c r="BJ41"/>
  <c r="BB42"/>
  <c r="AT43"/>
  <c r="BJ43"/>
  <c r="BB44"/>
  <c r="AT45"/>
  <c r="BJ45"/>
  <c r="BB46"/>
  <c r="AT47"/>
  <c r="BJ47"/>
  <c r="BB48"/>
  <c r="AT49"/>
  <c r="BJ49"/>
  <c r="BB50"/>
  <c r="AT51"/>
  <c r="BJ51"/>
  <c r="BB52"/>
  <c r="AT53"/>
  <c r="BJ53"/>
  <c r="BB54"/>
  <c r="AT55"/>
  <c r="BJ55"/>
  <c r="BB56"/>
  <c r="AT57"/>
  <c r="BJ57"/>
  <c r="BB58"/>
  <c r="AT59"/>
  <c r="BJ59"/>
  <c r="BB60"/>
  <c r="AT61"/>
  <c r="BJ61"/>
  <c r="BB62"/>
  <c r="AT63"/>
  <c r="BJ63"/>
  <c r="BB64"/>
  <c r="AT65"/>
  <c r="AW28"/>
  <c r="AS29"/>
  <c r="BI29"/>
  <c r="BE30"/>
  <c r="BA31"/>
  <c r="AW32"/>
  <c r="AS33"/>
  <c r="BI33"/>
  <c r="BE34"/>
  <c r="BA35"/>
  <c r="AW36"/>
  <c r="AS37"/>
  <c r="BI37"/>
  <c r="BE38"/>
  <c r="BA39"/>
  <c r="AW40"/>
  <c r="AS41"/>
  <c r="BI41"/>
  <c r="BE42"/>
  <c r="BA43"/>
  <c r="AW44"/>
  <c r="AS45"/>
  <c r="BI45"/>
  <c r="BE46"/>
  <c r="BA47"/>
  <c r="AW48"/>
  <c r="AS49"/>
  <c r="BI49"/>
  <c r="BE50"/>
  <c r="BA51"/>
  <c r="AB28"/>
  <c r="W31"/>
  <c r="V34"/>
  <c r="U37"/>
  <c r="T40"/>
  <c r="N43"/>
  <c r="M46"/>
  <c r="K49"/>
  <c r="AE51"/>
  <c r="M54"/>
  <c r="W55"/>
  <c r="K57"/>
  <c r="V58"/>
  <c r="AE59"/>
  <c r="U61"/>
  <c r="AD62"/>
  <c r="T64"/>
  <c r="AC65"/>
  <c r="X29"/>
  <c r="AG30"/>
  <c r="S32"/>
  <c r="AF33"/>
  <c r="Q35"/>
  <c r="AA36"/>
  <c r="P38"/>
  <c r="Z39"/>
  <c r="O41"/>
  <c r="Y42"/>
  <c r="AH43"/>
  <c r="X45"/>
  <c r="AG46"/>
  <c r="S48"/>
  <c r="AF49"/>
  <c r="Q51"/>
  <c r="AA52"/>
  <c r="P54"/>
  <c r="Z55"/>
  <c r="O57"/>
  <c r="Y58"/>
  <c r="AH59"/>
  <c r="X61"/>
  <c r="AG62"/>
  <c r="S64"/>
  <c r="AF65"/>
  <c r="S29"/>
  <c r="AF30"/>
  <c r="Q32"/>
  <c r="AA33"/>
  <c r="P35"/>
  <c r="Z36"/>
  <c r="O38"/>
  <c r="Y39"/>
  <c r="AH40"/>
  <c r="X42"/>
  <c r="AG43"/>
  <c r="S45"/>
  <c r="AF46"/>
  <c r="Q48"/>
  <c r="AA49"/>
  <c r="P51"/>
  <c r="Z52"/>
  <c r="O54"/>
  <c r="Y55"/>
  <c r="AH56"/>
  <c r="X58"/>
  <c r="AG59"/>
  <c r="S61"/>
  <c r="AF62"/>
  <c r="Q29"/>
  <c r="AA30"/>
  <c r="P32"/>
  <c r="Z33"/>
  <c r="O35"/>
  <c r="Y36"/>
  <c r="AH37"/>
  <c r="X39"/>
  <c r="AG40"/>
  <c r="S42"/>
  <c r="AF43"/>
  <c r="Q45"/>
  <c r="AA46"/>
  <c r="P48"/>
  <c r="Z49"/>
  <c r="W50"/>
  <c r="T51"/>
  <c r="K52"/>
  <c r="AC52"/>
  <c r="V53"/>
  <c r="N54"/>
  <c r="AE54"/>
  <c r="AB55"/>
  <c r="U56"/>
  <c r="M57"/>
  <c r="AD57"/>
  <c r="W58"/>
  <c r="T59"/>
  <c r="K60"/>
  <c r="AC60"/>
  <c r="V61"/>
  <c r="N62"/>
  <c r="AE62"/>
  <c r="AB63"/>
  <c r="U64"/>
  <c r="M65"/>
  <c r="U63"/>
  <c r="O66"/>
  <c r="AF66"/>
  <c r="Y67"/>
  <c r="Q68"/>
  <c r="AH68"/>
  <c r="AA69"/>
  <c r="X70"/>
  <c r="P71"/>
  <c r="AG71"/>
  <c r="Z72"/>
  <c r="S73"/>
  <c r="O74"/>
  <c r="AF74"/>
  <c r="Y75"/>
  <c r="Q76"/>
  <c r="AH76"/>
  <c r="AA65"/>
  <c r="W66"/>
  <c r="T67"/>
  <c r="K68"/>
  <c r="AC68"/>
  <c r="V69"/>
  <c r="N70"/>
  <c r="AE70"/>
  <c r="AB71"/>
  <c r="U72"/>
  <c r="M73"/>
  <c r="AD73"/>
  <c r="W74"/>
  <c r="T75"/>
  <c r="K76"/>
  <c r="AC76"/>
  <c r="Q64"/>
  <c r="M66"/>
  <c r="AD66"/>
  <c r="W67"/>
  <c r="T68"/>
  <c r="K69"/>
  <c r="AC69"/>
  <c r="V70"/>
  <c r="N71"/>
  <c r="AE71"/>
  <c r="AB72"/>
  <c r="U73"/>
  <c r="M74"/>
  <c r="AD74"/>
  <c r="W75"/>
  <c r="T76"/>
  <c r="Y63"/>
  <c r="AE65"/>
  <c r="Y66"/>
  <c r="Q67"/>
  <c r="AH67"/>
  <c r="AA68"/>
  <c r="X69"/>
  <c r="P70"/>
  <c r="AG70"/>
  <c r="Z71"/>
  <c r="S72"/>
  <c r="O73"/>
  <c r="AF73"/>
  <c r="Y74"/>
  <c r="Q75"/>
  <c r="AH75"/>
  <c r="AA76"/>
  <c r="AX28"/>
  <c r="AO29"/>
  <c r="BF29"/>
  <c r="AX30"/>
  <c r="AO31"/>
  <c r="BF31"/>
  <c r="AX32"/>
  <c r="AO33"/>
  <c r="BF33"/>
  <c r="AX34"/>
  <c r="AO35"/>
  <c r="BF35"/>
  <c r="AX36"/>
  <c r="AO37"/>
  <c r="BF37"/>
  <c r="AX38"/>
  <c r="AO39"/>
  <c r="BF39"/>
  <c r="AX40"/>
  <c r="AO41"/>
  <c r="BF41"/>
  <c r="AX42"/>
  <c r="AO43"/>
  <c r="BF43"/>
  <c r="AX44"/>
  <c r="AO45"/>
  <c r="BF45"/>
  <c r="AX46"/>
  <c r="AO47"/>
  <c r="BF47"/>
  <c r="AX48"/>
  <c r="AO49"/>
  <c r="BF49"/>
  <c r="AX50"/>
  <c r="AO51"/>
  <c r="BF51"/>
  <c r="AX52"/>
  <c r="AO53"/>
  <c r="BF53"/>
  <c r="AX54"/>
  <c r="AO55"/>
  <c r="BF55"/>
  <c r="AX56"/>
  <c r="AO57"/>
  <c r="BF57"/>
  <c r="AX58"/>
  <c r="AO59"/>
  <c r="BF59"/>
  <c r="AX60"/>
  <c r="AO61"/>
  <c r="BF61"/>
  <c r="AX62"/>
  <c r="AO63"/>
  <c r="BF63"/>
  <c r="AX64"/>
  <c r="AO65"/>
  <c r="AS28"/>
  <c r="BI28"/>
  <c r="BE29"/>
  <c r="BA30"/>
  <c r="AW31"/>
  <c r="AS32"/>
  <c r="BI32"/>
  <c r="BE33"/>
  <c r="BA34"/>
  <c r="AW35"/>
  <c r="AS36"/>
  <c r="BI36"/>
  <c r="BE37"/>
  <c r="BA38"/>
  <c r="AW39"/>
  <c r="AS40"/>
  <c r="AB36"/>
  <c r="T48"/>
  <c r="AB56"/>
  <c r="V62"/>
  <c r="Y30"/>
  <c r="S36"/>
  <c r="P42"/>
  <c r="AH47"/>
  <c r="AF53"/>
  <c r="Z59"/>
  <c r="X65"/>
  <c r="S33"/>
  <c r="P39"/>
  <c r="AH44"/>
  <c r="AF50"/>
  <c r="Z56"/>
  <c r="X62"/>
  <c r="Q33"/>
  <c r="O39"/>
  <c r="AG44"/>
  <c r="S50"/>
  <c r="Q53"/>
  <c r="P56"/>
  <c r="O59"/>
  <c r="AH61"/>
  <c r="AG64"/>
  <c r="U67"/>
  <c r="T70"/>
  <c r="N73"/>
  <c r="M76"/>
  <c r="O67"/>
  <c r="AH69"/>
  <c r="AG72"/>
  <c r="AF75"/>
  <c r="Z66"/>
  <c r="Y69"/>
  <c r="X72"/>
  <c r="S75"/>
  <c r="U66"/>
  <c r="T69"/>
  <c r="N72"/>
  <c r="M75"/>
  <c r="BJ28"/>
  <c r="BB31"/>
  <c r="AT34"/>
  <c r="BJ36"/>
  <c r="BB39"/>
  <c r="AT42"/>
  <c r="BJ44"/>
  <c r="BB47"/>
  <c r="AT50"/>
  <c r="BJ52"/>
  <c r="BB55"/>
  <c r="AT58"/>
  <c r="BJ60"/>
  <c r="BB63"/>
  <c r="BE28"/>
  <c r="BI31"/>
  <c r="AS35"/>
  <c r="AW38"/>
  <c r="BI40"/>
  <c r="BA42"/>
  <c r="AS44"/>
  <c r="BE45"/>
  <c r="AW47"/>
  <c r="BI48"/>
  <c r="BA50"/>
  <c r="AS52"/>
  <c r="BI52"/>
  <c r="BE53"/>
  <c r="BA54"/>
  <c r="AW55"/>
  <c r="AS56"/>
  <c r="BI56"/>
  <c r="BE57"/>
  <c r="BA58"/>
  <c r="AW59"/>
  <c r="AS60"/>
  <c r="BI60"/>
  <c r="BE61"/>
  <c r="BA62"/>
  <c r="AW63"/>
  <c r="AS64"/>
  <c r="BI64"/>
  <c r="AI28"/>
  <c r="BD28"/>
  <c r="AR29"/>
  <c r="BH29"/>
  <c r="AV30"/>
  <c r="BL30"/>
  <c r="AZ31"/>
  <c r="AI32"/>
  <c r="BD32"/>
  <c r="AR33"/>
  <c r="BH33"/>
  <c r="AV34"/>
  <c r="BL34"/>
  <c r="AZ35"/>
  <c r="AI36"/>
  <c r="BD36"/>
  <c r="AR37"/>
  <c r="BH37"/>
  <c r="AV38"/>
  <c r="BL38"/>
  <c r="AZ39"/>
  <c r="AI40"/>
  <c r="BD40"/>
  <c r="AR41"/>
  <c r="BH41"/>
  <c r="AV42"/>
  <c r="BL42"/>
  <c r="AZ43"/>
  <c r="AI44"/>
  <c r="BD44"/>
  <c r="AR45"/>
  <c r="BH45"/>
  <c r="AV46"/>
  <c r="BL46"/>
  <c r="AZ47"/>
  <c r="AI48"/>
  <c r="BD48"/>
  <c r="AR49"/>
  <c r="BH49"/>
  <c r="AV50"/>
  <c r="BL50"/>
  <c r="AZ51"/>
  <c r="AI52"/>
  <c r="BD52"/>
  <c r="AR53"/>
  <c r="BH53"/>
  <c r="AV54"/>
  <c r="BL54"/>
  <c r="AZ55"/>
  <c r="AI56"/>
  <c r="BD56"/>
  <c r="AR57"/>
  <c r="BH57"/>
  <c r="AV58"/>
  <c r="BL58"/>
  <c r="AZ59"/>
  <c r="AI60"/>
  <c r="BD60"/>
  <c r="AR61"/>
  <c r="BH61"/>
  <c r="AV62"/>
  <c r="BL62"/>
  <c r="AZ63"/>
  <c r="AI64"/>
  <c r="AQ28"/>
  <c r="BG28"/>
  <c r="AY29"/>
  <c r="AQ30"/>
  <c r="BG30"/>
  <c r="AY31"/>
  <c r="AQ32"/>
  <c r="BG32"/>
  <c r="AY33"/>
  <c r="AQ34"/>
  <c r="BG34"/>
  <c r="AY35"/>
  <c r="AQ36"/>
  <c r="BG36"/>
  <c r="AY37"/>
  <c r="AQ38"/>
  <c r="BG38"/>
  <c r="AY39"/>
  <c r="AQ40"/>
  <c r="BG40"/>
  <c r="AY41"/>
  <c r="AQ42"/>
  <c r="BG42"/>
  <c r="AY43"/>
  <c r="AQ44"/>
  <c r="BG44"/>
  <c r="AY45"/>
  <c r="AQ46"/>
  <c r="BG46"/>
  <c r="AY47"/>
  <c r="AQ48"/>
  <c r="BG48"/>
  <c r="AY49"/>
  <c r="AQ50"/>
  <c r="BG50"/>
  <c r="AY51"/>
  <c r="AQ52"/>
  <c r="BG52"/>
  <c r="AY53"/>
  <c r="AQ54"/>
  <c r="BG54"/>
  <c r="AY55"/>
  <c r="AQ56"/>
  <c r="BG56"/>
  <c r="AY57"/>
  <c r="AQ58"/>
  <c r="BG58"/>
  <c r="AY59"/>
  <c r="AQ60"/>
  <c r="BG60"/>
  <c r="AY61"/>
  <c r="AQ62"/>
  <c r="BG62"/>
  <c r="AY63"/>
  <c r="AQ64"/>
  <c r="BG64"/>
  <c r="AY65"/>
  <c r="BE65"/>
  <c r="BA66"/>
  <c r="AW67"/>
  <c r="AS68"/>
  <c r="BI68"/>
  <c r="BE69"/>
  <c r="BA70"/>
  <c r="AW71"/>
  <c r="AS72"/>
  <c r="BI72"/>
  <c r="BE73"/>
  <c r="BA74"/>
  <c r="AW75"/>
  <c r="AS76"/>
  <c r="BI76"/>
  <c r="AI66"/>
  <c r="BD66"/>
  <c r="AR67"/>
  <c r="BH67"/>
  <c r="AV68"/>
  <c r="BL68"/>
  <c r="AZ69"/>
  <c r="AI70"/>
  <c r="BD70"/>
  <c r="AR71"/>
  <c r="BH71"/>
  <c r="AV72"/>
  <c r="BL72"/>
  <c r="AZ73"/>
  <c r="AI74"/>
  <c r="BD74"/>
  <c r="AR75"/>
  <c r="BH75"/>
  <c r="AV76"/>
  <c r="BL76"/>
  <c r="BG65"/>
  <c r="AY66"/>
  <c r="AQ67"/>
  <c r="BG67"/>
  <c r="AY68"/>
  <c r="AQ69"/>
  <c r="BG69"/>
  <c r="AY70"/>
  <c r="AQ71"/>
  <c r="BG71"/>
  <c r="AY72"/>
  <c r="AQ73"/>
  <c r="BG73"/>
  <c r="AY74"/>
  <c r="AQ75"/>
  <c r="BG75"/>
  <c r="AY76"/>
  <c r="BH64"/>
  <c r="AO66"/>
  <c r="BF66"/>
  <c r="AX67"/>
  <c r="AO68"/>
  <c r="BF68"/>
  <c r="AX69"/>
  <c r="AO70"/>
  <c r="BF70"/>
  <c r="AX71"/>
  <c r="AO72"/>
  <c r="BF72"/>
  <c r="AX73"/>
  <c r="AO74"/>
  <c r="BF74"/>
  <c r="AX75"/>
  <c r="AO76"/>
  <c r="BF76"/>
  <c r="AY73"/>
  <c r="AQ76"/>
  <c r="BF65"/>
  <c r="BF67"/>
  <c r="AO69"/>
  <c r="AO71"/>
  <c r="AO73"/>
  <c r="AO75"/>
  <c r="N51"/>
  <c r="Z43"/>
  <c r="O61"/>
  <c r="AF34"/>
  <c r="Q52"/>
  <c r="AA34"/>
  <c r="O51"/>
  <c r="AF59"/>
  <c r="Z65"/>
  <c r="AE73"/>
  <c r="AA70"/>
  <c r="S67"/>
  <c r="O76"/>
  <c r="AE72"/>
  <c r="AT32"/>
  <c r="BJ42"/>
  <c r="AT48"/>
  <c r="AT56"/>
  <c r="AT64"/>
  <c r="BI35"/>
  <c r="BA41"/>
  <c r="AW46"/>
  <c r="AS51"/>
  <c r="BI53"/>
  <c r="AW56"/>
  <c r="BI57"/>
  <c r="AW60"/>
  <c r="BE62"/>
  <c r="AR28"/>
  <c r="BL29"/>
  <c r="BD31"/>
  <c r="AV33"/>
  <c r="AI35"/>
  <c r="BH36"/>
  <c r="AZ38"/>
  <c r="AR40"/>
  <c r="BL41"/>
  <c r="BD43"/>
  <c r="BH44"/>
  <c r="AZ46"/>
  <c r="AR48"/>
  <c r="BL49"/>
  <c r="AR52"/>
  <c r="BL53"/>
  <c r="BD55"/>
  <c r="BH56"/>
  <c r="AZ58"/>
  <c r="AR60"/>
  <c r="BL61"/>
  <c r="BD63"/>
  <c r="BK28"/>
  <c r="BK30"/>
  <c r="BK32"/>
  <c r="AU34"/>
  <c r="AU36"/>
  <c r="AU38"/>
  <c r="AU40"/>
  <c r="AU42"/>
  <c r="AU44"/>
  <c r="AU46"/>
  <c r="AU48"/>
  <c r="AU50"/>
  <c r="BC51"/>
  <c r="BC53"/>
  <c r="BC55"/>
  <c r="BC57"/>
  <c r="BC59"/>
  <c r="BC61"/>
  <c r="BC63"/>
  <c r="BC65"/>
  <c r="BA67"/>
  <c r="BI69"/>
  <c r="AW72"/>
  <c r="BE74"/>
  <c r="AR66"/>
  <c r="AZ68"/>
  <c r="AR70"/>
  <c r="BL71"/>
  <c r="BD73"/>
  <c r="AV75"/>
  <c r="BL64"/>
  <c r="AU67"/>
  <c r="AU69"/>
  <c r="AU71"/>
  <c r="AU73"/>
  <c r="AU75"/>
  <c r="AV65"/>
  <c r="AT68"/>
  <c r="AT70"/>
  <c r="AT72"/>
  <c r="AT74"/>
  <c r="BJ76"/>
  <c r="AC33"/>
  <c r="U45"/>
  <c r="N55"/>
  <c r="K61"/>
  <c r="O29"/>
  <c r="AG34"/>
  <c r="AA40"/>
  <c r="Y46"/>
  <c r="S52"/>
  <c r="P58"/>
  <c r="AH63"/>
  <c r="AG31"/>
  <c r="AA37"/>
  <c r="Y43"/>
  <c r="S49"/>
  <c r="P55"/>
  <c r="AH60"/>
  <c r="AF31"/>
  <c r="Z37"/>
  <c r="X43"/>
  <c r="Q49"/>
  <c r="Y52"/>
  <c r="X55"/>
  <c r="S58"/>
  <c r="Q61"/>
  <c r="P64"/>
  <c r="AB66"/>
  <c r="W69"/>
  <c r="V72"/>
  <c r="U75"/>
  <c r="S66"/>
  <c r="Q69"/>
  <c r="P72"/>
  <c r="O75"/>
  <c r="AG65"/>
  <c r="AF68"/>
  <c r="AA71"/>
  <c r="Z74"/>
  <c r="S65"/>
  <c r="W68"/>
  <c r="V71"/>
  <c r="U74"/>
  <c r="AT28"/>
  <c r="BJ30"/>
  <c r="BB33"/>
  <c r="AT36"/>
  <c r="BJ38"/>
  <c r="BB41"/>
  <c r="AT44"/>
  <c r="BJ46"/>
  <c r="BB49"/>
  <c r="AT52"/>
  <c r="BJ54"/>
  <c r="BB57"/>
  <c r="AT60"/>
  <c r="BJ62"/>
  <c r="BB65"/>
  <c r="AS31"/>
  <c r="AW34"/>
  <c r="BA37"/>
  <c r="BE40"/>
  <c r="AW42"/>
  <c r="BI43"/>
  <c r="BA45"/>
  <c r="AS47"/>
  <c r="BE48"/>
  <c r="AW50"/>
  <c r="BI51"/>
  <c r="BE52"/>
  <c r="BA53"/>
  <c r="AW54"/>
  <c r="AS55"/>
  <c r="BI55"/>
  <c r="BE56"/>
  <c r="BA57"/>
  <c r="AW58"/>
  <c r="AS59"/>
  <c r="BI59"/>
  <c r="BE60"/>
  <c r="BA61"/>
  <c r="AW62"/>
  <c r="AS63"/>
  <c r="BI63"/>
  <c r="BE64"/>
  <c r="BA65"/>
  <c r="AZ28"/>
  <c r="AI29"/>
  <c r="BD29"/>
  <c r="AR30"/>
  <c r="BH30"/>
  <c r="AV31"/>
  <c r="BL31"/>
  <c r="AZ32"/>
  <c r="AI33"/>
  <c r="BD33"/>
  <c r="AR34"/>
  <c r="BH34"/>
  <c r="AV35"/>
  <c r="BL35"/>
  <c r="AZ36"/>
  <c r="AI37"/>
  <c r="BD37"/>
  <c r="AR38"/>
  <c r="BH38"/>
  <c r="AV39"/>
  <c r="BL39"/>
  <c r="AZ40"/>
  <c r="AI41"/>
  <c r="BD41"/>
  <c r="AR42"/>
  <c r="BH42"/>
  <c r="AV43"/>
  <c r="BL43"/>
  <c r="AZ44"/>
  <c r="AI45"/>
  <c r="BD45"/>
  <c r="AR46"/>
  <c r="BH46"/>
  <c r="AV47"/>
  <c r="BL47"/>
  <c r="AZ48"/>
  <c r="AI49"/>
  <c r="BD49"/>
  <c r="AR50"/>
  <c r="BH50"/>
  <c r="AV51"/>
  <c r="BL51"/>
  <c r="AZ52"/>
  <c r="AI53"/>
  <c r="BD53"/>
  <c r="AR54"/>
  <c r="BH54"/>
  <c r="AV55"/>
  <c r="BL55"/>
  <c r="AZ56"/>
  <c r="AI57"/>
  <c r="BD57"/>
  <c r="AR58"/>
  <c r="BH58"/>
  <c r="AV59"/>
  <c r="BL59"/>
  <c r="AZ60"/>
  <c r="AI61"/>
  <c r="BD61"/>
  <c r="AR62"/>
  <c r="BH62"/>
  <c r="AV63"/>
  <c r="BL63"/>
  <c r="AZ64"/>
  <c r="BC28"/>
  <c r="AU29"/>
  <c r="BK29"/>
  <c r="BC30"/>
  <c r="AU31"/>
  <c r="BK31"/>
  <c r="BC32"/>
  <c r="AU33"/>
  <c r="BK33"/>
  <c r="BC34"/>
  <c r="AU35"/>
  <c r="BK35"/>
  <c r="BC36"/>
  <c r="AU37"/>
  <c r="BK37"/>
  <c r="BC38"/>
  <c r="AU39"/>
  <c r="BK39"/>
  <c r="BC40"/>
  <c r="AU41"/>
  <c r="BK41"/>
  <c r="BC42"/>
  <c r="AU43"/>
  <c r="BK43"/>
  <c r="BC44"/>
  <c r="AU45"/>
  <c r="BK45"/>
  <c r="BC46"/>
  <c r="AU47"/>
  <c r="BK47"/>
  <c r="BC48"/>
  <c r="AU49"/>
  <c r="BK49"/>
  <c r="BC50"/>
  <c r="AU51"/>
  <c r="BK51"/>
  <c r="BC52"/>
  <c r="AU53"/>
  <c r="BK53"/>
  <c r="BC54"/>
  <c r="AU55"/>
  <c r="BK55"/>
  <c r="BC56"/>
  <c r="AU57"/>
  <c r="BK57"/>
  <c r="BC58"/>
  <c r="AU59"/>
  <c r="BK59"/>
  <c r="BC60"/>
  <c r="AU61"/>
  <c r="BK61"/>
  <c r="BC62"/>
  <c r="AU63"/>
  <c r="BK63"/>
  <c r="BC64"/>
  <c r="AU65"/>
  <c r="AR65"/>
  <c r="AW66"/>
  <c r="AS67"/>
  <c r="BI67"/>
  <c r="BE68"/>
  <c r="BA69"/>
  <c r="AW70"/>
  <c r="AS71"/>
  <c r="BI71"/>
  <c r="BE72"/>
  <c r="BA73"/>
  <c r="AW74"/>
  <c r="AS75"/>
  <c r="BI75"/>
  <c r="BE76"/>
  <c r="BL65"/>
  <c r="AZ66"/>
  <c r="AI67"/>
  <c r="BD67"/>
  <c r="AR68"/>
  <c r="BH68"/>
  <c r="AV69"/>
  <c r="BL69"/>
  <c r="AZ70"/>
  <c r="AI71"/>
  <c r="BD71"/>
  <c r="AR72"/>
  <c r="BH72"/>
  <c r="AV73"/>
  <c r="BL73"/>
  <c r="AZ74"/>
  <c r="AI75"/>
  <c r="BD75"/>
  <c r="AR76"/>
  <c r="BH76"/>
  <c r="AZ65"/>
  <c r="AU66"/>
  <c r="BK66"/>
  <c r="BC67"/>
  <c r="AU68"/>
  <c r="BK68"/>
  <c r="BC69"/>
  <c r="AU70"/>
  <c r="BK70"/>
  <c r="BC71"/>
  <c r="AU72"/>
  <c r="BK72"/>
  <c r="BC73"/>
  <c r="AU74"/>
  <c r="BK74"/>
  <c r="BC75"/>
  <c r="AU76"/>
  <c r="BK76"/>
  <c r="BJ65"/>
  <c r="BB66"/>
  <c r="AT67"/>
  <c r="BJ67"/>
  <c r="BB68"/>
  <c r="AT69"/>
  <c r="BJ69"/>
  <c r="BB70"/>
  <c r="AT71"/>
  <c r="BJ71"/>
  <c r="BB72"/>
  <c r="AT73"/>
  <c r="BJ73"/>
  <c r="BB74"/>
  <c r="AT75"/>
  <c r="BJ75"/>
  <c r="BB76"/>
  <c r="BG72"/>
  <c r="AY75"/>
  <c r="AX66"/>
  <c r="AX68"/>
  <c r="AX70"/>
  <c r="BF71"/>
  <c r="BF73"/>
  <c r="BF75"/>
  <c r="M58"/>
  <c r="AF37"/>
  <c r="X49"/>
  <c r="AH28"/>
  <c r="X46"/>
  <c r="O58"/>
  <c r="Y40"/>
  <c r="AH53"/>
  <c r="AA62"/>
  <c r="K71"/>
  <c r="AF67"/>
  <c r="Z73"/>
  <c r="Q70"/>
  <c r="M67"/>
  <c r="AD75"/>
  <c r="BJ34"/>
  <c r="BB37"/>
  <c r="BB45"/>
  <c r="BB53"/>
  <c r="BJ58"/>
  <c r="BA29"/>
  <c r="AS39"/>
  <c r="BE44"/>
  <c r="BA49"/>
  <c r="AS53"/>
  <c r="BE54"/>
  <c r="AS57"/>
  <c r="BA59"/>
  <c r="BI61"/>
  <c r="AW64"/>
  <c r="BH28"/>
  <c r="AZ30"/>
  <c r="AR32"/>
  <c r="BL33"/>
  <c r="BD35"/>
  <c r="AV37"/>
  <c r="AI39"/>
  <c r="BH40"/>
  <c r="AZ42"/>
  <c r="AR44"/>
  <c r="BL45"/>
  <c r="BD47"/>
  <c r="AV49"/>
  <c r="AI51"/>
  <c r="BH52"/>
  <c r="AZ54"/>
  <c r="AR56"/>
  <c r="BL57"/>
  <c r="BD59"/>
  <c r="AV61"/>
  <c r="AI63"/>
  <c r="AU28"/>
  <c r="AU30"/>
  <c r="BC31"/>
  <c r="BC33"/>
  <c r="BC35"/>
  <c r="BK36"/>
  <c r="BK38"/>
  <c r="BK40"/>
  <c r="BK42"/>
  <c r="BK44"/>
  <c r="BK46"/>
  <c r="BK48"/>
  <c r="BK50"/>
  <c r="BK52"/>
  <c r="BK54"/>
  <c r="BK56"/>
  <c r="AU58"/>
  <c r="AU60"/>
  <c r="AU62"/>
  <c r="AU64"/>
  <c r="BI65"/>
  <c r="AW68"/>
  <c r="BE70"/>
  <c r="AS73"/>
  <c r="BA75"/>
  <c r="BD65"/>
  <c r="AV67"/>
  <c r="BD69"/>
  <c r="AV71"/>
  <c r="AI73"/>
  <c r="BH74"/>
  <c r="AZ76"/>
  <c r="BC66"/>
  <c r="BC68"/>
  <c r="BK69"/>
  <c r="BK71"/>
  <c r="BK73"/>
  <c r="BK75"/>
  <c r="AT66"/>
  <c r="BB67"/>
  <c r="BB69"/>
  <c r="BJ72"/>
  <c r="BJ74"/>
  <c r="AT76"/>
  <c r="AD30"/>
  <c r="V42"/>
  <c r="AC53"/>
  <c r="W59"/>
  <c r="U65"/>
  <c r="X33"/>
  <c r="Q39"/>
  <c r="O45"/>
  <c r="AG50"/>
  <c r="AA56"/>
  <c r="Y62"/>
  <c r="X30"/>
  <c r="Q36"/>
  <c r="O42"/>
  <c r="AG47"/>
  <c r="AA53"/>
  <c r="Y59"/>
  <c r="S30"/>
  <c r="P36"/>
  <c r="AH41"/>
  <c r="AF47"/>
  <c r="AF51"/>
  <c r="AA54"/>
  <c r="Z57"/>
  <c r="Y60"/>
  <c r="X63"/>
  <c r="AD65"/>
  <c r="AD68"/>
  <c r="AC71"/>
  <c r="AB74"/>
  <c r="V64"/>
  <c r="Y68"/>
  <c r="X71"/>
  <c r="S74"/>
  <c r="AC63"/>
  <c r="O68"/>
  <c r="AH70"/>
  <c r="AG73"/>
  <c r="AF76"/>
  <c r="AD67"/>
  <c r="AC70"/>
  <c r="AB73"/>
  <c r="W76"/>
  <c r="AT30"/>
  <c r="BJ32"/>
  <c r="BB35"/>
  <c r="AT38"/>
  <c r="BJ40"/>
  <c r="BB43"/>
  <c r="AT46"/>
  <c r="BJ48"/>
  <c r="BB51"/>
  <c r="AT54"/>
  <c r="BJ56"/>
  <c r="BB59"/>
  <c r="AT62"/>
  <c r="BJ64"/>
  <c r="AW30"/>
  <c r="BA33"/>
  <c r="BE36"/>
  <c r="BI39"/>
  <c r="BE41"/>
  <c r="AW43"/>
  <c r="BI44"/>
  <c r="BA46"/>
  <c r="AS48"/>
  <c r="BE49"/>
  <c r="AW51"/>
  <c r="BA52"/>
  <c r="AW53"/>
  <c r="AS54"/>
  <c r="BI54"/>
  <c r="BE55"/>
  <c r="BA56"/>
  <c r="AW57"/>
  <c r="AS58"/>
  <c r="BI58"/>
  <c r="BE59"/>
  <c r="BA60"/>
  <c r="AW61"/>
  <c r="AS62"/>
  <c r="BI62"/>
  <c r="BE63"/>
  <c r="BA64"/>
  <c r="AW65"/>
  <c r="AV28"/>
  <c r="BL28"/>
  <c r="AZ29"/>
  <c r="AI30"/>
  <c r="BD30"/>
  <c r="AR31"/>
  <c r="BH31"/>
  <c r="AV32"/>
  <c r="BL32"/>
  <c r="AZ33"/>
  <c r="AI34"/>
  <c r="BD34"/>
  <c r="AR35"/>
  <c r="BH35"/>
  <c r="AV36"/>
  <c r="BL36"/>
  <c r="AZ37"/>
  <c r="AI38"/>
  <c r="BD38"/>
  <c r="AR39"/>
  <c r="BH39"/>
  <c r="AV40"/>
  <c r="BL40"/>
  <c r="AZ41"/>
  <c r="AI42"/>
  <c r="BD42"/>
  <c r="AR43"/>
  <c r="BH43"/>
  <c r="AV44"/>
  <c r="BL44"/>
  <c r="AZ45"/>
  <c r="AI46"/>
  <c r="BD46"/>
  <c r="AR47"/>
  <c r="BH47"/>
  <c r="AV48"/>
  <c r="BL48"/>
  <c r="AZ49"/>
  <c r="AI50"/>
  <c r="BD50"/>
  <c r="AR51"/>
  <c r="BH51"/>
  <c r="AV52"/>
  <c r="BL52"/>
  <c r="AZ53"/>
  <c r="AI54"/>
  <c r="BD54"/>
  <c r="AR55"/>
  <c r="BH55"/>
  <c r="AV56"/>
  <c r="BL56"/>
  <c r="AZ57"/>
  <c r="AI58"/>
  <c r="BD58"/>
  <c r="AR59"/>
  <c r="BH59"/>
  <c r="AV60"/>
  <c r="BL60"/>
  <c r="AZ61"/>
  <c r="AI62"/>
  <c r="BD62"/>
  <c r="AR63"/>
  <c r="BH63"/>
  <c r="AV64"/>
  <c r="AY28"/>
  <c r="AQ29"/>
  <c r="BG29"/>
  <c r="AY30"/>
  <c r="AQ31"/>
  <c r="BG31"/>
  <c r="AY32"/>
  <c r="AQ33"/>
  <c r="BG33"/>
  <c r="AY34"/>
  <c r="AQ35"/>
  <c r="BG35"/>
  <c r="AY36"/>
  <c r="AQ37"/>
  <c r="BG37"/>
  <c r="AY38"/>
  <c r="AQ39"/>
  <c r="BG39"/>
  <c r="AY40"/>
  <c r="AQ41"/>
  <c r="BG41"/>
  <c r="AY42"/>
  <c r="AQ43"/>
  <c r="BG43"/>
  <c r="AY44"/>
  <c r="AQ45"/>
  <c r="BG45"/>
  <c r="AY46"/>
  <c r="AQ47"/>
  <c r="BG47"/>
  <c r="AY48"/>
  <c r="AQ49"/>
  <c r="BG49"/>
  <c r="AY50"/>
  <c r="AQ51"/>
  <c r="BG51"/>
  <c r="AY52"/>
  <c r="AQ53"/>
  <c r="BG53"/>
  <c r="AY54"/>
  <c r="AQ55"/>
  <c r="BG55"/>
  <c r="AY56"/>
  <c r="AQ57"/>
  <c r="BG57"/>
  <c r="AY58"/>
  <c r="AQ59"/>
  <c r="BG59"/>
  <c r="AY60"/>
  <c r="AQ61"/>
  <c r="BG61"/>
  <c r="AY62"/>
  <c r="AQ63"/>
  <c r="BG63"/>
  <c r="AY64"/>
  <c r="AQ65"/>
  <c r="BD64"/>
  <c r="AS66"/>
  <c r="BI66"/>
  <c r="BE67"/>
  <c r="BA68"/>
  <c r="AW69"/>
  <c r="AS70"/>
  <c r="BI70"/>
  <c r="BE71"/>
  <c r="BA72"/>
  <c r="AW73"/>
  <c r="AS74"/>
  <c r="BI74"/>
  <c r="BE75"/>
  <c r="BA76"/>
  <c r="BH65"/>
  <c r="AV66"/>
  <c r="BL66"/>
  <c r="AZ67"/>
  <c r="AI68"/>
  <c r="BD68"/>
  <c r="AR69"/>
  <c r="BH69"/>
  <c r="AV70"/>
  <c r="BL70"/>
  <c r="AZ71"/>
  <c r="AI72"/>
  <c r="BD72"/>
  <c r="AR73"/>
  <c r="BH73"/>
  <c r="AV74"/>
  <c r="BL74"/>
  <c r="AZ75"/>
  <c r="AI76"/>
  <c r="BD76"/>
  <c r="AI65"/>
  <c r="AQ66"/>
  <c r="BG66"/>
  <c r="AY67"/>
  <c r="AQ68"/>
  <c r="BG68"/>
  <c r="AY69"/>
  <c r="AQ70"/>
  <c r="BG70"/>
  <c r="AY71"/>
  <c r="AQ72"/>
  <c r="AQ74"/>
  <c r="BG74"/>
  <c r="BG76"/>
  <c r="AO67"/>
  <c r="BF69"/>
  <c r="AX72"/>
  <c r="AX74"/>
  <c r="AX76"/>
  <c r="W39"/>
  <c r="AE63"/>
  <c r="AH31"/>
  <c r="Q55"/>
  <c r="Z40"/>
  <c r="AG28"/>
  <c r="S46"/>
  <c r="AG56"/>
  <c r="M68"/>
  <c r="AD76"/>
  <c r="Y76"/>
  <c r="P73"/>
  <c r="K70"/>
  <c r="BB29"/>
  <c r="AT40"/>
  <c r="BJ50"/>
  <c r="BB61"/>
  <c r="BE32"/>
  <c r="AS43"/>
  <c r="BI47"/>
  <c r="AW52"/>
  <c r="BA55"/>
  <c r="BE58"/>
  <c r="AS61"/>
  <c r="BA63"/>
  <c r="AS65"/>
  <c r="AV29"/>
  <c r="AI31"/>
  <c r="BH32"/>
  <c r="AZ34"/>
  <c r="AR36"/>
  <c r="BL37"/>
  <c r="BD39"/>
  <c r="AV41"/>
  <c r="AI43"/>
  <c r="AV45"/>
  <c r="AI47"/>
  <c r="BH48"/>
  <c r="AZ50"/>
  <c r="BD51"/>
  <c r="AV53"/>
  <c r="AI55"/>
  <c r="AV57"/>
  <c r="AI59"/>
  <c r="BH60"/>
  <c r="AZ62"/>
  <c r="AR64"/>
  <c r="BC29"/>
  <c r="AU32"/>
  <c r="BK34"/>
  <c r="BC37"/>
  <c r="BC39"/>
  <c r="BC41"/>
  <c r="BC43"/>
  <c r="BC45"/>
  <c r="BC47"/>
  <c r="BC49"/>
  <c r="AU52"/>
  <c r="AU54"/>
  <c r="AU56"/>
  <c r="BK58"/>
  <c r="BK60"/>
  <c r="BK62"/>
  <c r="BK64"/>
  <c r="BE66"/>
  <c r="AS69"/>
  <c r="BA71"/>
  <c r="BI73"/>
  <c r="AW76"/>
  <c r="BH66"/>
  <c r="BL67"/>
  <c r="AI69"/>
  <c r="BH70"/>
  <c r="AZ72"/>
  <c r="AR74"/>
  <c r="BL75"/>
  <c r="BK65"/>
  <c r="BK67"/>
  <c r="BC70"/>
  <c r="BC72"/>
  <c r="BC74"/>
  <c r="BC76"/>
  <c r="BJ66"/>
  <c r="BJ68"/>
  <c r="BJ70"/>
  <c r="BB71"/>
  <c r="BB73"/>
  <c r="BB75"/>
  <c r="E31"/>
  <c r="E35"/>
  <c r="E39"/>
  <c r="E43"/>
  <c r="E47"/>
  <c r="E51"/>
  <c r="E55"/>
  <c r="E59"/>
  <c r="E63"/>
  <c r="E67"/>
  <c r="E71"/>
  <c r="E75"/>
  <c r="I30"/>
  <c r="I34"/>
  <c r="I38"/>
  <c r="I42"/>
  <c r="I46"/>
  <c r="I50"/>
  <c r="I54"/>
  <c r="I58"/>
  <c r="I62"/>
  <c r="I66"/>
  <c r="I70"/>
  <c r="I74"/>
  <c r="I29"/>
  <c r="I33"/>
  <c r="I37"/>
  <c r="I41"/>
  <c r="I45"/>
  <c r="I49"/>
  <c r="I53"/>
  <c r="I57"/>
  <c r="I61"/>
  <c r="I65"/>
  <c r="I69"/>
  <c r="I73"/>
  <c r="I28"/>
  <c r="E30"/>
  <c r="E34"/>
  <c r="E38"/>
  <c r="E42"/>
  <c r="E46"/>
  <c r="E50"/>
  <c r="E54"/>
  <c r="E58"/>
  <c r="E62"/>
  <c r="E66"/>
  <c r="E70"/>
  <c r="E74"/>
  <c r="E29"/>
  <c r="E33"/>
  <c r="E37"/>
  <c r="E41"/>
  <c r="E45"/>
  <c r="E49"/>
  <c r="E53"/>
  <c r="E57"/>
  <c r="E61"/>
  <c r="E65"/>
  <c r="E69"/>
  <c r="E73"/>
  <c r="I32"/>
  <c r="I36"/>
  <c r="I40"/>
  <c r="I44"/>
  <c r="I48"/>
  <c r="I52"/>
  <c r="I56"/>
  <c r="I60"/>
  <c r="I64"/>
  <c r="I68"/>
  <c r="I72"/>
  <c r="I76"/>
  <c r="I31"/>
  <c r="I35"/>
  <c r="I39"/>
  <c r="I43"/>
  <c r="I47"/>
  <c r="I51"/>
  <c r="I55"/>
  <c r="I59"/>
  <c r="I63"/>
  <c r="I67"/>
  <c r="I71"/>
  <c r="I75"/>
  <c r="E28"/>
  <c r="E32"/>
  <c r="E36"/>
  <c r="E40"/>
  <c r="E44"/>
  <c r="E48"/>
  <c r="E52"/>
  <c r="E56"/>
  <c r="E60"/>
  <c r="E64"/>
  <c r="E68"/>
  <c r="E72"/>
  <c r="E76"/>
  <c r="AJ26" l="1"/>
  <c r="R75"/>
  <c r="L74"/>
  <c r="R71"/>
  <c r="L70"/>
  <c r="R67"/>
  <c r="L66"/>
  <c r="R74"/>
  <c r="L73"/>
  <c r="R70"/>
  <c r="L69"/>
  <c r="R66"/>
  <c r="R64"/>
  <c r="L63"/>
  <c r="L76"/>
  <c r="R73"/>
  <c r="L72"/>
  <c r="R69"/>
  <c r="L68"/>
  <c r="R76"/>
  <c r="L75"/>
  <c r="R72"/>
  <c r="L71"/>
  <c r="R68"/>
  <c r="L67"/>
  <c r="R65"/>
  <c r="L64"/>
  <c r="R61"/>
  <c r="L60"/>
  <c r="R57"/>
  <c r="L56"/>
  <c r="R53"/>
  <c r="L52"/>
  <c r="R49"/>
  <c r="L48"/>
  <c r="R45"/>
  <c r="L44"/>
  <c r="R41"/>
  <c r="L40"/>
  <c r="R37"/>
  <c r="L36"/>
  <c r="R33"/>
  <c r="L32"/>
  <c r="R29"/>
  <c r="L28"/>
  <c r="R60"/>
  <c r="L59"/>
  <c r="R56"/>
  <c r="L55"/>
  <c r="R52"/>
  <c r="L51"/>
  <c r="R48"/>
  <c r="L47"/>
  <c r="R44"/>
  <c r="L43"/>
  <c r="R40"/>
  <c r="L39"/>
  <c r="R36"/>
  <c r="L35"/>
  <c r="R32"/>
  <c r="L31"/>
  <c r="R28"/>
  <c r="R63"/>
  <c r="L62"/>
  <c r="R59"/>
  <c r="L58"/>
  <c r="R55"/>
  <c r="L54"/>
  <c r="R51"/>
  <c r="L50"/>
  <c r="R47"/>
  <c r="L46"/>
  <c r="R43"/>
  <c r="L42"/>
  <c r="R39"/>
  <c r="L38"/>
  <c r="R35"/>
  <c r="L34"/>
  <c r="R31"/>
  <c r="L30"/>
  <c r="L65"/>
  <c r="R62"/>
  <c r="L61"/>
  <c r="R58"/>
  <c r="L57"/>
  <c r="R54"/>
  <c r="L53"/>
  <c r="R50"/>
  <c r="L49"/>
  <c r="R46"/>
  <c r="L45"/>
  <c r="R42"/>
  <c r="L41"/>
  <c r="R38"/>
  <c r="L37"/>
  <c r="R34"/>
  <c r="L33"/>
  <c r="R30"/>
  <c r="L29"/>
  <c r="AP76"/>
  <c r="AP75"/>
  <c r="AP74"/>
  <c r="AP73"/>
  <c r="AP72"/>
  <c r="AP71"/>
  <c r="AP70"/>
  <c r="AP69"/>
  <c r="AP68"/>
  <c r="AP67"/>
  <c r="AP66"/>
  <c r="AP65"/>
  <c r="AP64"/>
  <c r="AP63"/>
  <c r="AP62"/>
  <c r="AP61"/>
  <c r="AP60"/>
  <c r="AP59"/>
  <c r="AP58"/>
  <c r="AP57"/>
  <c r="AP56"/>
  <c r="AP55"/>
  <c r="AP54"/>
  <c r="AP53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D5" i="6"/>
  <c r="D250" i="2" s="1"/>
  <c r="D128"/>
  <c r="B76" i="6"/>
  <c r="B321" i="2" s="1"/>
  <c r="B199"/>
  <c r="B72" i="6"/>
  <c r="B317" i="2" s="1"/>
  <c r="B195"/>
  <c r="B68" i="6"/>
  <c r="B313" i="2" s="1"/>
  <c r="B191"/>
  <c r="B64" i="6"/>
  <c r="B309" i="2" s="1"/>
  <c r="B187"/>
  <c r="B60" i="6"/>
  <c r="B305" i="2" s="1"/>
  <c r="B183"/>
  <c r="B56" i="6"/>
  <c r="B301" i="2" s="1"/>
  <c r="B179"/>
  <c r="B52" i="6"/>
  <c r="B297" i="2" s="1"/>
  <c r="B175"/>
  <c r="B48" i="6"/>
  <c r="B293" i="2" s="1"/>
  <c r="B171"/>
  <c r="B44" i="6"/>
  <c r="B289" i="2" s="1"/>
  <c r="B167"/>
  <c r="B40" i="6"/>
  <c r="B285" i="2" s="1"/>
  <c r="B163"/>
  <c r="B36" i="6"/>
  <c r="B281" i="2" s="1"/>
  <c r="B159"/>
  <c r="B32" i="6"/>
  <c r="B277" i="2" s="1"/>
  <c r="B155"/>
  <c r="B28" i="6"/>
  <c r="B273" i="2" s="1"/>
  <c r="B151"/>
  <c r="B24" i="6"/>
  <c r="B269" i="2" s="1"/>
  <c r="B147"/>
  <c r="B20" i="6"/>
  <c r="B265" i="2" s="1"/>
  <c r="B143"/>
  <c r="B16" i="6"/>
  <c r="B261" i="2" s="1"/>
  <c r="B139"/>
  <c r="B12" i="6"/>
  <c r="B257" i="2" s="1"/>
  <c r="B135"/>
  <c r="B8" i="6"/>
  <c r="B253" i="2" s="1"/>
  <c r="B131"/>
  <c r="D67" i="6"/>
  <c r="D312" i="2" s="1"/>
  <c r="D190"/>
  <c r="D63" i="6"/>
  <c r="D308" i="2" s="1"/>
  <c r="D186"/>
  <c r="D59" i="6"/>
  <c r="D304" i="2" s="1"/>
  <c r="D182"/>
  <c r="D47" i="6"/>
  <c r="D292" i="2" s="1"/>
  <c r="D170"/>
  <c r="D43" i="6"/>
  <c r="D288" i="2" s="1"/>
  <c r="D166"/>
  <c r="D39" i="6"/>
  <c r="D284" i="2" s="1"/>
  <c r="D162"/>
  <c r="D35" i="6"/>
  <c r="D280" i="2" s="1"/>
  <c r="D158"/>
  <c r="D30" i="6"/>
  <c r="D275" i="2" s="1"/>
  <c r="D153"/>
  <c r="D26" i="6"/>
  <c r="D271" i="2" s="1"/>
  <c r="D149"/>
  <c r="D22" i="6"/>
  <c r="D267" i="2" s="1"/>
  <c r="D145"/>
  <c r="D18" i="6"/>
  <c r="D263" i="2" s="1"/>
  <c r="D141"/>
  <c r="D14" i="6"/>
  <c r="D259" i="2" s="1"/>
  <c r="D137"/>
  <c r="D10" i="6"/>
  <c r="D255" i="2" s="1"/>
  <c r="D133"/>
  <c r="D6" i="6"/>
  <c r="D251" i="2" s="1"/>
  <c r="D129"/>
  <c r="B5" i="6"/>
  <c r="B250" i="2" s="1"/>
  <c r="B128"/>
  <c r="B80" i="6"/>
  <c r="B325" i="2" s="1"/>
  <c r="B203"/>
  <c r="B73" i="6"/>
  <c r="B318" i="2" s="1"/>
  <c r="B196"/>
  <c r="B69" i="6"/>
  <c r="B314" i="2" s="1"/>
  <c r="B192"/>
  <c r="B65" i="6"/>
  <c r="B310" i="2" s="1"/>
  <c r="B188"/>
  <c r="B61" i="6"/>
  <c r="B306" i="2" s="1"/>
  <c r="B184"/>
  <c r="B57" i="6"/>
  <c r="B302" i="2" s="1"/>
  <c r="B180"/>
  <c r="B53" i="6"/>
  <c r="B298" i="2" s="1"/>
  <c r="B176"/>
  <c r="B49" i="6"/>
  <c r="B294" i="2" s="1"/>
  <c r="B172"/>
  <c r="B45" i="6"/>
  <c r="B290" i="2" s="1"/>
  <c r="B168"/>
  <c r="B41" i="6"/>
  <c r="B286" i="2" s="1"/>
  <c r="B164"/>
  <c r="B37" i="6"/>
  <c r="B282" i="2" s="1"/>
  <c r="B160"/>
  <c r="B33" i="6"/>
  <c r="B278" i="2" s="1"/>
  <c r="B156"/>
  <c r="B29" i="6"/>
  <c r="B274" i="2" s="1"/>
  <c r="B152"/>
  <c r="B25" i="6"/>
  <c r="B270" i="2" s="1"/>
  <c r="B148"/>
  <c r="B21" i="6"/>
  <c r="B266" i="2" s="1"/>
  <c r="B144"/>
  <c r="B17" i="6"/>
  <c r="B262" i="2" s="1"/>
  <c r="B140"/>
  <c r="B13" i="6"/>
  <c r="B258" i="2" s="1"/>
  <c r="B136"/>
  <c r="B9" i="6"/>
  <c r="B254" i="2" s="1"/>
  <c r="B132"/>
  <c r="D68" i="6"/>
  <c r="D313" i="2" s="1"/>
  <c r="D191"/>
  <c r="D64" i="6"/>
  <c r="D309" i="2" s="1"/>
  <c r="D187"/>
  <c r="D60" i="6"/>
  <c r="D305" i="2" s="1"/>
  <c r="D183"/>
  <c r="D48" i="6"/>
  <c r="D293" i="2" s="1"/>
  <c r="D171"/>
  <c r="D44" i="6"/>
  <c r="D289" i="2" s="1"/>
  <c r="D167"/>
  <c r="D40" i="6"/>
  <c r="D285" i="2" s="1"/>
  <c r="D163"/>
  <c r="D36" i="6"/>
  <c r="D281" i="2" s="1"/>
  <c r="D159"/>
  <c r="D31" i="6"/>
  <c r="D276" i="2" s="1"/>
  <c r="D154"/>
  <c r="D27" i="6"/>
  <c r="D272" i="2" s="1"/>
  <c r="D150"/>
  <c r="D23" i="6"/>
  <c r="D268" i="2" s="1"/>
  <c r="D146"/>
  <c r="D19" i="6"/>
  <c r="D264" i="2" s="1"/>
  <c r="D142"/>
  <c r="D15" i="6"/>
  <c r="D260" i="2" s="1"/>
  <c r="D138"/>
  <c r="D11" i="6"/>
  <c r="D256" i="2" s="1"/>
  <c r="D134"/>
  <c r="D7" i="6"/>
  <c r="D252" i="2" s="1"/>
  <c r="D130"/>
  <c r="B81" i="6"/>
  <c r="B326" i="2" s="1"/>
  <c r="B204"/>
  <c r="B74" i="6"/>
  <c r="B319" i="2" s="1"/>
  <c r="B197"/>
  <c r="B70" i="6"/>
  <c r="B315" i="2" s="1"/>
  <c r="B193"/>
  <c r="B66" i="6"/>
  <c r="B311" i="2" s="1"/>
  <c r="B189"/>
  <c r="B62" i="6"/>
  <c r="B307" i="2" s="1"/>
  <c r="B185"/>
  <c r="B58" i="6"/>
  <c r="B303" i="2" s="1"/>
  <c r="B181"/>
  <c r="B54" i="6"/>
  <c r="B299" i="2" s="1"/>
  <c r="B177"/>
  <c r="B50" i="6"/>
  <c r="B295" i="2" s="1"/>
  <c r="B173"/>
  <c r="B46" i="6"/>
  <c r="B291" i="2" s="1"/>
  <c r="B169"/>
  <c r="B42" i="6"/>
  <c r="B287" i="2" s="1"/>
  <c r="B165"/>
  <c r="B38" i="6"/>
  <c r="B283" i="2" s="1"/>
  <c r="B161"/>
  <c r="B34" i="6"/>
  <c r="B279" i="2" s="1"/>
  <c r="B157"/>
  <c r="B30" i="6"/>
  <c r="B275" i="2" s="1"/>
  <c r="B153"/>
  <c r="B26" i="6"/>
  <c r="B271" i="2" s="1"/>
  <c r="B149"/>
  <c r="B22" i="6"/>
  <c r="B267" i="2" s="1"/>
  <c r="B145"/>
  <c r="B18" i="6"/>
  <c r="B263" i="2" s="1"/>
  <c r="B141"/>
  <c r="B14" i="6"/>
  <c r="B259" i="2" s="1"/>
  <c r="B137"/>
  <c r="B10" i="6"/>
  <c r="B255" i="2" s="1"/>
  <c r="B133"/>
  <c r="B6" i="6"/>
  <c r="B251" i="2" s="1"/>
  <c r="B129"/>
  <c r="D65" i="6"/>
  <c r="D310" i="2" s="1"/>
  <c r="D188"/>
  <c r="D61" i="6"/>
  <c r="D306" i="2" s="1"/>
  <c r="D184"/>
  <c r="D57" i="6"/>
  <c r="D302" i="2" s="1"/>
  <c r="D180"/>
  <c r="D45" i="6"/>
  <c r="D290" i="2" s="1"/>
  <c r="D168"/>
  <c r="D41" i="6"/>
  <c r="D286" i="2" s="1"/>
  <c r="D164"/>
  <c r="D37" i="6"/>
  <c r="D282" i="2" s="1"/>
  <c r="D160"/>
  <c r="D32" i="6"/>
  <c r="D277" i="2" s="1"/>
  <c r="D155"/>
  <c r="D28" i="6"/>
  <c r="D273" i="2" s="1"/>
  <c r="D151"/>
  <c r="D24" i="6"/>
  <c r="D269" i="2" s="1"/>
  <c r="D147"/>
  <c r="D20" i="6"/>
  <c r="D265" i="2" s="1"/>
  <c r="D143"/>
  <c r="D16" i="6"/>
  <c r="D261" i="2" s="1"/>
  <c r="D139"/>
  <c r="D12" i="6"/>
  <c r="D257" i="2" s="1"/>
  <c r="D135"/>
  <c r="D8" i="6"/>
  <c r="D253" i="2" s="1"/>
  <c r="D131"/>
  <c r="B82" i="6"/>
  <c r="B327" i="2" s="1"/>
  <c r="B205"/>
  <c r="B75" i="6"/>
  <c r="B320" i="2" s="1"/>
  <c r="B198"/>
  <c r="B71" i="6"/>
  <c r="B316" i="2" s="1"/>
  <c r="B194"/>
  <c r="B67" i="6"/>
  <c r="B312" i="2" s="1"/>
  <c r="B190"/>
  <c r="B63" i="6"/>
  <c r="B308" i="2" s="1"/>
  <c r="B186"/>
  <c r="B59" i="6"/>
  <c r="B304" i="2" s="1"/>
  <c r="B182"/>
  <c r="B55" i="6"/>
  <c r="B300" i="2" s="1"/>
  <c r="B178"/>
  <c r="B51" i="6"/>
  <c r="B296" i="2" s="1"/>
  <c r="B174"/>
  <c r="B47" i="6"/>
  <c r="B292" i="2" s="1"/>
  <c r="B170"/>
  <c r="B43" i="6"/>
  <c r="B288" i="2" s="1"/>
  <c r="B166"/>
  <c r="B39" i="6"/>
  <c r="B284" i="2" s="1"/>
  <c r="B162"/>
  <c r="B35" i="6"/>
  <c r="B280" i="2" s="1"/>
  <c r="B158"/>
  <c r="B31" i="6"/>
  <c r="B276" i="2" s="1"/>
  <c r="B154"/>
  <c r="B27" i="6"/>
  <c r="B272" i="2" s="1"/>
  <c r="B150"/>
  <c r="B23" i="6"/>
  <c r="B268" i="2" s="1"/>
  <c r="B146"/>
  <c r="B19" i="6"/>
  <c r="B264" i="2" s="1"/>
  <c r="B142"/>
  <c r="B15" i="6"/>
  <c r="B260" i="2" s="1"/>
  <c r="B138"/>
  <c r="B11" i="6"/>
  <c r="B256" i="2" s="1"/>
  <c r="B134"/>
  <c r="B7" i="6"/>
  <c r="B252" i="2" s="1"/>
  <c r="B130"/>
  <c r="D66" i="6"/>
  <c r="D311" i="2" s="1"/>
  <c r="D189"/>
  <c r="D62" i="6"/>
  <c r="D307" i="2" s="1"/>
  <c r="D185"/>
  <c r="D58" i="6"/>
  <c r="D303" i="2" s="1"/>
  <c r="D181"/>
  <c r="D46" i="6"/>
  <c r="D291" i="2" s="1"/>
  <c r="D169"/>
  <c r="D42" i="6"/>
  <c r="D287" i="2" s="1"/>
  <c r="D165"/>
  <c r="D38" i="6"/>
  <c r="D283" i="2" s="1"/>
  <c r="D161"/>
  <c r="D33" i="6"/>
  <c r="D278" i="2" s="1"/>
  <c r="D156"/>
  <c r="D29" i="6"/>
  <c r="D274" i="2" s="1"/>
  <c r="D152"/>
  <c r="D25" i="6"/>
  <c r="D270" i="2" s="1"/>
  <c r="D148"/>
  <c r="D21" i="6"/>
  <c r="D266" i="2" s="1"/>
  <c r="D144"/>
  <c r="D17" i="6"/>
  <c r="D262" i="2" s="1"/>
  <c r="D140"/>
  <c r="D13" i="6"/>
  <c r="D258" i="2" s="1"/>
  <c r="D136"/>
  <c r="D9" i="6"/>
  <c r="D254" i="2" s="1"/>
  <c r="D132"/>
  <c r="H4"/>
  <c r="Q4"/>
  <c r="O4"/>
  <c r="M4"/>
  <c r="K4"/>
  <c r="I4"/>
  <c r="K3"/>
  <c r="P4"/>
  <c r="N4"/>
  <c r="L4"/>
  <c r="J4"/>
  <c r="P3"/>
  <c r="L3"/>
  <c r="H3"/>
  <c r="Q3"/>
  <c r="M3"/>
  <c r="I3"/>
  <c r="N3"/>
  <c r="BL67"/>
  <c r="J2" s="1"/>
  <c r="C25" i="4"/>
  <c r="B24"/>
  <c r="C21"/>
  <c r="B20"/>
  <c r="B23"/>
  <c r="C20"/>
  <c r="B19"/>
  <c r="C23"/>
  <c r="B22"/>
  <c r="C19"/>
  <c r="B18"/>
  <c r="B25"/>
  <c r="C22"/>
  <c r="B21"/>
  <c r="C18"/>
  <c r="B19" i="3"/>
  <c r="C19"/>
  <c r="B18"/>
  <c r="B21"/>
  <c r="C18"/>
  <c r="C21"/>
  <c r="B20"/>
  <c r="B29" i="4"/>
  <c r="B38" i="2"/>
  <c r="B27" i="4"/>
  <c r="B36" i="2"/>
  <c r="B33" i="4"/>
  <c r="C29"/>
  <c r="D52" i="5"/>
  <c r="C38" i="2"/>
  <c r="D72" i="5"/>
  <c r="B28" i="4"/>
  <c r="D51" i="5"/>
  <c r="B37" i="2"/>
  <c r="C36"/>
  <c r="D50" i="5"/>
  <c r="C26" i="4"/>
  <c r="C35" i="2"/>
  <c r="D34" i="5"/>
  <c r="D70"/>
  <c r="B35" i="2"/>
  <c r="D49" i="5"/>
  <c r="D75"/>
  <c r="D54"/>
  <c r="B40" i="2"/>
  <c r="D77" i="5"/>
  <c r="D56"/>
  <c r="D74"/>
  <c r="D53"/>
  <c r="H118" i="6"/>
  <c r="H363" i="2" s="1"/>
  <c r="B46"/>
  <c r="C39"/>
  <c r="C42"/>
  <c r="B41"/>
  <c r="AJ74" i="1"/>
  <c r="AJ70"/>
  <c r="AJ66"/>
  <c r="AJ62"/>
  <c r="AJ58"/>
  <c r="AJ54"/>
  <c r="AJ50"/>
  <c r="AJ46"/>
  <c r="AJ42"/>
  <c r="AJ38"/>
  <c r="AJ34"/>
  <c r="AJ30"/>
  <c r="AJ75"/>
  <c r="AJ63"/>
  <c r="AJ55"/>
  <c r="AJ47"/>
  <c r="AJ39"/>
  <c r="AJ31"/>
  <c r="AJ72"/>
  <c r="AJ64"/>
  <c r="AJ52"/>
  <c r="AJ44"/>
  <c r="AJ36"/>
  <c r="AJ56"/>
  <c r="AJ32"/>
  <c r="AJ73"/>
  <c r="AJ69"/>
  <c r="AJ65"/>
  <c r="AJ61"/>
  <c r="AJ57"/>
  <c r="AJ53"/>
  <c r="AJ49"/>
  <c r="AJ45"/>
  <c r="AJ41"/>
  <c r="AJ37"/>
  <c r="AJ33"/>
  <c r="AJ29"/>
  <c r="AJ71"/>
  <c r="AJ67"/>
  <c r="AJ59"/>
  <c r="AJ51"/>
  <c r="AJ43"/>
  <c r="AJ35"/>
  <c r="AJ76"/>
  <c r="AJ68"/>
  <c r="AJ60"/>
  <c r="AJ48"/>
  <c r="AJ40"/>
  <c r="AJ28"/>
  <c r="AK26" l="1"/>
  <c r="D51" i="6"/>
  <c r="D296" i="2" s="1"/>
  <c r="D174"/>
  <c r="D52" i="6"/>
  <c r="D297" i="2" s="1"/>
  <c r="D175"/>
  <c r="D34" i="6"/>
  <c r="D279" i="2" s="1"/>
  <c r="D157"/>
  <c r="D74" i="6"/>
  <c r="D319" i="2" s="1"/>
  <c r="D197"/>
  <c r="D54" i="6"/>
  <c r="D299" i="2" s="1"/>
  <c r="D177"/>
  <c r="D70" i="6"/>
  <c r="D315" i="2" s="1"/>
  <c r="D193"/>
  <c r="D56" i="6"/>
  <c r="D301" i="2" s="1"/>
  <c r="D179"/>
  <c r="D50" i="6"/>
  <c r="D295" i="2" s="1"/>
  <c r="D173"/>
  <c r="D72" i="6"/>
  <c r="D317" i="2" s="1"/>
  <c r="D195"/>
  <c r="D75" i="6"/>
  <c r="D320" i="2" s="1"/>
  <c r="D198"/>
  <c r="D53" i="6"/>
  <c r="D298" i="2" s="1"/>
  <c r="D176"/>
  <c r="D77" i="6"/>
  <c r="D322" i="2" s="1"/>
  <c r="D200"/>
  <c r="D49" i="6"/>
  <c r="D294" i="2" s="1"/>
  <c r="D172"/>
  <c r="C40"/>
  <c r="C27" i="4"/>
  <c r="B86" i="5"/>
  <c r="B26" i="4"/>
  <c r="D71" i="5"/>
  <c r="C24" i="4"/>
  <c r="H114" i="6"/>
  <c r="H359" i="2" s="1"/>
  <c r="H119" i="6"/>
  <c r="H364" i="2" s="1"/>
  <c r="H116" i="6"/>
  <c r="H361" i="2" s="1"/>
  <c r="H100" i="6"/>
  <c r="H345" i="2" s="1"/>
  <c r="H107" i="6"/>
  <c r="H352" i="2" s="1"/>
  <c r="H115" i="6"/>
  <c r="H360" i="2" s="1"/>
  <c r="H98" i="6"/>
  <c r="H343" i="2" s="1"/>
  <c r="H99" i="6"/>
  <c r="H344" i="2" s="1"/>
  <c r="H104" i="6"/>
  <c r="H349" i="2" s="1"/>
  <c r="H102" i="6"/>
  <c r="H347" i="2" s="1"/>
  <c r="H103" i="6"/>
  <c r="H348" i="2" s="1"/>
  <c r="H108" i="6"/>
  <c r="H353" i="2" s="1"/>
  <c r="B94" i="5"/>
  <c r="B95"/>
  <c r="D90"/>
  <c r="B93"/>
  <c r="B89"/>
  <c r="D85"/>
  <c r="D88"/>
  <c r="B88"/>
  <c r="B87"/>
  <c r="B84"/>
  <c r="B85"/>
  <c r="B26" i="3"/>
  <c r="B83" i="5"/>
  <c r="B78"/>
  <c r="B79"/>
  <c r="D69"/>
  <c r="B77"/>
  <c r="D73"/>
  <c r="C30" i="4"/>
  <c r="C26" i="3"/>
  <c r="B37" i="4"/>
  <c r="B33" i="3"/>
  <c r="B42" i="2"/>
  <c r="B29" i="3"/>
  <c r="C37" i="2"/>
  <c r="C24" i="3"/>
  <c r="C29"/>
  <c r="C31" i="4"/>
  <c r="C27" i="3"/>
  <c r="B32" i="4"/>
  <c r="B28" i="3"/>
  <c r="B31" i="4"/>
  <c r="B27" i="3"/>
  <c r="B39" i="2"/>
  <c r="G89" i="6"/>
  <c r="G334" i="2" s="1"/>
  <c r="G91" i="6"/>
  <c r="G336" i="2" s="1"/>
  <c r="H106" i="6"/>
  <c r="H351" i="2" s="1"/>
  <c r="H112" i="6"/>
  <c r="H357" i="2" s="1"/>
  <c r="H96" i="6"/>
  <c r="H341" i="2" s="1"/>
  <c r="H110" i="6"/>
  <c r="H355" i="2" s="1"/>
  <c r="H94" i="6"/>
  <c r="H339" i="2" s="1"/>
  <c r="G81" i="6"/>
  <c r="G326" i="2" s="1"/>
  <c r="H111" i="6"/>
  <c r="H356" i="2" s="1"/>
  <c r="H95" i="6"/>
  <c r="H340" i="2" s="1"/>
  <c r="G87" i="6"/>
  <c r="G332" i="2" s="1"/>
  <c r="J91" i="6"/>
  <c r="J336" i="2" s="1"/>
  <c r="J90" i="6"/>
  <c r="J335" i="2" s="1"/>
  <c r="J89" i="6"/>
  <c r="J334" i="2" s="1"/>
  <c r="J88" i="6"/>
  <c r="J333" i="2" s="1"/>
  <c r="J87" i="6"/>
  <c r="J332" i="2" s="1"/>
  <c r="J86" i="6"/>
  <c r="J331" i="2" s="1"/>
  <c r="J85" i="6"/>
  <c r="J330" i="2" s="1"/>
  <c r="J84" i="6"/>
  <c r="J329" i="2" s="1"/>
  <c r="J83" i="6"/>
  <c r="J328" i="2" s="1"/>
  <c r="J82" i="6"/>
  <c r="J327" i="2" s="1"/>
  <c r="J81" i="6"/>
  <c r="J326" i="2" s="1"/>
  <c r="J80" i="6"/>
  <c r="J325" i="2" s="1"/>
  <c r="J79" i="6"/>
  <c r="J324" i="2" s="1"/>
  <c r="J78" i="6"/>
  <c r="J323" i="2" s="1"/>
  <c r="J77" i="6"/>
  <c r="J322" i="2" s="1"/>
  <c r="J76" i="6"/>
  <c r="J321" i="2" s="1"/>
  <c r="J75" i="6"/>
  <c r="J320" i="2" s="1"/>
  <c r="J74" i="6"/>
  <c r="J319" i="2" s="1"/>
  <c r="J73" i="6"/>
  <c r="J318" i="2" s="1"/>
  <c r="J72" i="6"/>
  <c r="J317" i="2" s="1"/>
  <c r="J71" i="6"/>
  <c r="J316" i="2" s="1"/>
  <c r="J70" i="6"/>
  <c r="J315" i="2" s="1"/>
  <c r="J69" i="6"/>
  <c r="J314" i="2" s="1"/>
  <c r="J68" i="6"/>
  <c r="J313" i="2" s="1"/>
  <c r="J67" i="6"/>
  <c r="J312" i="2" s="1"/>
  <c r="J66" i="6"/>
  <c r="J311" i="2" s="1"/>
  <c r="J65" i="6"/>
  <c r="J310" i="2" s="1"/>
  <c r="J64" i="6"/>
  <c r="J309" i="2" s="1"/>
  <c r="J63" i="6"/>
  <c r="J308" i="2" s="1"/>
  <c r="J62" i="6"/>
  <c r="J307" i="2" s="1"/>
  <c r="J61" i="6"/>
  <c r="J306" i="2" s="1"/>
  <c r="J60" i="6"/>
  <c r="J305" i="2" s="1"/>
  <c r="J59" i="6"/>
  <c r="J304" i="2" s="1"/>
  <c r="J58" i="6"/>
  <c r="J303" i="2" s="1"/>
  <c r="J57" i="6"/>
  <c r="J302" i="2" s="1"/>
  <c r="J56" i="6"/>
  <c r="J301" i="2" s="1"/>
  <c r="J55" i="6"/>
  <c r="J300" i="2" s="1"/>
  <c r="J54" i="6"/>
  <c r="J299" i="2" s="1"/>
  <c r="J53" i="6"/>
  <c r="J298" i="2" s="1"/>
  <c r="J52" i="6"/>
  <c r="J297" i="2" s="1"/>
  <c r="J51" i="6"/>
  <c r="J296" i="2" s="1"/>
  <c r="J50" i="6"/>
  <c r="J295" i="2" s="1"/>
  <c r="J49" i="6"/>
  <c r="J294" i="2" s="1"/>
  <c r="J48" i="6"/>
  <c r="J293" i="2" s="1"/>
  <c r="J47" i="6"/>
  <c r="J292" i="2" s="1"/>
  <c r="J46" i="6"/>
  <c r="J291" i="2" s="1"/>
  <c r="J45" i="6"/>
  <c r="J290" i="2" s="1"/>
  <c r="J44" i="6"/>
  <c r="J289" i="2" s="1"/>
  <c r="J43" i="6"/>
  <c r="J288" i="2" s="1"/>
  <c r="J42" i="6"/>
  <c r="J287" i="2" s="1"/>
  <c r="J41" i="6"/>
  <c r="J286" i="2" s="1"/>
  <c r="J40" i="6"/>
  <c r="J285" i="2" s="1"/>
  <c r="J39" i="6"/>
  <c r="J284" i="2" s="1"/>
  <c r="J38" i="6"/>
  <c r="J283" i="2" s="1"/>
  <c r="J37" i="6"/>
  <c r="J282" i="2" s="1"/>
  <c r="J36" i="6"/>
  <c r="J281" i="2" s="1"/>
  <c r="J35" i="6"/>
  <c r="J280" i="2" s="1"/>
  <c r="J34" i="6"/>
  <c r="J279" i="2" s="1"/>
  <c r="J33" i="6"/>
  <c r="J278" i="2" s="1"/>
  <c r="J32" i="6"/>
  <c r="J277" i="2" s="1"/>
  <c r="J31" i="6"/>
  <c r="J276" i="2" s="1"/>
  <c r="J30" i="6"/>
  <c r="J275" i="2" s="1"/>
  <c r="J29" i="6"/>
  <c r="J274" i="2" s="1"/>
  <c r="J28" i="6"/>
  <c r="J273" i="2" s="1"/>
  <c r="J27" i="6"/>
  <c r="J272" i="2" s="1"/>
  <c r="J26" i="6"/>
  <c r="J271" i="2" s="1"/>
  <c r="J25" i="6"/>
  <c r="J270" i="2" s="1"/>
  <c r="J24" i="6"/>
  <c r="J269" i="2" s="1"/>
  <c r="J23" i="6"/>
  <c r="J268" i="2" s="1"/>
  <c r="J22" i="6"/>
  <c r="J267" i="2" s="1"/>
  <c r="J21" i="6"/>
  <c r="J266" i="2" s="1"/>
  <c r="J20" i="6"/>
  <c r="J265" i="2" s="1"/>
  <c r="J19" i="6"/>
  <c r="J264" i="2" s="1"/>
  <c r="J18" i="6"/>
  <c r="J263" i="2" s="1"/>
  <c r="J17" i="6"/>
  <c r="J262" i="2" s="1"/>
  <c r="J16" i="6"/>
  <c r="J261" i="2" s="1"/>
  <c r="J15" i="6"/>
  <c r="J260" i="2" s="1"/>
  <c r="J14" i="6"/>
  <c r="J259" i="2" s="1"/>
  <c r="J13" i="6"/>
  <c r="J258" i="2" s="1"/>
  <c r="J12" i="6"/>
  <c r="J257" i="2" s="1"/>
  <c r="J11" i="6"/>
  <c r="J256" i="2" s="1"/>
  <c r="J10" i="6"/>
  <c r="J255" i="2" s="1"/>
  <c r="J9" i="6"/>
  <c r="J254" i="2" s="1"/>
  <c r="J8" i="6"/>
  <c r="J253" i="2" s="1"/>
  <c r="J117" i="6"/>
  <c r="J362" i="2" s="1"/>
  <c r="J113" i="6"/>
  <c r="J358" i="2" s="1"/>
  <c r="J109" i="6"/>
  <c r="J354" i="2" s="1"/>
  <c r="J105" i="6"/>
  <c r="J350" i="2" s="1"/>
  <c r="J101" i="6"/>
  <c r="J346" i="2" s="1"/>
  <c r="J97" i="6"/>
  <c r="J342" i="2" s="1"/>
  <c r="J93" i="6"/>
  <c r="J338" i="2" s="1"/>
  <c r="I87" i="6"/>
  <c r="I332" i="2" s="1"/>
  <c r="I79" i="6"/>
  <c r="I324" i="2" s="1"/>
  <c r="I71" i="6"/>
  <c r="I316" i="2" s="1"/>
  <c r="I64" i="6"/>
  <c r="I309" i="2" s="1"/>
  <c r="I56" i="6"/>
  <c r="I301" i="2" s="1"/>
  <c r="I48" i="6"/>
  <c r="I293" i="2" s="1"/>
  <c r="I40" i="6"/>
  <c r="I285" i="2" s="1"/>
  <c r="I32" i="6"/>
  <c r="I277" i="2" s="1"/>
  <c r="I24" i="6"/>
  <c r="I269" i="2" s="1"/>
  <c r="I16" i="6"/>
  <c r="I261" i="2" s="1"/>
  <c r="I8" i="6"/>
  <c r="I253" i="2" s="1"/>
  <c r="I88" i="6"/>
  <c r="I333" i="2" s="1"/>
  <c r="I80" i="6"/>
  <c r="I325" i="2" s="1"/>
  <c r="I72" i="6"/>
  <c r="I317" i="2" s="1"/>
  <c r="I67" i="6"/>
  <c r="I312" i="2" s="1"/>
  <c r="I59" i="6"/>
  <c r="I304" i="2" s="1"/>
  <c r="I51" i="6"/>
  <c r="I296" i="2" s="1"/>
  <c r="I43" i="6"/>
  <c r="I288" i="2" s="1"/>
  <c r="I35" i="6"/>
  <c r="I280" i="2" s="1"/>
  <c r="I27" i="6"/>
  <c r="I272" i="2" s="1"/>
  <c r="I19" i="6"/>
  <c r="I264" i="2" s="1"/>
  <c r="I11" i="6"/>
  <c r="I256" i="2" s="1"/>
  <c r="J118" i="6"/>
  <c r="J363" i="2" s="1"/>
  <c r="J114" i="6"/>
  <c r="J359" i="2" s="1"/>
  <c r="J110" i="6"/>
  <c r="J355" i="2" s="1"/>
  <c r="J106" i="6"/>
  <c r="J351" i="2" s="1"/>
  <c r="J102" i="6"/>
  <c r="J347" i="2" s="1"/>
  <c r="J98" i="6"/>
  <c r="J343" i="2" s="1"/>
  <c r="J94" i="6"/>
  <c r="J339" i="2" s="1"/>
  <c r="I89" i="6"/>
  <c r="I334" i="2" s="1"/>
  <c r="I81" i="6"/>
  <c r="I326" i="2" s="1"/>
  <c r="I73" i="6"/>
  <c r="I318" i="2" s="1"/>
  <c r="I62" i="6"/>
  <c r="I307" i="2" s="1"/>
  <c r="I54" i="6"/>
  <c r="I299" i="2" s="1"/>
  <c r="I46" i="6"/>
  <c r="I291" i="2" s="1"/>
  <c r="I38" i="6"/>
  <c r="I283" i="2" s="1"/>
  <c r="I30" i="6"/>
  <c r="I275" i="2" s="1"/>
  <c r="I22" i="6"/>
  <c r="I267" i="2" s="1"/>
  <c r="I14" i="6"/>
  <c r="I259" i="2" s="1"/>
  <c r="I6" i="6"/>
  <c r="I251" i="2" s="1"/>
  <c r="I90" i="6"/>
  <c r="I335" i="2" s="1"/>
  <c r="I82" i="6"/>
  <c r="I327" i="2" s="1"/>
  <c r="I74" i="6"/>
  <c r="I319" i="2" s="1"/>
  <c r="I65" i="6"/>
  <c r="I310" i="2" s="1"/>
  <c r="I57" i="6"/>
  <c r="I302" i="2" s="1"/>
  <c r="I49" i="6"/>
  <c r="I294" i="2" s="1"/>
  <c r="I41" i="6"/>
  <c r="I286" i="2" s="1"/>
  <c r="I33" i="6"/>
  <c r="I278" i="2" s="1"/>
  <c r="I25" i="6"/>
  <c r="I270" i="2" s="1"/>
  <c r="I17" i="6"/>
  <c r="I262" i="2" s="1"/>
  <c r="I9" i="6"/>
  <c r="I254" i="2" s="1"/>
  <c r="I119" i="6"/>
  <c r="I364" i="2" s="1"/>
  <c r="I118" i="6"/>
  <c r="I363" i="2" s="1"/>
  <c r="I117" i="6"/>
  <c r="I362" i="2" s="1"/>
  <c r="I116" i="6"/>
  <c r="I361" i="2" s="1"/>
  <c r="I115" i="6"/>
  <c r="I360" i="2" s="1"/>
  <c r="I114" i="6"/>
  <c r="I359" i="2" s="1"/>
  <c r="I113" i="6"/>
  <c r="I358" i="2" s="1"/>
  <c r="I112" i="6"/>
  <c r="I357" i="2" s="1"/>
  <c r="I111" i="6"/>
  <c r="I356" i="2" s="1"/>
  <c r="I110" i="6"/>
  <c r="I355" i="2" s="1"/>
  <c r="I109" i="6"/>
  <c r="I354" i="2" s="1"/>
  <c r="I108" i="6"/>
  <c r="I353" i="2" s="1"/>
  <c r="I107" i="6"/>
  <c r="I352" i="2" s="1"/>
  <c r="I106" i="6"/>
  <c r="I351" i="2" s="1"/>
  <c r="I105" i="6"/>
  <c r="I350" i="2" s="1"/>
  <c r="I104" i="6"/>
  <c r="I349" i="2" s="1"/>
  <c r="I103" i="6"/>
  <c r="I348" i="2" s="1"/>
  <c r="I102" i="6"/>
  <c r="I347" i="2" s="1"/>
  <c r="I101" i="6"/>
  <c r="I346" i="2" s="1"/>
  <c r="I100" i="6"/>
  <c r="I345" i="2" s="1"/>
  <c r="I99" i="6"/>
  <c r="I344" i="2" s="1"/>
  <c r="I98" i="6"/>
  <c r="I343" i="2" s="1"/>
  <c r="I97" i="6"/>
  <c r="I342" i="2" s="1"/>
  <c r="I96" i="6"/>
  <c r="I341" i="2" s="1"/>
  <c r="I95" i="6"/>
  <c r="I340" i="2" s="1"/>
  <c r="I94" i="6"/>
  <c r="I339" i="2" s="1"/>
  <c r="I93" i="6"/>
  <c r="I338" i="2" s="1"/>
  <c r="J92" i="6"/>
  <c r="J337" i="2" s="1"/>
  <c r="J7" i="6"/>
  <c r="J252" i="2" s="1"/>
  <c r="J6" i="6"/>
  <c r="J251" i="2" s="1"/>
  <c r="J119" i="6"/>
  <c r="J364" i="2" s="1"/>
  <c r="J115" i="6"/>
  <c r="J360" i="2" s="1"/>
  <c r="J111" i="6"/>
  <c r="J356" i="2" s="1"/>
  <c r="J107" i="6"/>
  <c r="J352" i="2" s="1"/>
  <c r="J103" i="6"/>
  <c r="J348" i="2" s="1"/>
  <c r="J99" i="6"/>
  <c r="J344" i="2" s="1"/>
  <c r="J95" i="6"/>
  <c r="J340" i="2" s="1"/>
  <c r="I91" i="6"/>
  <c r="I336" i="2" s="1"/>
  <c r="I83" i="6"/>
  <c r="I328" i="2" s="1"/>
  <c r="I75" i="6"/>
  <c r="I320" i="2" s="1"/>
  <c r="I68" i="6"/>
  <c r="I313" i="2" s="1"/>
  <c r="I60" i="6"/>
  <c r="I305" i="2" s="1"/>
  <c r="I52" i="6"/>
  <c r="I297" i="2" s="1"/>
  <c r="I44" i="6"/>
  <c r="I289" i="2" s="1"/>
  <c r="I36" i="6"/>
  <c r="I281" i="2" s="1"/>
  <c r="I28" i="6"/>
  <c r="I273" i="2" s="1"/>
  <c r="I20" i="6"/>
  <c r="I265" i="2" s="1"/>
  <c r="I12" i="6"/>
  <c r="I257" i="2" s="1"/>
  <c r="I92" i="6"/>
  <c r="I337" i="2" s="1"/>
  <c r="I84" i="6"/>
  <c r="I329" i="2" s="1"/>
  <c r="I76" i="6"/>
  <c r="I321" i="2" s="1"/>
  <c r="I63" i="6"/>
  <c r="I308" i="2" s="1"/>
  <c r="I55" i="6"/>
  <c r="I300" i="2" s="1"/>
  <c r="I47" i="6"/>
  <c r="I292" i="2" s="1"/>
  <c r="I39" i="6"/>
  <c r="I284" i="2" s="1"/>
  <c r="I31" i="6"/>
  <c r="I276" i="2" s="1"/>
  <c r="I23" i="6"/>
  <c r="I268" i="2" s="1"/>
  <c r="I15" i="6"/>
  <c r="I260" i="2" s="1"/>
  <c r="I7" i="6"/>
  <c r="I252" i="2" s="1"/>
  <c r="J116" i="6"/>
  <c r="J361" i="2" s="1"/>
  <c r="J112" i="6"/>
  <c r="J357" i="2" s="1"/>
  <c r="J108" i="6"/>
  <c r="J353" i="2" s="1"/>
  <c r="J104" i="6"/>
  <c r="J349" i="2" s="1"/>
  <c r="J100" i="6"/>
  <c r="J345" i="2" s="1"/>
  <c r="J96" i="6"/>
  <c r="J341" i="2" s="1"/>
  <c r="I85" i="6"/>
  <c r="I330" i="2" s="1"/>
  <c r="I77" i="6"/>
  <c r="I322" i="2" s="1"/>
  <c r="I66" i="6"/>
  <c r="I311" i="2" s="1"/>
  <c r="I58" i="6"/>
  <c r="I303" i="2" s="1"/>
  <c r="I50" i="6"/>
  <c r="I295" i="2" s="1"/>
  <c r="I42" i="6"/>
  <c r="I287" i="2" s="1"/>
  <c r="I34" i="6"/>
  <c r="I279" i="2" s="1"/>
  <c r="I26" i="6"/>
  <c r="I271" i="2" s="1"/>
  <c r="I18" i="6"/>
  <c r="I263" i="2" s="1"/>
  <c r="I10" i="6"/>
  <c r="I255" i="2" s="1"/>
  <c r="I86" i="6"/>
  <c r="I331" i="2" s="1"/>
  <c r="I78" i="6"/>
  <c r="I323" i="2" s="1"/>
  <c r="I70" i="6"/>
  <c r="I315" i="2" s="1"/>
  <c r="I69" i="6"/>
  <c r="I314" i="2" s="1"/>
  <c r="I61" i="6"/>
  <c r="I306" i="2" s="1"/>
  <c r="I53" i="6"/>
  <c r="I298" i="2" s="1"/>
  <c r="I45" i="6"/>
  <c r="I290" i="2" s="1"/>
  <c r="I37" i="6"/>
  <c r="I282" i="2" s="1"/>
  <c r="I29" i="6"/>
  <c r="I274" i="2" s="1"/>
  <c r="I21" i="6"/>
  <c r="I266" i="2" s="1"/>
  <c r="I13" i="6"/>
  <c r="I258" i="2" s="1"/>
  <c r="G83" i="6"/>
  <c r="G328" i="2" s="1"/>
  <c r="H113" i="6"/>
  <c r="H358" i="2" s="1"/>
  <c r="H97" i="6"/>
  <c r="H342" i="2" s="1"/>
  <c r="H117" i="6"/>
  <c r="H362" i="2" s="1"/>
  <c r="H101" i="6"/>
  <c r="H346" i="2" s="1"/>
  <c r="G77" i="6"/>
  <c r="G322" i="2" s="1"/>
  <c r="H105" i="6"/>
  <c r="H350" i="2" s="1"/>
  <c r="H109" i="6"/>
  <c r="H354" i="2" s="1"/>
  <c r="H93" i="6"/>
  <c r="H338" i="2" s="1"/>
  <c r="H92" i="6"/>
  <c r="H337" i="2" s="1"/>
  <c r="H91" i="6"/>
  <c r="H336" i="2" s="1"/>
  <c r="H90" i="6"/>
  <c r="H335" i="2" s="1"/>
  <c r="H89" i="6"/>
  <c r="H334" i="2" s="1"/>
  <c r="H88" i="6"/>
  <c r="H333" i="2" s="1"/>
  <c r="H87" i="6"/>
  <c r="H332" i="2" s="1"/>
  <c r="H86" i="6"/>
  <c r="H331" i="2" s="1"/>
  <c r="H85" i="6"/>
  <c r="H330" i="2" s="1"/>
  <c r="H84" i="6"/>
  <c r="H329" i="2" s="1"/>
  <c r="H83" i="6"/>
  <c r="H328" i="2" s="1"/>
  <c r="H82" i="6"/>
  <c r="H327" i="2" s="1"/>
  <c r="H81" i="6"/>
  <c r="H326" i="2" s="1"/>
  <c r="H80" i="6"/>
  <c r="H325" i="2" s="1"/>
  <c r="H79" i="6"/>
  <c r="H324" i="2" s="1"/>
  <c r="H78" i="6"/>
  <c r="H323" i="2" s="1"/>
  <c r="H77" i="6"/>
  <c r="H322" i="2" s="1"/>
  <c r="H76" i="6"/>
  <c r="H321" i="2" s="1"/>
  <c r="H75" i="6"/>
  <c r="H320" i="2" s="1"/>
  <c r="H74" i="6"/>
  <c r="H319" i="2" s="1"/>
  <c r="H73" i="6"/>
  <c r="H318" i="2" s="1"/>
  <c r="H72" i="6"/>
  <c r="H317" i="2" s="1"/>
  <c r="H71" i="6"/>
  <c r="H316" i="2" s="1"/>
  <c r="H70" i="6"/>
  <c r="H315" i="2" s="1"/>
  <c r="H69" i="6"/>
  <c r="H314" i="2" s="1"/>
  <c r="H68" i="6"/>
  <c r="H313" i="2" s="1"/>
  <c r="H67" i="6"/>
  <c r="H312" i="2" s="1"/>
  <c r="H66" i="6"/>
  <c r="H311" i="2" s="1"/>
  <c r="H65" i="6"/>
  <c r="H310" i="2" s="1"/>
  <c r="H64" i="6"/>
  <c r="H309" i="2" s="1"/>
  <c r="H63" i="6"/>
  <c r="H308" i="2" s="1"/>
  <c r="H62" i="6"/>
  <c r="H307" i="2" s="1"/>
  <c r="H61" i="6"/>
  <c r="H306" i="2" s="1"/>
  <c r="H60" i="6"/>
  <c r="H305" i="2" s="1"/>
  <c r="H59" i="6"/>
  <c r="H304" i="2" s="1"/>
  <c r="H58" i="6"/>
  <c r="H303" i="2" s="1"/>
  <c r="H57" i="6"/>
  <c r="H302" i="2" s="1"/>
  <c r="H56" i="6"/>
  <c r="H301" i="2" s="1"/>
  <c r="H55" i="6"/>
  <c r="H300" i="2" s="1"/>
  <c r="H54" i="6"/>
  <c r="H299" i="2" s="1"/>
  <c r="H53" i="6"/>
  <c r="H298" i="2" s="1"/>
  <c r="H52" i="6"/>
  <c r="H297" i="2" s="1"/>
  <c r="H51" i="6"/>
  <c r="H296" i="2" s="1"/>
  <c r="H50" i="6"/>
  <c r="H295" i="2" s="1"/>
  <c r="H49" i="6"/>
  <c r="H294" i="2" s="1"/>
  <c r="H48" i="6"/>
  <c r="H293" i="2" s="1"/>
  <c r="H47" i="6"/>
  <c r="H292" i="2" s="1"/>
  <c r="H46" i="6"/>
  <c r="H291" i="2" s="1"/>
  <c r="H45" i="6"/>
  <c r="H290" i="2" s="1"/>
  <c r="H44" i="6"/>
  <c r="H289" i="2" s="1"/>
  <c r="H43" i="6"/>
  <c r="H288" i="2" s="1"/>
  <c r="H42" i="6"/>
  <c r="H287" i="2" s="1"/>
  <c r="H41" i="6"/>
  <c r="H286" i="2" s="1"/>
  <c r="H40" i="6"/>
  <c r="H285" i="2" s="1"/>
  <c r="H39" i="6"/>
  <c r="H284" i="2" s="1"/>
  <c r="H38" i="6"/>
  <c r="H283" i="2" s="1"/>
  <c r="H37" i="6"/>
  <c r="H282" i="2" s="1"/>
  <c r="H36" i="6"/>
  <c r="H281" i="2" s="1"/>
  <c r="H35" i="6"/>
  <c r="H280" i="2" s="1"/>
  <c r="H34" i="6"/>
  <c r="H279" i="2" s="1"/>
  <c r="H33" i="6"/>
  <c r="H278" i="2" s="1"/>
  <c r="H32" i="6"/>
  <c r="H277" i="2" s="1"/>
  <c r="H31" i="6"/>
  <c r="H276" i="2" s="1"/>
  <c r="H30" i="6"/>
  <c r="H275" i="2" s="1"/>
  <c r="H29" i="6"/>
  <c r="H274" i="2" s="1"/>
  <c r="H28" i="6"/>
  <c r="H273" i="2" s="1"/>
  <c r="H27" i="6"/>
  <c r="H272" i="2" s="1"/>
  <c r="H26" i="6"/>
  <c r="H271" i="2" s="1"/>
  <c r="H25" i="6"/>
  <c r="H270" i="2" s="1"/>
  <c r="H24" i="6"/>
  <c r="H269" i="2" s="1"/>
  <c r="H23" i="6"/>
  <c r="H268" i="2" s="1"/>
  <c r="H22" i="6"/>
  <c r="H267" i="2" s="1"/>
  <c r="H21" i="6"/>
  <c r="H266" i="2" s="1"/>
  <c r="H20" i="6"/>
  <c r="H265" i="2" s="1"/>
  <c r="H19" i="6"/>
  <c r="H264" i="2" s="1"/>
  <c r="H18" i="6"/>
  <c r="H263" i="2" s="1"/>
  <c r="H17" i="6"/>
  <c r="H262" i="2" s="1"/>
  <c r="H16" i="6"/>
  <c r="H261" i="2" s="1"/>
  <c r="H15" i="6"/>
  <c r="H260" i="2" s="1"/>
  <c r="H14" i="6"/>
  <c r="H259" i="2" s="1"/>
  <c r="H13" i="6"/>
  <c r="H258" i="2" s="1"/>
  <c r="H12" i="6"/>
  <c r="H257" i="2" s="1"/>
  <c r="H11" i="6"/>
  <c r="H256" i="2" s="1"/>
  <c r="H10" i="6"/>
  <c r="H255" i="2" s="1"/>
  <c r="H9" i="6"/>
  <c r="H254" i="2" s="1"/>
  <c r="H8" i="6"/>
  <c r="H253" i="2" s="1"/>
  <c r="H7" i="6"/>
  <c r="H252" i="2" s="1"/>
  <c r="H6" i="6"/>
  <c r="H251" i="2" s="1"/>
  <c r="G73" i="6"/>
  <c r="G318" i="2" s="1"/>
  <c r="G75" i="6"/>
  <c r="G320" i="2" s="1"/>
  <c r="G85" i="6"/>
  <c r="G330" i="2" s="1"/>
  <c r="G79" i="6"/>
  <c r="G324" i="2" s="1"/>
  <c r="G88" i="6"/>
  <c r="G333" i="2" s="1"/>
  <c r="G80" i="6"/>
  <c r="G325" i="2" s="1"/>
  <c r="G72" i="6"/>
  <c r="G317" i="2" s="1"/>
  <c r="G119" i="6"/>
  <c r="G364" i="2" s="1"/>
  <c r="G115" i="6"/>
  <c r="G360" i="2" s="1"/>
  <c r="G111" i="6"/>
  <c r="G356" i="2" s="1"/>
  <c r="G107" i="6"/>
  <c r="G352" i="2" s="1"/>
  <c r="G103" i="6"/>
  <c r="G348" i="2" s="1"/>
  <c r="G99" i="6"/>
  <c r="G344" i="2" s="1"/>
  <c r="G95" i="6"/>
  <c r="G340" i="2" s="1"/>
  <c r="G68" i="6"/>
  <c r="G313" i="2" s="1"/>
  <c r="G66" i="6"/>
  <c r="G311" i="2" s="1"/>
  <c r="G64" i="6"/>
  <c r="G309" i="2" s="1"/>
  <c r="G62" i="6"/>
  <c r="G307" i="2" s="1"/>
  <c r="G60" i="6"/>
  <c r="G305" i="2" s="1"/>
  <c r="G58" i="6"/>
  <c r="G303" i="2" s="1"/>
  <c r="G56" i="6"/>
  <c r="G301" i="2" s="1"/>
  <c r="G54" i="6"/>
  <c r="G299" i="2" s="1"/>
  <c r="G52" i="6"/>
  <c r="G297" i="2" s="1"/>
  <c r="G50" i="6"/>
  <c r="G295" i="2" s="1"/>
  <c r="G48" i="6"/>
  <c r="G293" i="2" s="1"/>
  <c r="G46" i="6"/>
  <c r="G291" i="2" s="1"/>
  <c r="G44" i="6"/>
  <c r="G289" i="2" s="1"/>
  <c r="G42" i="6"/>
  <c r="G287" i="2" s="1"/>
  <c r="G40" i="6"/>
  <c r="G285" i="2" s="1"/>
  <c r="G38" i="6"/>
  <c r="G283" i="2" s="1"/>
  <c r="G36" i="6"/>
  <c r="G281" i="2" s="1"/>
  <c r="G34" i="6"/>
  <c r="G279" i="2" s="1"/>
  <c r="G32" i="6"/>
  <c r="G277" i="2" s="1"/>
  <c r="G30" i="6"/>
  <c r="G275" i="2" s="1"/>
  <c r="G28" i="6"/>
  <c r="G273" i="2" s="1"/>
  <c r="G26" i="6"/>
  <c r="G271" i="2" s="1"/>
  <c r="G24" i="6"/>
  <c r="G269" i="2" s="1"/>
  <c r="G22" i="6"/>
  <c r="G267" i="2" s="1"/>
  <c r="G20" i="6"/>
  <c r="G265" i="2" s="1"/>
  <c r="G18" i="6"/>
  <c r="G263" i="2" s="1"/>
  <c r="G16" i="6"/>
  <c r="G261" i="2" s="1"/>
  <c r="G14" i="6"/>
  <c r="G259" i="2" s="1"/>
  <c r="G12" i="6"/>
  <c r="G257" i="2" s="1"/>
  <c r="G10" i="6"/>
  <c r="G255" i="2" s="1"/>
  <c r="G8" i="6"/>
  <c r="G253" i="2" s="1"/>
  <c r="G6" i="6"/>
  <c r="G251" i="2" s="1"/>
  <c r="J5" i="6"/>
  <c r="J250" i="2" s="1"/>
  <c r="G90" i="6"/>
  <c r="G335" i="2" s="1"/>
  <c r="G82" i="6"/>
  <c r="G327" i="2" s="1"/>
  <c r="G74" i="6"/>
  <c r="G319" i="2" s="1"/>
  <c r="G116" i="6"/>
  <c r="G361" i="2" s="1"/>
  <c r="G112" i="6"/>
  <c r="G357" i="2" s="1"/>
  <c r="G108" i="6"/>
  <c r="G353" i="2" s="1"/>
  <c r="G104" i="6"/>
  <c r="G349" i="2" s="1"/>
  <c r="G100" i="6"/>
  <c r="G345" i="2" s="1"/>
  <c r="G96" i="6"/>
  <c r="G341" i="2" s="1"/>
  <c r="G92" i="6"/>
  <c r="G337" i="2" s="1"/>
  <c r="G84" i="6"/>
  <c r="G329" i="2" s="1"/>
  <c r="G76" i="6"/>
  <c r="G321" i="2" s="1"/>
  <c r="G117" i="6"/>
  <c r="G362" i="2" s="1"/>
  <c r="G113" i="6"/>
  <c r="G358" i="2" s="1"/>
  <c r="G109" i="6"/>
  <c r="G354" i="2" s="1"/>
  <c r="G105" i="6"/>
  <c r="G350" i="2" s="1"/>
  <c r="G101" i="6"/>
  <c r="G346" i="2" s="1"/>
  <c r="G97" i="6"/>
  <c r="G342" i="2" s="1"/>
  <c r="G93" i="6"/>
  <c r="G338" i="2" s="1"/>
  <c r="G69" i="6"/>
  <c r="G314" i="2" s="1"/>
  <c r="G67" i="6"/>
  <c r="G312" i="2" s="1"/>
  <c r="G65" i="6"/>
  <c r="G310" i="2" s="1"/>
  <c r="G63" i="6"/>
  <c r="G308" i="2" s="1"/>
  <c r="G61" i="6"/>
  <c r="G306" i="2" s="1"/>
  <c r="G59" i="6"/>
  <c r="G304" i="2" s="1"/>
  <c r="G57" i="6"/>
  <c r="G302" i="2" s="1"/>
  <c r="G55" i="6"/>
  <c r="G300" i="2" s="1"/>
  <c r="G53" i="6"/>
  <c r="G298" i="2" s="1"/>
  <c r="G51" i="6"/>
  <c r="G296" i="2" s="1"/>
  <c r="G49" i="6"/>
  <c r="G294" i="2" s="1"/>
  <c r="G47" i="6"/>
  <c r="G292" i="2" s="1"/>
  <c r="G45" i="6"/>
  <c r="G290" i="2" s="1"/>
  <c r="G43" i="6"/>
  <c r="G288" i="2" s="1"/>
  <c r="G41" i="6"/>
  <c r="G286" i="2" s="1"/>
  <c r="G39" i="6"/>
  <c r="G284" i="2" s="1"/>
  <c r="G37" i="6"/>
  <c r="G282" i="2" s="1"/>
  <c r="G35" i="6"/>
  <c r="G280" i="2" s="1"/>
  <c r="G33" i="6"/>
  <c r="G278" i="2" s="1"/>
  <c r="G31" i="6"/>
  <c r="G276" i="2" s="1"/>
  <c r="G29" i="6"/>
  <c r="G274" i="2" s="1"/>
  <c r="G27" i="6"/>
  <c r="G272" i="2" s="1"/>
  <c r="G25" i="6"/>
  <c r="G270" i="2" s="1"/>
  <c r="G23" i="6"/>
  <c r="G268" i="2" s="1"/>
  <c r="G21" i="6"/>
  <c r="G266" i="2" s="1"/>
  <c r="G19" i="6"/>
  <c r="G264" i="2" s="1"/>
  <c r="G17" i="6"/>
  <c r="G262" i="2" s="1"/>
  <c r="G15" i="6"/>
  <c r="G260" i="2" s="1"/>
  <c r="G13" i="6"/>
  <c r="G258" i="2" s="1"/>
  <c r="G11" i="6"/>
  <c r="G256" i="2" s="1"/>
  <c r="G9" i="6"/>
  <c r="G254" i="2" s="1"/>
  <c r="G7" i="6"/>
  <c r="G252" i="2" s="1"/>
  <c r="G71" i="6"/>
  <c r="G316" i="2" s="1"/>
  <c r="G86" i="6"/>
  <c r="G331" i="2" s="1"/>
  <c r="G78" i="6"/>
  <c r="G323" i="2" s="1"/>
  <c r="G70" i="6"/>
  <c r="G315" i="2" s="1"/>
  <c r="G118" i="6"/>
  <c r="G363" i="2" s="1"/>
  <c r="G114" i="6"/>
  <c r="G359" i="2" s="1"/>
  <c r="G110" i="6"/>
  <c r="G355" i="2" s="1"/>
  <c r="G106" i="6"/>
  <c r="G351" i="2" s="1"/>
  <c r="G102" i="6"/>
  <c r="G347" i="2" s="1"/>
  <c r="G98" i="6"/>
  <c r="G343" i="2" s="1"/>
  <c r="G94" i="6"/>
  <c r="G339" i="2" s="1"/>
  <c r="F117" i="6"/>
  <c r="F362" i="2" s="1"/>
  <c r="F113" i="6"/>
  <c r="F358" i="2" s="1"/>
  <c r="F109" i="6"/>
  <c r="F354" i="2" s="1"/>
  <c r="F105" i="6"/>
  <c r="F350" i="2" s="1"/>
  <c r="F101" i="6"/>
  <c r="F346" i="2" s="1"/>
  <c r="F97" i="6"/>
  <c r="F342" i="2" s="1"/>
  <c r="F93" i="6"/>
  <c r="F338" i="2" s="1"/>
  <c r="F92" i="6"/>
  <c r="F337" i="2" s="1"/>
  <c r="F91" i="6"/>
  <c r="F336" i="2" s="1"/>
  <c r="F90" i="6"/>
  <c r="F335" i="2" s="1"/>
  <c r="F89" i="6"/>
  <c r="F334" i="2" s="1"/>
  <c r="F88" i="6"/>
  <c r="F333" i="2" s="1"/>
  <c r="F87" i="6"/>
  <c r="F332" i="2" s="1"/>
  <c r="F86" i="6"/>
  <c r="F331" i="2" s="1"/>
  <c r="F85" i="6"/>
  <c r="F330" i="2" s="1"/>
  <c r="F84" i="6"/>
  <c r="F329" i="2" s="1"/>
  <c r="F83" i="6"/>
  <c r="F328" i="2" s="1"/>
  <c r="F82" i="6"/>
  <c r="F327" i="2" s="1"/>
  <c r="F81" i="6"/>
  <c r="F326" i="2" s="1"/>
  <c r="F80" i="6"/>
  <c r="F325" i="2" s="1"/>
  <c r="F79" i="6"/>
  <c r="F324" i="2" s="1"/>
  <c r="F78" i="6"/>
  <c r="F323" i="2" s="1"/>
  <c r="F77" i="6"/>
  <c r="F322" i="2" s="1"/>
  <c r="F76" i="6"/>
  <c r="F321" i="2" s="1"/>
  <c r="F75" i="6"/>
  <c r="F320" i="2" s="1"/>
  <c r="F74" i="6"/>
  <c r="F319" i="2" s="1"/>
  <c r="F73" i="6"/>
  <c r="F318" i="2" s="1"/>
  <c r="F72" i="6"/>
  <c r="F317" i="2" s="1"/>
  <c r="F71" i="6"/>
  <c r="F316" i="2" s="1"/>
  <c r="F70" i="6"/>
  <c r="F315" i="2" s="1"/>
  <c r="F69" i="6"/>
  <c r="F314" i="2" s="1"/>
  <c r="F68" i="6"/>
  <c r="F313" i="2" s="1"/>
  <c r="F67" i="6"/>
  <c r="F312" i="2" s="1"/>
  <c r="F66" i="6"/>
  <c r="F311" i="2" s="1"/>
  <c r="F65" i="6"/>
  <c r="F310" i="2" s="1"/>
  <c r="F64" i="6"/>
  <c r="F309" i="2" s="1"/>
  <c r="F63" i="6"/>
  <c r="F308" i="2" s="1"/>
  <c r="F62" i="6"/>
  <c r="F307" i="2" s="1"/>
  <c r="F61" i="6"/>
  <c r="F306" i="2" s="1"/>
  <c r="F60" i="6"/>
  <c r="F305" i="2" s="1"/>
  <c r="F59" i="6"/>
  <c r="F304" i="2" s="1"/>
  <c r="F58" i="6"/>
  <c r="F303" i="2" s="1"/>
  <c r="F57" i="6"/>
  <c r="F302" i="2" s="1"/>
  <c r="F56" i="6"/>
  <c r="F301" i="2" s="1"/>
  <c r="F55" i="6"/>
  <c r="F300" i="2" s="1"/>
  <c r="F54" i="6"/>
  <c r="F299" i="2" s="1"/>
  <c r="F53" i="6"/>
  <c r="F298" i="2" s="1"/>
  <c r="F52" i="6"/>
  <c r="F297" i="2" s="1"/>
  <c r="F51" i="6"/>
  <c r="F296" i="2" s="1"/>
  <c r="F50" i="6"/>
  <c r="F295" i="2" s="1"/>
  <c r="F49" i="6"/>
  <c r="F294" i="2" s="1"/>
  <c r="F48" i="6"/>
  <c r="F293" i="2" s="1"/>
  <c r="F47" i="6"/>
  <c r="F292" i="2" s="1"/>
  <c r="F46" i="6"/>
  <c r="F291" i="2" s="1"/>
  <c r="F45" i="6"/>
  <c r="F290" i="2" s="1"/>
  <c r="F44" i="6"/>
  <c r="F289" i="2" s="1"/>
  <c r="F43" i="6"/>
  <c r="F288" i="2" s="1"/>
  <c r="F42" i="6"/>
  <c r="F287" i="2" s="1"/>
  <c r="F41" i="6"/>
  <c r="F286" i="2" s="1"/>
  <c r="F40" i="6"/>
  <c r="F285" i="2" s="1"/>
  <c r="F39" i="6"/>
  <c r="F284" i="2" s="1"/>
  <c r="F38" i="6"/>
  <c r="F283" i="2" s="1"/>
  <c r="F37" i="6"/>
  <c r="F282" i="2" s="1"/>
  <c r="F36" i="6"/>
  <c r="F281" i="2" s="1"/>
  <c r="F35" i="6"/>
  <c r="F280" i="2" s="1"/>
  <c r="F34" i="6"/>
  <c r="F279" i="2" s="1"/>
  <c r="F33" i="6"/>
  <c r="F278" i="2" s="1"/>
  <c r="F32" i="6"/>
  <c r="F277" i="2" s="1"/>
  <c r="F31" i="6"/>
  <c r="F276" i="2" s="1"/>
  <c r="F30" i="6"/>
  <c r="F275" i="2" s="1"/>
  <c r="F29" i="6"/>
  <c r="F274" i="2" s="1"/>
  <c r="F28" i="6"/>
  <c r="F273" i="2" s="1"/>
  <c r="F27" i="6"/>
  <c r="F272" i="2" s="1"/>
  <c r="F26" i="6"/>
  <c r="F271" i="2" s="1"/>
  <c r="F25" i="6"/>
  <c r="F270" i="2" s="1"/>
  <c r="F24" i="6"/>
  <c r="F269" i="2" s="1"/>
  <c r="F23" i="6"/>
  <c r="F268" i="2" s="1"/>
  <c r="F22" i="6"/>
  <c r="F267" i="2" s="1"/>
  <c r="F21" i="6"/>
  <c r="F266" i="2" s="1"/>
  <c r="F20" i="6"/>
  <c r="F265" i="2" s="1"/>
  <c r="F19" i="6"/>
  <c r="F264" i="2" s="1"/>
  <c r="F18" i="6"/>
  <c r="F263" i="2" s="1"/>
  <c r="F17" i="6"/>
  <c r="F262" i="2" s="1"/>
  <c r="F16" i="6"/>
  <c r="F261" i="2" s="1"/>
  <c r="F15" i="6"/>
  <c r="F260" i="2" s="1"/>
  <c r="F14" i="6"/>
  <c r="F259" i="2" s="1"/>
  <c r="F13" i="6"/>
  <c r="F258" i="2" s="1"/>
  <c r="F12" i="6"/>
  <c r="F257" i="2" s="1"/>
  <c r="F11" i="6"/>
  <c r="F256" i="2" s="1"/>
  <c r="F10" i="6"/>
  <c r="F255" i="2" s="1"/>
  <c r="F9" i="6"/>
  <c r="F254" i="2" s="1"/>
  <c r="F8" i="6"/>
  <c r="F253" i="2" s="1"/>
  <c r="F7" i="6"/>
  <c r="F252" i="2" s="1"/>
  <c r="F6" i="6"/>
  <c r="F251" i="2" s="1"/>
  <c r="F5" i="6"/>
  <c r="F250" i="2" s="1"/>
  <c r="E42" i="6"/>
  <c r="E287" i="2" s="1"/>
  <c r="E113" i="6"/>
  <c r="E358" i="2" s="1"/>
  <c r="E91" i="6"/>
  <c r="E336" i="2" s="1"/>
  <c r="E77" i="6"/>
  <c r="E322" i="2" s="1"/>
  <c r="E102" i="6"/>
  <c r="E347" i="2" s="1"/>
  <c r="E74" i="6"/>
  <c r="E319" i="2" s="1"/>
  <c r="E45" i="6"/>
  <c r="E290" i="2" s="1"/>
  <c r="E17" i="6"/>
  <c r="E262" i="2" s="1"/>
  <c r="E118" i="6"/>
  <c r="E363" i="2" s="1"/>
  <c r="E90" i="6"/>
  <c r="E335" i="2" s="1"/>
  <c r="E61" i="6"/>
  <c r="E306" i="2" s="1"/>
  <c r="E33" i="6"/>
  <c r="E278" i="2" s="1"/>
  <c r="E5" i="6"/>
  <c r="E250" i="2" s="1"/>
  <c r="E107" i="6"/>
  <c r="E352" i="2" s="1"/>
  <c r="E79" i="6"/>
  <c r="E324" i="2" s="1"/>
  <c r="E50" i="6"/>
  <c r="E295" i="2" s="1"/>
  <c r="E22" i="6"/>
  <c r="E267" i="2" s="1"/>
  <c r="E115" i="6"/>
  <c r="E360" i="2" s="1"/>
  <c r="E94" i="6"/>
  <c r="E339" i="2" s="1"/>
  <c r="E73" i="6"/>
  <c r="E318" i="2" s="1"/>
  <c r="E51" i="6"/>
  <c r="E296" i="2" s="1"/>
  <c r="E30" i="6"/>
  <c r="E275" i="2" s="1"/>
  <c r="E9" i="6"/>
  <c r="E254" i="2" s="1"/>
  <c r="E116" i="6"/>
  <c r="E361" i="2" s="1"/>
  <c r="E100" i="6"/>
  <c r="E345" i="2" s="1"/>
  <c r="E84" i="6"/>
  <c r="E329" i="2" s="1"/>
  <c r="E68" i="6"/>
  <c r="E313" i="2" s="1"/>
  <c r="E52" i="6"/>
  <c r="E297" i="2" s="1"/>
  <c r="E36" i="6"/>
  <c r="E281" i="2" s="1"/>
  <c r="E20" i="6"/>
  <c r="E265" i="2" s="1"/>
  <c r="F118" i="6"/>
  <c r="F363" i="2" s="1"/>
  <c r="F114" i="6"/>
  <c r="F359" i="2" s="1"/>
  <c r="F110" i="6"/>
  <c r="F355" i="2" s="1"/>
  <c r="F106" i="6"/>
  <c r="F351" i="2" s="1"/>
  <c r="F102" i="6"/>
  <c r="F347" i="2" s="1"/>
  <c r="F98" i="6"/>
  <c r="F343" i="2" s="1"/>
  <c r="F94" i="6"/>
  <c r="F339" i="2" s="1"/>
  <c r="H5" i="6"/>
  <c r="H250" i="2" s="1"/>
  <c r="E27" i="6"/>
  <c r="E272" i="2" s="1"/>
  <c r="E119" i="6"/>
  <c r="E364" i="2" s="1"/>
  <c r="E6" i="6"/>
  <c r="E251" i="2" s="1"/>
  <c r="E106" i="6"/>
  <c r="E351" i="2" s="1"/>
  <c r="E109" i="6"/>
  <c r="E354" i="2" s="1"/>
  <c r="E81" i="6"/>
  <c r="E326" i="2" s="1"/>
  <c r="E53" i="6"/>
  <c r="E298" i="2" s="1"/>
  <c r="E23" i="6"/>
  <c r="E268" i="2" s="1"/>
  <c r="E97" i="6"/>
  <c r="E342" i="2" s="1"/>
  <c r="E69" i="6"/>
  <c r="E314" i="2" s="1"/>
  <c r="E39" i="6"/>
  <c r="E284" i="2" s="1"/>
  <c r="E11" i="6"/>
  <c r="E256" i="2" s="1"/>
  <c r="E114" i="6"/>
  <c r="E359" i="2" s="1"/>
  <c r="E86" i="6"/>
  <c r="E331" i="2" s="1"/>
  <c r="E58" i="6"/>
  <c r="E303" i="2" s="1"/>
  <c r="E29" i="6"/>
  <c r="E274" i="2" s="1"/>
  <c r="E99" i="6"/>
  <c r="E344" i="2" s="1"/>
  <c r="E78" i="6"/>
  <c r="E323" i="2" s="1"/>
  <c r="E57" i="6"/>
  <c r="E302" i="2" s="1"/>
  <c r="E35" i="6"/>
  <c r="E280" i="2" s="1"/>
  <c r="E14" i="6"/>
  <c r="E259" i="2" s="1"/>
  <c r="E104" i="6"/>
  <c r="E349" i="2" s="1"/>
  <c r="E88" i="6"/>
  <c r="E333" i="2" s="1"/>
  <c r="E72" i="6"/>
  <c r="E317" i="2" s="1"/>
  <c r="E56" i="6"/>
  <c r="E301" i="2" s="1"/>
  <c r="E40" i="6"/>
  <c r="E285" i="2" s="1"/>
  <c r="E24" i="6"/>
  <c r="E269" i="2" s="1"/>
  <c r="E8" i="6"/>
  <c r="E253" i="2" s="1"/>
  <c r="F119" i="6"/>
  <c r="F364" i="2" s="1"/>
  <c r="F115" i="6"/>
  <c r="F360" i="2" s="1"/>
  <c r="F111" i="6"/>
  <c r="F356" i="2" s="1"/>
  <c r="F107" i="6"/>
  <c r="F352" i="2" s="1"/>
  <c r="F103" i="6"/>
  <c r="F348" i="2" s="1"/>
  <c r="F99" i="6"/>
  <c r="F344" i="2" s="1"/>
  <c r="F95" i="6"/>
  <c r="F340" i="2" s="1"/>
  <c r="E55" i="6"/>
  <c r="E300" i="2" s="1"/>
  <c r="E34" i="6"/>
  <c r="E279" i="2" s="1"/>
  <c r="E21" i="6"/>
  <c r="E266" i="2" s="1"/>
  <c r="E117" i="6"/>
  <c r="E362" i="2" s="1"/>
  <c r="E87" i="6"/>
  <c r="E332" i="2" s="1"/>
  <c r="E59" i="6"/>
  <c r="E304" i="2" s="1"/>
  <c r="E31" i="6"/>
  <c r="E276" i="2" s="1"/>
  <c r="E103" i="6"/>
  <c r="E348" i="2" s="1"/>
  <c r="E75" i="6"/>
  <c r="E320" i="2" s="1"/>
  <c r="E47" i="6"/>
  <c r="E292" i="2" s="1"/>
  <c r="E18" i="6"/>
  <c r="E263" i="2" s="1"/>
  <c r="E93" i="6"/>
  <c r="E338" i="2" s="1"/>
  <c r="E65" i="6"/>
  <c r="E310" i="2" s="1"/>
  <c r="E37" i="6"/>
  <c r="E282" i="2" s="1"/>
  <c r="E7" i="6"/>
  <c r="E252" i="2" s="1"/>
  <c r="E105" i="6"/>
  <c r="E350" i="2" s="1"/>
  <c r="E83" i="6"/>
  <c r="E328" i="2" s="1"/>
  <c r="E62" i="6"/>
  <c r="E307" i="2" s="1"/>
  <c r="E41" i="6"/>
  <c r="E286" i="2" s="1"/>
  <c r="E19" i="6"/>
  <c r="E264" i="2" s="1"/>
  <c r="E108" i="6"/>
  <c r="E353" i="2" s="1"/>
  <c r="E92" i="6"/>
  <c r="E337" i="2" s="1"/>
  <c r="E76" i="6"/>
  <c r="E321" i="2" s="1"/>
  <c r="E60" i="6"/>
  <c r="E305" i="2" s="1"/>
  <c r="E44" i="6"/>
  <c r="E289" i="2" s="1"/>
  <c r="E28" i="6"/>
  <c r="E273" i="2" s="1"/>
  <c r="E12" i="6"/>
  <c r="E257" i="2" s="1"/>
  <c r="F116" i="6"/>
  <c r="F361" i="2" s="1"/>
  <c r="F112" i="6"/>
  <c r="F357" i="2" s="1"/>
  <c r="F108" i="6"/>
  <c r="F353" i="2" s="1"/>
  <c r="F104" i="6"/>
  <c r="F349" i="2" s="1"/>
  <c r="F100" i="6"/>
  <c r="F345" i="2" s="1"/>
  <c r="F96" i="6"/>
  <c r="F341" i="2" s="1"/>
  <c r="I5" i="6"/>
  <c r="I250" i="2" s="1"/>
  <c r="G5" i="6"/>
  <c r="G250" i="2" s="1"/>
  <c r="E13" i="6"/>
  <c r="E258" i="2" s="1"/>
  <c r="E70" i="6"/>
  <c r="E315" i="2" s="1"/>
  <c r="E98" i="6"/>
  <c r="E343" i="2" s="1"/>
  <c r="E85" i="6"/>
  <c r="E330" i="2" s="1"/>
  <c r="E63" i="6"/>
  <c r="E308" i="2" s="1"/>
  <c r="E49" i="6"/>
  <c r="E294" i="2" s="1"/>
  <c r="E95" i="6"/>
  <c r="E340" i="2" s="1"/>
  <c r="E66" i="6"/>
  <c r="E311" i="2" s="1"/>
  <c r="E38" i="6"/>
  <c r="E283" i="2" s="1"/>
  <c r="E10" i="6"/>
  <c r="E255" i="2" s="1"/>
  <c r="E111" i="6"/>
  <c r="E356" i="2" s="1"/>
  <c r="E82" i="6"/>
  <c r="E327" i="2" s="1"/>
  <c r="E54" i="6"/>
  <c r="E299" i="2" s="1"/>
  <c r="E26" i="6"/>
  <c r="E271" i="2" s="1"/>
  <c r="E101" i="6"/>
  <c r="E346" i="2" s="1"/>
  <c r="E71" i="6"/>
  <c r="E316" i="2" s="1"/>
  <c r="E43" i="6"/>
  <c r="E288" i="2" s="1"/>
  <c r="E15" i="6"/>
  <c r="E260" i="2" s="1"/>
  <c r="E110" i="6"/>
  <c r="E355" i="2" s="1"/>
  <c r="E89" i="6"/>
  <c r="E334" i="2" s="1"/>
  <c r="E67" i="6"/>
  <c r="E312" i="2" s="1"/>
  <c r="E46" i="6"/>
  <c r="E291" i="2" s="1"/>
  <c r="E25" i="6"/>
  <c r="E270" i="2" s="1"/>
  <c r="E112" i="6"/>
  <c r="E357" i="2" s="1"/>
  <c r="E96" i="6"/>
  <c r="E341" i="2" s="1"/>
  <c r="E80" i="6"/>
  <c r="E325" i="2" s="1"/>
  <c r="E64" i="6"/>
  <c r="E309" i="2" s="1"/>
  <c r="E48" i="6"/>
  <c r="E293" i="2" s="1"/>
  <c r="E32" i="6"/>
  <c r="E277" i="2" s="1"/>
  <c r="E16" i="6"/>
  <c r="E261" i="2" s="1"/>
  <c r="AK34" i="1"/>
  <c r="AK28"/>
  <c r="AK71"/>
  <c r="AK47"/>
  <c r="AK36"/>
  <c r="AK73"/>
  <c r="AK54"/>
  <c r="AK38"/>
  <c r="AK59"/>
  <c r="AK43"/>
  <c r="AK64"/>
  <c r="AK48"/>
  <c r="AK32"/>
  <c r="AK57"/>
  <c r="AK41"/>
  <c r="AK76"/>
  <c r="AK72"/>
  <c r="AK68"/>
  <c r="AK42"/>
  <c r="AK52"/>
  <c r="AK29"/>
  <c r="AK58"/>
  <c r="AK61"/>
  <c r="AK62"/>
  <c r="AK46"/>
  <c r="AK30"/>
  <c r="AK51"/>
  <c r="AK35"/>
  <c r="AK56"/>
  <c r="AK40"/>
  <c r="AK65"/>
  <c r="AK49"/>
  <c r="AK33"/>
  <c r="AK74"/>
  <c r="AK70"/>
  <c r="AK66"/>
  <c r="AK50"/>
  <c r="AK55"/>
  <c r="AK39"/>
  <c r="AK60"/>
  <c r="AK44"/>
  <c r="AK53"/>
  <c r="AK37"/>
  <c r="AK75"/>
  <c r="AK67"/>
  <c r="AK63"/>
  <c r="AK31"/>
  <c r="AK45"/>
  <c r="AK69"/>
  <c r="AL26" l="1"/>
  <c r="B77" i="6"/>
  <c r="B322" i="2" s="1"/>
  <c r="B200"/>
  <c r="B83" i="6"/>
  <c r="B328" i="2" s="1"/>
  <c r="B206"/>
  <c r="B87" i="6"/>
  <c r="B332" i="2" s="1"/>
  <c r="B210"/>
  <c r="B89" i="6"/>
  <c r="B334" i="2" s="1"/>
  <c r="B212"/>
  <c r="B94" i="6"/>
  <c r="B339" i="2" s="1"/>
  <c r="B217"/>
  <c r="B86" i="6"/>
  <c r="B331" i="2" s="1"/>
  <c r="B209"/>
  <c r="D73" i="6"/>
  <c r="D318" i="2" s="1"/>
  <c r="D196"/>
  <c r="B78" i="6"/>
  <c r="B323" i="2" s="1"/>
  <c r="B201"/>
  <c r="B84" i="6"/>
  <c r="B329" i="2" s="1"/>
  <c r="B207"/>
  <c r="D85" i="6"/>
  <c r="D330" i="2" s="1"/>
  <c r="D208"/>
  <c r="B95" i="6"/>
  <c r="B340" i="2" s="1"/>
  <c r="B218"/>
  <c r="B79" i="6"/>
  <c r="B324" i="2" s="1"/>
  <c r="B202"/>
  <c r="B85" i="6"/>
  <c r="B330" i="2" s="1"/>
  <c r="B208"/>
  <c r="D88" i="6"/>
  <c r="D333" i="2" s="1"/>
  <c r="D211"/>
  <c r="D90" i="6"/>
  <c r="D335" i="2" s="1"/>
  <c r="D213"/>
  <c r="D71" i="6"/>
  <c r="D316" i="2" s="1"/>
  <c r="D194"/>
  <c r="D69" i="6"/>
  <c r="D314" i="2" s="1"/>
  <c r="D192"/>
  <c r="B88" i="6"/>
  <c r="B333" i="2" s="1"/>
  <c r="B211"/>
  <c r="B93" i="6"/>
  <c r="B338" i="2" s="1"/>
  <c r="B216"/>
  <c r="D84" i="5"/>
  <c r="C28" i="4"/>
  <c r="B99" i="5"/>
  <c r="B30" i="4"/>
  <c r="D98" i="5"/>
  <c r="C33" i="4"/>
  <c r="B50" i="2"/>
  <c r="B108" i="5"/>
  <c r="B107"/>
  <c r="B106"/>
  <c r="D103"/>
  <c r="B101"/>
  <c r="B102"/>
  <c r="D101"/>
  <c r="D96"/>
  <c r="B100"/>
  <c r="B98"/>
  <c r="B97"/>
  <c r="B96"/>
  <c r="D92"/>
  <c r="D94"/>
  <c r="D93"/>
  <c r="B92"/>
  <c r="D91"/>
  <c r="B91"/>
  <c r="B90"/>
  <c r="D89"/>
  <c r="D87"/>
  <c r="B30" i="3"/>
  <c r="D86" i="5"/>
  <c r="B41" i="4"/>
  <c r="C34"/>
  <c r="C30" i="3"/>
  <c r="C43" i="2"/>
  <c r="B36" i="4"/>
  <c r="B32" i="3"/>
  <c r="B45" i="2"/>
  <c r="C33" i="3"/>
  <c r="C46" i="2"/>
  <c r="D81" i="5"/>
  <c r="B37" i="3"/>
  <c r="B31"/>
  <c r="B35" i="4"/>
  <c r="B44" i="2"/>
  <c r="D79" i="5"/>
  <c r="C35" i="4"/>
  <c r="C31" i="3"/>
  <c r="C44" i="2"/>
  <c r="C28" i="3"/>
  <c r="C41" i="2"/>
  <c r="D76" i="5"/>
  <c r="D55"/>
  <c r="B43" i="2"/>
  <c r="D78" i="5"/>
  <c r="AL58" i="1"/>
  <c r="AL75"/>
  <c r="AL59"/>
  <c r="AL43"/>
  <c r="AL76"/>
  <c r="AL60"/>
  <c r="AL44"/>
  <c r="AL28"/>
  <c r="AL61"/>
  <c r="AL45"/>
  <c r="AL29"/>
  <c r="AL62"/>
  <c r="AL46"/>
  <c r="AL30"/>
  <c r="AL51"/>
  <c r="AL68"/>
  <c r="AL36"/>
  <c r="AL53"/>
  <c r="AL54"/>
  <c r="AL71"/>
  <c r="AL39"/>
  <c r="AL56"/>
  <c r="AL73"/>
  <c r="AL41"/>
  <c r="AL42"/>
  <c r="AL63"/>
  <c r="AL47"/>
  <c r="AL31"/>
  <c r="AL64"/>
  <c r="AL48"/>
  <c r="AL32"/>
  <c r="AL65"/>
  <c r="AL49"/>
  <c r="AL33"/>
  <c r="AL66"/>
  <c r="AL50"/>
  <c r="AL34"/>
  <c r="AL67"/>
  <c r="AL35"/>
  <c r="AL52"/>
  <c r="AL69"/>
  <c r="AL37"/>
  <c r="AL70"/>
  <c r="AL38"/>
  <c r="AL55"/>
  <c r="AL72"/>
  <c r="AL40"/>
  <c r="AL57"/>
  <c r="AL74"/>
  <c r="AM26" l="1"/>
  <c r="D78" i="6"/>
  <c r="D323" i="2" s="1"/>
  <c r="D201"/>
  <c r="D89" i="6"/>
  <c r="D334" i="2" s="1"/>
  <c r="D212"/>
  <c r="B92" i="6"/>
  <c r="B337" i="2" s="1"/>
  <c r="B215"/>
  <c r="B96" i="6"/>
  <c r="B341" i="2" s="1"/>
  <c r="B219"/>
  <c r="D96" i="6"/>
  <c r="D341" i="2" s="1"/>
  <c r="D219"/>
  <c r="D103" i="6"/>
  <c r="D348" i="2" s="1"/>
  <c r="D226"/>
  <c r="B99" i="6"/>
  <c r="B344" i="2" s="1"/>
  <c r="B222"/>
  <c r="D87" i="6"/>
  <c r="D332" i="2" s="1"/>
  <c r="D210"/>
  <c r="D91" i="6"/>
  <c r="D336" i="2" s="1"/>
  <c r="D214"/>
  <c r="D92" i="6"/>
  <c r="D337" i="2" s="1"/>
  <c r="D215"/>
  <c r="B100" i="6"/>
  <c r="B345" i="2" s="1"/>
  <c r="B223"/>
  <c r="B101" i="6"/>
  <c r="B346" i="2" s="1"/>
  <c r="B224"/>
  <c r="B108" i="6"/>
  <c r="B353" i="2" s="1"/>
  <c r="B231"/>
  <c r="D76" i="6"/>
  <c r="D321" i="2" s="1"/>
  <c r="D199"/>
  <c r="D81" i="6"/>
  <c r="D326" i="2" s="1"/>
  <c r="D204"/>
  <c r="B91" i="6"/>
  <c r="B336" i="2" s="1"/>
  <c r="B214"/>
  <c r="D94" i="6"/>
  <c r="D339" i="2" s="1"/>
  <c r="D217"/>
  <c r="B98" i="6"/>
  <c r="B343" i="2" s="1"/>
  <c r="B221"/>
  <c r="B102" i="6"/>
  <c r="B347" i="2" s="1"/>
  <c r="B225"/>
  <c r="B107" i="6"/>
  <c r="B352" i="2" s="1"/>
  <c r="B230"/>
  <c r="D98" i="6"/>
  <c r="D343" i="2" s="1"/>
  <c r="D221"/>
  <c r="D84" i="6"/>
  <c r="D329" i="2" s="1"/>
  <c r="D207"/>
  <c r="D55" i="6"/>
  <c r="D300" i="2" s="1"/>
  <c r="D178"/>
  <c r="D79" i="6"/>
  <c r="D324" i="2" s="1"/>
  <c r="D202"/>
  <c r="D86" i="6"/>
  <c r="D331" i="2" s="1"/>
  <c r="D209"/>
  <c r="B90" i="6"/>
  <c r="B335" i="2" s="1"/>
  <c r="B213"/>
  <c r="D93" i="6"/>
  <c r="D338" i="2" s="1"/>
  <c r="D216"/>
  <c r="B97" i="6"/>
  <c r="B342" i="2" s="1"/>
  <c r="B220"/>
  <c r="D101" i="6"/>
  <c r="D346" i="2" s="1"/>
  <c r="D224"/>
  <c r="B106" i="6"/>
  <c r="B351" i="2" s="1"/>
  <c r="B229"/>
  <c r="D111" i="5"/>
  <c r="C37" i="4"/>
  <c r="B112" i="5"/>
  <c r="B34" i="4"/>
  <c r="C32"/>
  <c r="B119" i="5"/>
  <c r="D116"/>
  <c r="B115"/>
  <c r="D114"/>
  <c r="B114"/>
  <c r="B113"/>
  <c r="B110"/>
  <c r="B111"/>
  <c r="D109"/>
  <c r="D106"/>
  <c r="B109"/>
  <c r="D107"/>
  <c r="D105"/>
  <c r="B105"/>
  <c r="D102"/>
  <c r="D104"/>
  <c r="B104"/>
  <c r="B103"/>
  <c r="D100"/>
  <c r="B34" i="3"/>
  <c r="D99" i="5"/>
  <c r="D97"/>
  <c r="D95"/>
  <c r="B41" i="3"/>
  <c r="B54" i="2"/>
  <c r="C38" i="4"/>
  <c r="C34" i="3"/>
  <c r="C47" i="2"/>
  <c r="C32" i="3"/>
  <c r="C45" i="2"/>
  <c r="C39" i="4"/>
  <c r="C35" i="3"/>
  <c r="C48" i="2"/>
  <c r="B35" i="3"/>
  <c r="D83" i="5"/>
  <c r="B48" i="2"/>
  <c r="C37" i="3"/>
  <c r="C50" i="2"/>
  <c r="B40" i="4"/>
  <c r="B36" i="3"/>
  <c r="B49" i="2"/>
  <c r="D80" i="5"/>
  <c r="B38" i="4"/>
  <c r="B47" i="2"/>
  <c r="D82" i="5"/>
  <c r="AM29" i="1"/>
  <c r="AM63"/>
  <c r="AM47"/>
  <c r="AM31"/>
  <c r="AM64"/>
  <c r="AM48"/>
  <c r="AM32"/>
  <c r="AM65"/>
  <c r="AM49"/>
  <c r="AM33"/>
  <c r="AM66"/>
  <c r="AM50"/>
  <c r="AM34"/>
  <c r="AM67"/>
  <c r="AM51"/>
  <c r="AM35"/>
  <c r="AM68"/>
  <c r="AM52"/>
  <c r="AM36"/>
  <c r="AM69"/>
  <c r="AM53"/>
  <c r="AM37"/>
  <c r="AM70"/>
  <c r="AM54"/>
  <c r="AM38"/>
  <c r="AM42"/>
  <c r="AM75"/>
  <c r="AM59"/>
  <c r="AM43"/>
  <c r="AM76"/>
  <c r="AM60"/>
  <c r="AM44"/>
  <c r="AM28"/>
  <c r="AM61"/>
  <c r="AM45"/>
  <c r="AM62"/>
  <c r="AM46"/>
  <c r="AM30"/>
  <c r="AM71"/>
  <c r="AM55"/>
  <c r="AM39"/>
  <c r="AM72"/>
  <c r="AM56"/>
  <c r="AM40"/>
  <c r="AM73"/>
  <c r="AM57"/>
  <c r="AM41"/>
  <c r="AM74"/>
  <c r="AM58"/>
  <c r="AN26" l="1"/>
  <c r="BC108" i="2"/>
  <c r="M106"/>
  <c r="N108"/>
  <c r="S109"/>
  <c r="BK106"/>
  <c r="Z106"/>
  <c r="AZ108"/>
  <c r="F109"/>
  <c r="AS108"/>
  <c r="V106"/>
  <c r="AD111"/>
  <c r="BB106"/>
  <c r="Q111"/>
  <c r="AW108"/>
  <c r="AK111"/>
  <c r="AZ109"/>
  <c r="E109"/>
  <c r="I109"/>
  <c r="Q108"/>
  <c r="AO106"/>
  <c r="AO109"/>
  <c r="BB111"/>
  <c r="D109"/>
  <c r="E115"/>
  <c r="E108"/>
  <c r="AU108"/>
  <c r="AU109"/>
  <c r="Q106"/>
  <c r="W108"/>
  <c r="Y111"/>
  <c r="AW109"/>
  <c r="Y108"/>
  <c r="AF109"/>
  <c r="W106"/>
  <c r="AI106"/>
  <c r="X108"/>
  <c r="X109"/>
  <c r="I108"/>
  <c r="L109"/>
  <c r="Z108"/>
  <c r="BJ106"/>
  <c r="BK111"/>
  <c r="J108"/>
  <c r="M109"/>
  <c r="H109"/>
  <c r="Y109"/>
  <c r="AY109"/>
  <c r="BA108"/>
  <c r="AK109"/>
  <c r="BK109"/>
  <c r="BA109"/>
  <c r="AP106"/>
  <c r="BD106"/>
  <c r="AR106"/>
  <c r="AZ111"/>
  <c r="F108"/>
  <c r="M111"/>
  <c r="AI109"/>
  <c r="X111"/>
  <c r="BI108"/>
  <c r="AZ106"/>
  <c r="BH111"/>
  <c r="F110"/>
  <c r="AR108"/>
  <c r="M108"/>
  <c r="G110"/>
  <c r="BH108"/>
  <c r="BG106"/>
  <c r="AH106"/>
  <c r="BB109"/>
  <c r="G109"/>
  <c r="G108"/>
  <c r="AR111"/>
  <c r="H115"/>
  <c r="AW111"/>
  <c r="V108"/>
  <c r="AF106"/>
  <c r="J109"/>
  <c r="AY111"/>
  <c r="AD106"/>
  <c r="V109"/>
  <c r="L106"/>
  <c r="BB108"/>
  <c r="Z111"/>
  <c r="BI109"/>
  <c r="BD111"/>
  <c r="AN108"/>
  <c r="AB106"/>
  <c r="AA109"/>
  <c r="D110"/>
  <c r="BC111"/>
  <c r="I110"/>
  <c r="S111"/>
  <c r="J111"/>
  <c r="AD108"/>
  <c r="BF108"/>
  <c r="AY106"/>
  <c r="BJ111"/>
  <c r="BD108"/>
  <c r="BJ108"/>
  <c r="AK106"/>
  <c r="W109"/>
  <c r="X106"/>
  <c r="AS109"/>
  <c r="BA106"/>
  <c r="AP111"/>
  <c r="AI108"/>
  <c r="AH109"/>
  <c r="BC106"/>
  <c r="AH111"/>
  <c r="AI111"/>
  <c r="AF111"/>
  <c r="H110"/>
  <c r="BF109"/>
  <c r="AO111"/>
  <c r="AN106"/>
  <c r="AS106"/>
  <c r="AW106"/>
  <c r="BH109"/>
  <c r="AF108"/>
  <c r="L111"/>
  <c r="BD109"/>
  <c r="L108"/>
  <c r="Y106"/>
  <c r="BI111"/>
  <c r="AA108"/>
  <c r="AP109"/>
  <c r="AY108"/>
  <c r="AA111"/>
  <c r="N109"/>
  <c r="AB109"/>
  <c r="J106"/>
  <c r="D108"/>
  <c r="AP108"/>
  <c r="AN111"/>
  <c r="BF106"/>
  <c r="AS111"/>
  <c r="I115"/>
  <c r="AH108"/>
  <c r="AU106"/>
  <c r="Z109"/>
  <c r="AA106"/>
  <c r="AN109"/>
  <c r="BI106"/>
  <c r="V111"/>
  <c r="D115"/>
  <c r="W111"/>
  <c r="G115"/>
  <c r="S108"/>
  <c r="N106"/>
  <c r="Q109"/>
  <c r="AB108"/>
  <c r="BC109"/>
  <c r="H108"/>
  <c r="N111"/>
  <c r="BJ109"/>
  <c r="BK108"/>
  <c r="AD109"/>
  <c r="BG108"/>
  <c r="BF111"/>
  <c r="AU111"/>
  <c r="AK108"/>
  <c r="E110"/>
  <c r="BG109"/>
  <c r="AB111"/>
  <c r="BH106"/>
  <c r="BA111"/>
  <c r="F115"/>
  <c r="BG111"/>
  <c r="AO108"/>
  <c r="S106"/>
  <c r="AR109"/>
  <c r="BF104"/>
  <c r="L104"/>
  <c r="Z104"/>
  <c r="F105"/>
  <c r="AO105"/>
  <c r="AA105"/>
  <c r="N105"/>
  <c r="BK104"/>
  <c r="W105"/>
  <c r="BF102"/>
  <c r="Q107"/>
  <c r="V105"/>
  <c r="J104"/>
  <c r="BF105"/>
  <c r="S107"/>
  <c r="AY105"/>
  <c r="M104"/>
  <c r="AZ104"/>
  <c r="M107"/>
  <c r="BB102"/>
  <c r="L105"/>
  <c r="AO107"/>
  <c r="AA104"/>
  <c r="AH105"/>
  <c r="E106"/>
  <c r="H105"/>
  <c r="S104"/>
  <c r="AB102"/>
  <c r="BA104"/>
  <c r="BD102"/>
  <c r="BJ104"/>
  <c r="AP107"/>
  <c r="AR102"/>
  <c r="H104"/>
  <c r="E111"/>
  <c r="AD102"/>
  <c r="BG107"/>
  <c r="E104"/>
  <c r="J107"/>
  <c r="M102"/>
  <c r="AS105"/>
  <c r="BK100"/>
  <c r="N101"/>
  <c r="BF100"/>
  <c r="BJ103"/>
  <c r="S101"/>
  <c r="BI100"/>
  <c r="L103"/>
  <c r="AK98"/>
  <c r="M100"/>
  <c r="BH101"/>
  <c r="AF98"/>
  <c r="P79"/>
  <c r="Q87"/>
  <c r="P112"/>
  <c r="I94"/>
  <c r="X80"/>
  <c r="AC112"/>
  <c r="Q75"/>
  <c r="X77"/>
  <c r="P97"/>
  <c r="G96"/>
  <c r="AI99"/>
  <c r="J96"/>
  <c r="AL76"/>
  <c r="AO99"/>
  <c r="AD84"/>
  <c r="F87"/>
  <c r="T109"/>
  <c r="L94"/>
  <c r="M76"/>
  <c r="K118"/>
  <c r="G77"/>
  <c r="W86"/>
  <c r="AJ79"/>
  <c r="AV119"/>
  <c r="U105"/>
  <c r="Y89"/>
  <c r="M97"/>
  <c r="AD81"/>
  <c r="AG109"/>
  <c r="AD82"/>
  <c r="AK79"/>
  <c r="R93"/>
  <c r="H78"/>
  <c r="O76"/>
  <c r="AB87"/>
  <c r="W92"/>
  <c r="AG102"/>
  <c r="AN88"/>
  <c r="L79"/>
  <c r="D83"/>
  <c r="O104"/>
  <c r="Q99"/>
  <c r="D78"/>
  <c r="P113"/>
  <c r="H79"/>
  <c r="AA94"/>
  <c r="Y94"/>
  <c r="U121"/>
  <c r="I83"/>
  <c r="M82"/>
  <c r="AD78"/>
  <c r="BG100"/>
  <c r="AW101"/>
  <c r="AD103"/>
  <c r="L100"/>
  <c r="Y98"/>
  <c r="Z101"/>
  <c r="BI105"/>
  <c r="Z102"/>
  <c r="BA105"/>
  <c r="AB104"/>
  <c r="D104"/>
  <c r="W107"/>
  <c r="AU102"/>
  <c r="AK102"/>
  <c r="AZ102"/>
  <c r="BH102"/>
  <c r="F111"/>
  <c r="Y102"/>
  <c r="AS104"/>
  <c r="BJ107"/>
  <c r="AU105"/>
  <c r="BB104"/>
  <c r="AP102"/>
  <c r="AH107"/>
  <c r="J102"/>
  <c r="AN104"/>
  <c r="BA107"/>
  <c r="AR105"/>
  <c r="X104"/>
  <c r="AP105"/>
  <c r="L107"/>
  <c r="I104"/>
  <c r="BJ105"/>
  <c r="Z107"/>
  <c r="AY102"/>
  <c r="Y105"/>
  <c r="AW104"/>
  <c r="AF107"/>
  <c r="W104"/>
  <c r="AU107"/>
  <c r="AF105"/>
  <c r="F104"/>
  <c r="AR104"/>
  <c r="BF107"/>
  <c r="BK102"/>
  <c r="AI105"/>
  <c r="D111"/>
  <c r="G104"/>
  <c r="BH105"/>
  <c r="I106"/>
  <c r="F101"/>
  <c r="AR98"/>
  <c r="BC103"/>
  <c r="AU101"/>
  <c r="BD100"/>
  <c r="AS103"/>
  <c r="AA101"/>
  <c r="Q103"/>
  <c r="AI98"/>
  <c r="V77"/>
  <c r="D81"/>
  <c r="AR99"/>
  <c r="AU76"/>
  <c r="N87"/>
  <c r="V87"/>
  <c r="E98"/>
  <c r="T106"/>
  <c r="E88"/>
  <c r="K78"/>
  <c r="T84"/>
  <c r="P114"/>
  <c r="AX119"/>
  <c r="P123"/>
  <c r="AG101"/>
  <c r="AQ88"/>
  <c r="AA86"/>
  <c r="M96"/>
  <c r="AV113"/>
  <c r="U116"/>
  <c r="AC79"/>
  <c r="E85"/>
  <c r="AB97"/>
  <c r="R96"/>
  <c r="AP89"/>
  <c r="R114"/>
  <c r="W97"/>
  <c r="D92"/>
  <c r="N84"/>
  <c r="I75"/>
  <c r="AS76"/>
  <c r="P87"/>
  <c r="G82"/>
  <c r="Z89"/>
  <c r="M79"/>
  <c r="V92"/>
  <c r="Z99"/>
  <c r="AH87"/>
  <c r="AI87"/>
  <c r="J78"/>
  <c r="AL122"/>
  <c r="AU77"/>
  <c r="AQ102"/>
  <c r="G84"/>
  <c r="AP80"/>
  <c r="AG105"/>
  <c r="D98"/>
  <c r="AP88"/>
  <c r="AC76"/>
  <c r="AJ80"/>
  <c r="AP92"/>
  <c r="Y103"/>
  <c r="BF101"/>
  <c r="AK103"/>
  <c r="AS100"/>
  <c r="BK98"/>
  <c r="G101"/>
  <c r="AH104"/>
  <c r="BD105"/>
  <c r="X107"/>
  <c r="N104"/>
  <c r="G106"/>
  <c r="Y104"/>
  <c r="AA107"/>
  <c r="H106"/>
  <c r="AN107"/>
  <c r="D105"/>
  <c r="BA102"/>
  <c r="BC104"/>
  <c r="AI102"/>
  <c r="BH107"/>
  <c r="AN102"/>
  <c r="V107"/>
  <c r="S105"/>
  <c r="BG105"/>
  <c r="AY104"/>
  <c r="BK105"/>
  <c r="AY107"/>
  <c r="Q102"/>
  <c r="AO104"/>
  <c r="S102"/>
  <c r="AD107"/>
  <c r="Q105"/>
  <c r="BI102"/>
  <c r="BC107"/>
  <c r="Z105"/>
  <c r="AW107"/>
  <c r="X105"/>
  <c r="L102"/>
  <c r="H111"/>
  <c r="E105"/>
  <c r="AN105"/>
  <c r="AD104"/>
  <c r="AD105"/>
  <c r="AR107"/>
  <c r="M105"/>
  <c r="AK104"/>
  <c r="BC105"/>
  <c r="Y107"/>
  <c r="BK103"/>
  <c r="AZ98"/>
  <c r="H100"/>
  <c r="BD101"/>
  <c r="Q98"/>
  <c r="BF103"/>
  <c r="AD101"/>
  <c r="AN100"/>
  <c r="AB103"/>
  <c r="M101"/>
  <c r="R108"/>
  <c r="AT76"/>
  <c r="BC87"/>
  <c r="M86"/>
  <c r="P78"/>
  <c r="T96"/>
  <c r="AH78"/>
  <c r="R78"/>
  <c r="J83"/>
  <c r="AL99"/>
  <c r="E103"/>
  <c r="BI92"/>
  <c r="AC115"/>
  <c r="I97"/>
  <c r="I87"/>
  <c r="S93"/>
  <c r="D85"/>
  <c r="AT93"/>
  <c r="AA97"/>
  <c r="H93"/>
  <c r="J81"/>
  <c r="R122"/>
  <c r="AC83"/>
  <c r="AG116"/>
  <c r="V93"/>
  <c r="AT87"/>
  <c r="U96"/>
  <c r="F81"/>
  <c r="AD76"/>
  <c r="N81"/>
  <c r="H80"/>
  <c r="AT117"/>
  <c r="L84"/>
  <c r="K92"/>
  <c r="AE92"/>
  <c r="M92"/>
  <c r="N80"/>
  <c r="AO81"/>
  <c r="H95"/>
  <c r="T79"/>
  <c r="X93"/>
  <c r="T107"/>
  <c r="AE94"/>
  <c r="D97"/>
  <c r="K102"/>
  <c r="T83"/>
  <c r="BG76"/>
  <c r="T94"/>
  <c r="AQ118"/>
  <c r="AC120"/>
  <c r="AV76"/>
  <c r="Z103"/>
  <c r="AA100"/>
  <c r="Z98"/>
  <c r="H101"/>
  <c r="F102"/>
  <c r="AF104"/>
  <c r="I111"/>
  <c r="AB107"/>
  <c r="BB107"/>
  <c r="AK105"/>
  <c r="AP104"/>
  <c r="AA102"/>
  <c r="AU104"/>
  <c r="AK107"/>
  <c r="G111"/>
  <c r="I105"/>
  <c r="BK107"/>
  <c r="W102"/>
  <c r="AZ105"/>
  <c r="Q104"/>
  <c r="AS107"/>
  <c r="BC102"/>
  <c r="J105"/>
  <c r="BD104"/>
  <c r="AI107"/>
  <c r="AH102"/>
  <c r="AS102"/>
  <c r="BG104"/>
  <c r="V102"/>
  <c r="AZ107"/>
  <c r="BI104"/>
  <c r="F106"/>
  <c r="AO102"/>
  <c r="G105"/>
  <c r="X102"/>
  <c r="D106"/>
  <c r="BB105"/>
  <c r="AW105"/>
  <c r="BG102"/>
  <c r="AI104"/>
  <c r="N107"/>
  <c r="AB105"/>
  <c r="AW102"/>
  <c r="V104"/>
  <c r="AF102"/>
  <c r="BD107"/>
  <c r="BJ102"/>
  <c r="BH104"/>
  <c r="N102"/>
  <c r="BI107"/>
  <c r="G100"/>
  <c r="AR101"/>
  <c r="AR100"/>
  <c r="AH103"/>
  <c r="BI98"/>
  <c r="W100"/>
  <c r="E101"/>
  <c r="AO98"/>
  <c r="BB103"/>
  <c r="BA101"/>
  <c r="AL81"/>
  <c r="AG85"/>
  <c r="R97"/>
  <c r="P117"/>
  <c r="O93"/>
  <c r="BB79"/>
  <c r="T121"/>
  <c r="AE98"/>
  <c r="AW86"/>
  <c r="V99"/>
  <c r="P80"/>
  <c r="N94"/>
  <c r="AD90"/>
  <c r="AO83"/>
  <c r="K116"/>
  <c r="O85"/>
  <c r="AJ89"/>
  <c r="Q81"/>
  <c r="R98"/>
  <c r="AR77"/>
  <c r="R101"/>
  <c r="R120"/>
  <c r="AZ92"/>
  <c r="U120"/>
  <c r="N96"/>
  <c r="AQ96"/>
  <c r="G83"/>
  <c r="AJ76"/>
  <c r="AV90"/>
  <c r="L86"/>
  <c r="J86"/>
  <c r="J99"/>
  <c r="G88"/>
  <c r="N76"/>
  <c r="T110"/>
  <c r="N85"/>
  <c r="AQ104"/>
  <c r="AR90"/>
  <c r="T122"/>
  <c r="AR94"/>
  <c r="K115"/>
  <c r="AL98"/>
  <c r="AB83"/>
  <c r="M90"/>
  <c r="O117"/>
  <c r="F82"/>
  <c r="S82"/>
  <c r="O103"/>
  <c r="V97"/>
  <c r="L77"/>
  <c r="AD80"/>
  <c r="AR86"/>
  <c r="E102"/>
  <c r="J98"/>
  <c r="X101"/>
  <c r="AR103"/>
  <c r="I100"/>
  <c r="L90"/>
  <c r="R87"/>
  <c r="R103"/>
  <c r="AE90"/>
  <c r="Z86"/>
  <c r="F97"/>
  <c r="AH97"/>
  <c r="Z79"/>
  <c r="D87"/>
  <c r="AL111"/>
  <c r="G95"/>
  <c r="AS80"/>
  <c r="N93"/>
  <c r="BG82"/>
  <c r="R80"/>
  <c r="O83"/>
  <c r="U101"/>
  <c r="AE78"/>
  <c r="O84"/>
  <c r="E97"/>
  <c r="V80"/>
  <c r="K96"/>
  <c r="K117"/>
  <c r="X76"/>
  <c r="AK78"/>
  <c r="U99"/>
  <c r="AE112"/>
  <c r="F75"/>
  <c r="AJ105"/>
  <c r="AI96"/>
  <c r="E86"/>
  <c r="Y85"/>
  <c r="BE111"/>
  <c r="N97"/>
  <c r="AQ90"/>
  <c r="Z95"/>
  <c r="AC123"/>
  <c r="W81"/>
  <c r="S99"/>
  <c r="L81"/>
  <c r="K81"/>
  <c r="G90"/>
  <c r="AH84"/>
  <c r="AW99"/>
  <c r="L93"/>
  <c r="X95"/>
  <c r="X90"/>
  <c r="I92"/>
  <c r="AK99"/>
  <c r="AD96"/>
  <c r="AD100"/>
  <c r="Y101"/>
  <c r="E100"/>
  <c r="BD103"/>
  <c r="BC98"/>
  <c r="BC100"/>
  <c r="F107"/>
  <c r="L98"/>
  <c r="D102"/>
  <c r="AB101"/>
  <c r="S98"/>
  <c r="O87"/>
  <c r="AC80"/>
  <c r="AK77"/>
  <c r="T87"/>
  <c r="T85"/>
  <c r="S80"/>
  <c r="J84"/>
  <c r="AB92"/>
  <c r="T118"/>
  <c r="AE102"/>
  <c r="AO86"/>
  <c r="AF94"/>
  <c r="E77"/>
  <c r="V88"/>
  <c r="AX100"/>
  <c r="AA99"/>
  <c r="J95"/>
  <c r="AG82"/>
  <c r="P81"/>
  <c r="K110"/>
  <c r="K100"/>
  <c r="AC122"/>
  <c r="U103"/>
  <c r="R91"/>
  <c r="AC105"/>
  <c r="K90"/>
  <c r="AO95"/>
  <c r="U90"/>
  <c r="Y84"/>
  <c r="AE118"/>
  <c r="BC83"/>
  <c r="H98"/>
  <c r="AN91"/>
  <c r="AX94"/>
  <c r="U77"/>
  <c r="AG111"/>
  <c r="AV114"/>
  <c r="AJ115"/>
  <c r="P116"/>
  <c r="G93"/>
  <c r="P110"/>
  <c r="M81"/>
  <c r="P89"/>
  <c r="K94"/>
  <c r="Z82"/>
  <c r="K103"/>
  <c r="Q79"/>
  <c r="R121"/>
  <c r="H99"/>
  <c r="W77"/>
  <c r="AO92"/>
  <c r="AW100"/>
  <c r="AU100"/>
  <c r="W103"/>
  <c r="BD98"/>
  <c r="AF100"/>
  <c r="BI101"/>
  <c r="M98"/>
  <c r="AO103"/>
  <c r="AY101"/>
  <c r="AY100"/>
  <c r="AZ103"/>
  <c r="AS101"/>
  <c r="V83"/>
  <c r="T88"/>
  <c r="AV91"/>
  <c r="AD93"/>
  <c r="T97"/>
  <c r="AC91"/>
  <c r="K80"/>
  <c r="G86"/>
  <c r="AH91"/>
  <c r="AF78"/>
  <c r="AE81"/>
  <c r="AA77"/>
  <c r="AL92"/>
  <c r="T117"/>
  <c r="K109"/>
  <c r="L80"/>
  <c r="K119"/>
  <c r="AH94"/>
  <c r="AL109"/>
  <c r="E81"/>
  <c r="AG123"/>
  <c r="AO93"/>
  <c r="U112"/>
  <c r="AT85"/>
  <c r="AK87"/>
  <c r="AH89"/>
  <c r="AT113"/>
  <c r="K87"/>
  <c r="AB96"/>
  <c r="Y90"/>
  <c r="S97"/>
  <c r="I103"/>
  <c r="AL82"/>
  <c r="K97"/>
  <c r="K83"/>
  <c r="O101"/>
  <c r="O115"/>
  <c r="O118"/>
  <c r="AJ98"/>
  <c r="AE100"/>
  <c r="AC89"/>
  <c r="AK95"/>
  <c r="J97"/>
  <c r="D91"/>
  <c r="I98"/>
  <c r="H81"/>
  <c r="W94"/>
  <c r="U81"/>
  <c r="U84"/>
  <c r="AG79"/>
  <c r="AR96"/>
  <c r="AR93"/>
  <c r="AC118"/>
  <c r="W80"/>
  <c r="BK82"/>
  <c r="AZ91"/>
  <c r="L76"/>
  <c r="AV104"/>
  <c r="BD75"/>
  <c r="AW76"/>
  <c r="AN77"/>
  <c r="AN81"/>
  <c r="BC95"/>
  <c r="AZ79"/>
  <c r="AZ76"/>
  <c r="AE93"/>
  <c r="AT96"/>
  <c r="AL112"/>
  <c r="AV99"/>
  <c r="BD94"/>
  <c r="BG81"/>
  <c r="BJ94"/>
  <c r="BC92"/>
  <c r="AO82"/>
  <c r="T93"/>
  <c r="AG92"/>
  <c r="AV100"/>
  <c r="BF88"/>
  <c r="BH86"/>
  <c r="BB92"/>
  <c r="BH93"/>
  <c r="AQ107"/>
  <c r="BA77"/>
  <c r="R82"/>
  <c r="AT114"/>
  <c r="BD77"/>
  <c r="BK88"/>
  <c r="BJ80"/>
  <c r="E78"/>
  <c r="AC104"/>
  <c r="P95"/>
  <c r="N83"/>
  <c r="AW85"/>
  <c r="BH78"/>
  <c r="AS77"/>
  <c r="AL97"/>
  <c r="AX122"/>
  <c r="BB96"/>
  <c r="AD83"/>
  <c r="AA95"/>
  <c r="AN82"/>
  <c r="BD95"/>
  <c r="AC114"/>
  <c r="V75"/>
  <c r="AJ104"/>
  <c r="BE92"/>
  <c r="AK97"/>
  <c r="AN86"/>
  <c r="AJ113"/>
  <c r="BJ82"/>
  <c r="AK96"/>
  <c r="AQ82"/>
  <c r="BJ84"/>
  <c r="BH88"/>
  <c r="BD99"/>
  <c r="AN89"/>
  <c r="AL88"/>
  <c r="AY98"/>
  <c r="K98"/>
  <c r="U86"/>
  <c r="U75"/>
  <c r="K86"/>
  <c r="AI97"/>
  <c r="AF83"/>
  <c r="H85"/>
  <c r="AP87"/>
  <c r="Q91"/>
  <c r="K85"/>
  <c r="AG118"/>
  <c r="AE114"/>
  <c r="J91"/>
  <c r="P94"/>
  <c r="AJ106"/>
  <c r="U98"/>
  <c r="G78"/>
  <c r="R123"/>
  <c r="AI77"/>
  <c r="BF89"/>
  <c r="I79"/>
  <c r="T92"/>
  <c r="AA91"/>
  <c r="AJ86"/>
  <c r="R81"/>
  <c r="V95"/>
  <c r="AG103"/>
  <c r="R95"/>
  <c r="H86"/>
  <c r="K77"/>
  <c r="G87"/>
  <c r="S86"/>
  <c r="G89"/>
  <c r="Q88"/>
  <c r="AE119"/>
  <c r="V81"/>
  <c r="AC110"/>
  <c r="AC102"/>
  <c r="T80"/>
  <c r="E83"/>
  <c r="F90"/>
  <c r="G81"/>
  <c r="P82"/>
  <c r="O102"/>
  <c r="T89"/>
  <c r="R85"/>
  <c r="AB84"/>
  <c r="P75"/>
  <c r="R86"/>
  <c r="AU79"/>
  <c r="AZ101"/>
  <c r="W98"/>
  <c r="BH103"/>
  <c r="L101"/>
  <c r="AP100"/>
  <c r="BA98"/>
  <c r="AH100"/>
  <c r="I107"/>
  <c r="BJ98"/>
  <c r="AG94"/>
  <c r="V91"/>
  <c r="Q80"/>
  <c r="AT123"/>
  <c r="AE108"/>
  <c r="AQ120"/>
  <c r="AE117"/>
  <c r="AC88"/>
  <c r="K95"/>
  <c r="J90"/>
  <c r="T86"/>
  <c r="O96"/>
  <c r="G80"/>
  <c r="AL86"/>
  <c r="AE103"/>
  <c r="AE87"/>
  <c r="AE91"/>
  <c r="BD91"/>
  <c r="D93"/>
  <c r="AN79"/>
  <c r="AX111"/>
  <c r="K105"/>
  <c r="AD91"/>
  <c r="AB93"/>
  <c r="AO79"/>
  <c r="AE121"/>
  <c r="F78"/>
  <c r="X86"/>
  <c r="Z93"/>
  <c r="D79"/>
  <c r="E79"/>
  <c r="O97"/>
  <c r="D86"/>
  <c r="AC107"/>
  <c r="AH79"/>
  <c r="P85"/>
  <c r="S78"/>
  <c r="AC87"/>
  <c r="AQ95"/>
  <c r="AG93"/>
  <c r="R94"/>
  <c r="M88"/>
  <c r="N95"/>
  <c r="M77"/>
  <c r="I85"/>
  <c r="V90"/>
  <c r="U110"/>
  <c r="F79"/>
  <c r="P76"/>
  <c r="I82"/>
  <c r="R99"/>
  <c r="AL96"/>
  <c r="BB100"/>
  <c r="AY103"/>
  <c r="AF101"/>
  <c r="F100"/>
  <c r="G107"/>
  <c r="BG98"/>
  <c r="Z100"/>
  <c r="BJ101"/>
  <c r="AP98"/>
  <c r="X103"/>
  <c r="AK101"/>
  <c r="U111"/>
  <c r="AJ84"/>
  <c r="AJ107"/>
  <c r="H97"/>
  <c r="U91"/>
  <c r="BF97"/>
  <c r="M78"/>
  <c r="U79"/>
  <c r="AX77"/>
  <c r="D77"/>
  <c r="AG88"/>
  <c r="Q95"/>
  <c r="AQ81"/>
  <c r="AP86"/>
  <c r="F91"/>
  <c r="AA88"/>
  <c r="BE119"/>
  <c r="T100"/>
  <c r="O105"/>
  <c r="AW81"/>
  <c r="U85"/>
  <c r="G99"/>
  <c r="I84"/>
  <c r="S81"/>
  <c r="D103"/>
  <c r="AX113"/>
  <c r="H91"/>
  <c r="AE110"/>
  <c r="AO84"/>
  <c r="U123"/>
  <c r="U117"/>
  <c r="O122"/>
  <c r="X79"/>
  <c r="Z97"/>
  <c r="F94"/>
  <c r="X82"/>
  <c r="E91"/>
  <c r="BE85"/>
  <c r="AX97"/>
  <c r="S79"/>
  <c r="F92"/>
  <c r="Y95"/>
  <c r="N89"/>
  <c r="U88"/>
  <c r="AG95"/>
  <c r="Y77"/>
  <c r="J80"/>
  <c r="V86"/>
  <c r="AG77"/>
  <c r="AR88"/>
  <c r="AJ118"/>
  <c r="AB95"/>
  <c r="R106"/>
  <c r="AI94"/>
  <c r="AL116"/>
  <c r="L75"/>
  <c r="T102"/>
  <c r="AN78"/>
  <c r="P118"/>
  <c r="AY82"/>
  <c r="AV83"/>
  <c r="AQ92"/>
  <c r="BE88"/>
  <c r="AI78"/>
  <c r="BD84"/>
  <c r="BG96"/>
  <c r="V96"/>
  <c r="K88"/>
  <c r="AN99"/>
  <c r="BB75"/>
  <c r="AV102"/>
  <c r="AO91"/>
  <c r="AL110"/>
  <c r="E93"/>
  <c r="N99"/>
  <c r="Q96"/>
  <c r="AT121"/>
  <c r="BD89"/>
  <c r="BE100"/>
  <c r="AQ77"/>
  <c r="BC90"/>
  <c r="F95"/>
  <c r="U107"/>
  <c r="F93"/>
  <c r="BD83"/>
  <c r="BC86"/>
  <c r="BB83"/>
  <c r="AW91"/>
  <c r="AZ94"/>
  <c r="AE120"/>
  <c r="AK75"/>
  <c r="AG113"/>
  <c r="BB94"/>
  <c r="AZ96"/>
  <c r="AA79"/>
  <c r="Z83"/>
  <c r="X87"/>
  <c r="AY97"/>
  <c r="AE107"/>
  <c r="AJ81"/>
  <c r="X75"/>
  <c r="AN96"/>
  <c r="AB77"/>
  <c r="AV80"/>
  <c r="AD89"/>
  <c r="AI76"/>
  <c r="AR87"/>
  <c r="AP95"/>
  <c r="O106"/>
  <c r="AX107"/>
  <c r="AJ95"/>
  <c r="AG81"/>
  <c r="BD92"/>
  <c r="AU80"/>
  <c r="O92"/>
  <c r="Q78"/>
  <c r="Z92"/>
  <c r="AC84"/>
  <c r="I102"/>
  <c r="V100"/>
  <c r="H107"/>
  <c r="AS98"/>
  <c r="BA103"/>
  <c r="AH101"/>
  <c r="AK100"/>
  <c r="BG103"/>
  <c r="BJ100"/>
  <c r="N103"/>
  <c r="AW98"/>
  <c r="R76"/>
  <c r="F84"/>
  <c r="T78"/>
  <c r="Y88"/>
  <c r="I99"/>
  <c r="U102"/>
  <c r="T116"/>
  <c r="J82"/>
  <c r="P86"/>
  <c r="F85"/>
  <c r="K107"/>
  <c r="F103"/>
  <c r="BF84"/>
  <c r="U114"/>
  <c r="AC98"/>
  <c r="Y82"/>
  <c r="I91"/>
  <c r="H75"/>
  <c r="AR82"/>
  <c r="O111"/>
  <c r="U106"/>
  <c r="M93"/>
  <c r="G79"/>
  <c r="AG83"/>
  <c r="AG114"/>
  <c r="N75"/>
  <c r="F77"/>
  <c r="O114"/>
  <c r="U100"/>
  <c r="U97"/>
  <c r="K84"/>
  <c r="AF80"/>
  <c r="N90"/>
  <c r="AF90"/>
  <c r="M91"/>
  <c r="R104"/>
  <c r="P96"/>
  <c r="AS88"/>
  <c r="H84"/>
  <c r="N77"/>
  <c r="I96"/>
  <c r="AZ82"/>
  <c r="R84"/>
  <c r="AJ100"/>
  <c r="E87"/>
  <c r="AP82"/>
  <c r="AS83"/>
  <c r="I80"/>
  <c r="U80"/>
  <c r="O78"/>
  <c r="AP79"/>
  <c r="AB78"/>
  <c r="E107"/>
  <c r="BH98"/>
  <c r="H102"/>
  <c r="AN101"/>
  <c r="AA98"/>
  <c r="AI103"/>
  <c r="AP101"/>
  <c r="BA100"/>
  <c r="J103"/>
  <c r="BB98"/>
  <c r="AF77"/>
  <c r="Y99"/>
  <c r="BC85"/>
  <c r="AE106"/>
  <c r="H90"/>
  <c r="D75"/>
  <c r="AG106"/>
  <c r="T115"/>
  <c r="K104"/>
  <c r="Q93"/>
  <c r="O109"/>
  <c r="D94"/>
  <c r="AJ121"/>
  <c r="D88"/>
  <c r="AA81"/>
  <c r="AF95"/>
  <c r="K106"/>
  <c r="L99"/>
  <c r="K93"/>
  <c r="S88"/>
  <c r="AP78"/>
  <c r="AD94"/>
  <c r="T76"/>
  <c r="U82"/>
  <c r="AQ99"/>
  <c r="H94"/>
  <c r="T105"/>
  <c r="U87"/>
  <c r="H77"/>
  <c r="H92"/>
  <c r="J87"/>
  <c r="H88"/>
  <c r="F96"/>
  <c r="T114"/>
  <c r="O123"/>
  <c r="W85"/>
  <c r="K99"/>
  <c r="G75"/>
  <c r="AS99"/>
  <c r="P93"/>
  <c r="AA75"/>
  <c r="AS78"/>
  <c r="O98"/>
  <c r="E92"/>
  <c r="G85"/>
  <c r="AF89"/>
  <c r="AL93"/>
  <c r="E94"/>
  <c r="AC119"/>
  <c r="G97"/>
  <c r="BB89"/>
  <c r="AS91"/>
  <c r="AA103"/>
  <c r="AU103"/>
  <c r="BK101"/>
  <c r="AB100"/>
  <c r="AN103"/>
  <c r="BF98"/>
  <c r="AZ100"/>
  <c r="AF103"/>
  <c r="AH98"/>
  <c r="Q100"/>
  <c r="AI101"/>
  <c r="AD98"/>
  <c r="F99"/>
  <c r="AC101"/>
  <c r="X97"/>
  <c r="O79"/>
  <c r="G103"/>
  <c r="K75"/>
  <c r="K112"/>
  <c r="K79"/>
  <c r="O88"/>
  <c r="P100"/>
  <c r="T101"/>
  <c r="BK92"/>
  <c r="AH93"/>
  <c r="AS89"/>
  <c r="AT78"/>
  <c r="Q94"/>
  <c r="AQ108"/>
  <c r="H96"/>
  <c r="AE75"/>
  <c r="AO85"/>
  <c r="O108"/>
  <c r="AF85"/>
  <c r="T75"/>
  <c r="BF94"/>
  <c r="AL104"/>
  <c r="AG108"/>
  <c r="F80"/>
  <c r="V89"/>
  <c r="U122"/>
  <c r="W95"/>
  <c r="AV96"/>
  <c r="E89"/>
  <c r="AD75"/>
  <c r="F83"/>
  <c r="O121"/>
  <c r="AH90"/>
  <c r="S77"/>
  <c r="I93"/>
  <c r="O94"/>
  <c r="U93"/>
  <c r="E99"/>
  <c r="AA96"/>
  <c r="AO76"/>
  <c r="AJ91"/>
  <c r="G94"/>
  <c r="AC78"/>
  <c r="Q86"/>
  <c r="K111"/>
  <c r="S87"/>
  <c r="T81"/>
  <c r="AG117"/>
  <c r="BA79"/>
  <c r="AQ75"/>
  <c r="AB79"/>
  <c r="AN87"/>
  <c r="AK84"/>
  <c r="BK75"/>
  <c r="P101"/>
  <c r="AQ91"/>
  <c r="BH79"/>
  <c r="BA93"/>
  <c r="BH97"/>
  <c r="H83"/>
  <c r="AD79"/>
  <c r="AX120"/>
  <c r="X84"/>
  <c r="AY93"/>
  <c r="AF82"/>
  <c r="AX90"/>
  <c r="AU86"/>
  <c r="Y79"/>
  <c r="P115"/>
  <c r="AX75"/>
  <c r="W75"/>
  <c r="AX105"/>
  <c r="AY78"/>
  <c r="AX117"/>
  <c r="AX85"/>
  <c r="Y97"/>
  <c r="P111"/>
  <c r="AL78"/>
  <c r="AC81"/>
  <c r="AT75"/>
  <c r="AJ97"/>
  <c r="AU87"/>
  <c r="AY80"/>
  <c r="AJ116"/>
  <c r="Y93"/>
  <c r="AQ78"/>
  <c r="AU75"/>
  <c r="BH96"/>
  <c r="AE83"/>
  <c r="BH85"/>
  <c r="BK90"/>
  <c r="AB75"/>
  <c r="O82"/>
  <c r="BF79"/>
  <c r="AH80"/>
  <c r="AO80"/>
  <c r="R105"/>
  <c r="BH75"/>
  <c r="BI85"/>
  <c r="AP85"/>
  <c r="AF88"/>
  <c r="BF95"/>
  <c r="BE97"/>
  <c r="Y76"/>
  <c r="AG119"/>
  <c r="BJ93"/>
  <c r="BD86"/>
  <c r="T103"/>
  <c r="AC94"/>
  <c r="BE80"/>
  <c r="BH91"/>
  <c r="AG80"/>
  <c r="AS92"/>
  <c r="T95"/>
  <c r="AI100"/>
  <c r="N100"/>
  <c r="V103"/>
  <c r="AN98"/>
  <c r="S100"/>
  <c r="D101"/>
  <c r="V98"/>
  <c r="G102"/>
  <c r="BG101"/>
  <c r="AB98"/>
  <c r="BI103"/>
  <c r="Q101"/>
  <c r="K120"/>
  <c r="I78"/>
  <c r="X91"/>
  <c r="F86"/>
  <c r="U83"/>
  <c r="H89"/>
  <c r="T91"/>
  <c r="T82"/>
  <c r="J94"/>
  <c r="AC77"/>
  <c r="BE114"/>
  <c r="AI82"/>
  <c r="X94"/>
  <c r="R77"/>
  <c r="Q92"/>
  <c r="U92"/>
  <c r="R90"/>
  <c r="AB91"/>
  <c r="AI80"/>
  <c r="AE109"/>
  <c r="Z84"/>
  <c r="M87"/>
  <c r="F89"/>
  <c r="N79"/>
  <c r="T77"/>
  <c r="AA76"/>
  <c r="S76"/>
  <c r="Z76"/>
  <c r="BJ86"/>
  <c r="K76"/>
  <c r="L91"/>
  <c r="S92"/>
  <c r="AA87"/>
  <c r="E75"/>
  <c r="AS93"/>
  <c r="AI90"/>
  <c r="K91"/>
  <c r="BE77"/>
  <c r="Z77"/>
  <c r="AX95"/>
  <c r="R89"/>
  <c r="R118"/>
  <c r="AD85"/>
  <c r="AX76"/>
  <c r="T99"/>
  <c r="AQ114"/>
  <c r="AR84"/>
  <c r="K108"/>
  <c r="AC111"/>
  <c r="AP96"/>
  <c r="W79"/>
  <c r="AW103"/>
  <c r="J101"/>
  <c r="D100"/>
  <c r="I101"/>
  <c r="X98"/>
  <c r="J100"/>
  <c r="BC101"/>
  <c r="M103"/>
  <c r="AO101"/>
  <c r="AS85"/>
  <c r="AC86"/>
  <c r="P122"/>
  <c r="L85"/>
  <c r="AY86"/>
  <c r="L92"/>
  <c r="D76"/>
  <c r="U113"/>
  <c r="BJ76"/>
  <c r="E84"/>
  <c r="AF76"/>
  <c r="AX78"/>
  <c r="AP76"/>
  <c r="O116"/>
  <c r="O75"/>
  <c r="N92"/>
  <c r="V85"/>
  <c r="R110"/>
  <c r="D89"/>
  <c r="I76"/>
  <c r="T120"/>
  <c r="O99"/>
  <c r="AL114"/>
  <c r="N91"/>
  <c r="W99"/>
  <c r="AY83"/>
  <c r="Q85"/>
  <c r="U119"/>
  <c r="AQ98"/>
  <c r="L87"/>
  <c r="Z85"/>
  <c r="V79"/>
  <c r="AT95"/>
  <c r="K89"/>
  <c r="AA80"/>
  <c r="AC99"/>
  <c r="AS81"/>
  <c r="S90"/>
  <c r="AD97"/>
  <c r="R115"/>
  <c r="P119"/>
  <c r="AE97"/>
  <c r="O107"/>
  <c r="AC106"/>
  <c r="AW84"/>
  <c r="O91"/>
  <c r="AG89"/>
  <c r="AC92"/>
  <c r="E90"/>
  <c r="AS95"/>
  <c r="I86"/>
  <c r="J76"/>
  <c r="AO100"/>
  <c r="Y100"/>
  <c r="BB101"/>
  <c r="N98"/>
  <c r="S103"/>
  <c r="W101"/>
  <c r="BH100"/>
  <c r="AP103"/>
  <c r="V101"/>
  <c r="X100"/>
  <c r="D107"/>
  <c r="AU98"/>
  <c r="S91"/>
  <c r="G92"/>
  <c r="O113"/>
  <c r="D95"/>
  <c r="S85"/>
  <c r="J85"/>
  <c r="S89"/>
  <c r="AC95"/>
  <c r="L82"/>
  <c r="H87"/>
  <c r="P107"/>
  <c r="AG76"/>
  <c r="AP99"/>
  <c r="AD88"/>
  <c r="J92"/>
  <c r="T111"/>
  <c r="O90"/>
  <c r="AW92"/>
  <c r="O110"/>
  <c r="AE116"/>
  <c r="AG96"/>
  <c r="P83"/>
  <c r="V82"/>
  <c r="AS94"/>
  <c r="AH86"/>
  <c r="S83"/>
  <c r="K114"/>
  <c r="O81"/>
  <c r="D84"/>
  <c r="R102"/>
  <c r="AE96"/>
  <c r="AS97"/>
  <c r="L95"/>
  <c r="R100"/>
  <c r="Z81"/>
  <c r="E95"/>
  <c r="AL102"/>
  <c r="J79"/>
  <c r="X92"/>
  <c r="T123"/>
  <c r="P90"/>
  <c r="AA92"/>
  <c r="E76"/>
  <c r="I89"/>
  <c r="AQ85"/>
  <c r="O119"/>
  <c r="I88"/>
  <c r="X88"/>
  <c r="R116"/>
  <c r="M75"/>
  <c r="BG84"/>
  <c r="AQ100"/>
  <c r="P109"/>
  <c r="AV121"/>
  <c r="BF96"/>
  <c r="AA84"/>
  <c r="AI75"/>
  <c r="O95"/>
  <c r="AR92"/>
  <c r="BA83"/>
  <c r="BA92"/>
  <c r="AW88"/>
  <c r="Y87"/>
  <c r="AC117"/>
  <c r="M95"/>
  <c r="M89"/>
  <c r="BB88"/>
  <c r="AZ80"/>
  <c r="BI99"/>
  <c r="AK91"/>
  <c r="AG78"/>
  <c r="AJ77"/>
  <c r="X99"/>
  <c r="R119"/>
  <c r="AQ80"/>
  <c r="X83"/>
  <c r="BH89"/>
  <c r="AT88"/>
  <c r="AQ76"/>
  <c r="AQ123"/>
  <c r="AF97"/>
  <c r="R88"/>
  <c r="AE76"/>
  <c r="BI77"/>
  <c r="AW78"/>
  <c r="L83"/>
  <c r="AC109"/>
  <c r="AZ84"/>
  <c r="K122"/>
  <c r="AP84"/>
  <c r="AC103"/>
  <c r="AY92"/>
  <c r="Q89"/>
  <c r="AX102"/>
  <c r="BK78"/>
  <c r="AQ119"/>
  <c r="R111"/>
  <c r="AN80"/>
  <c r="BE102"/>
  <c r="AY79"/>
  <c r="AV123"/>
  <c r="BJ77"/>
  <c r="AJ83"/>
  <c r="AT122"/>
  <c r="BE103"/>
  <c r="BI94"/>
  <c r="AG110"/>
  <c r="BD78"/>
  <c r="BK76"/>
  <c r="AZ86"/>
  <c r="AI84"/>
  <c r="AL106"/>
  <c r="AZ97"/>
  <c r="BB99"/>
  <c r="AG91"/>
  <c r="M85"/>
  <c r="W96"/>
  <c r="AX114"/>
  <c r="BE104"/>
  <c r="T98"/>
  <c r="AE82"/>
  <c r="BC80"/>
  <c r="BI97"/>
  <c r="P92"/>
  <c r="AL89"/>
  <c r="BH90"/>
  <c r="AL85"/>
  <c r="AJ108"/>
  <c r="BA84"/>
  <c r="BE84"/>
  <c r="AD95"/>
  <c r="U118"/>
  <c r="P102"/>
  <c r="N86"/>
  <c r="BI93"/>
  <c r="K123"/>
  <c r="AX116"/>
  <c r="AT106"/>
  <c r="BE79"/>
  <c r="P108"/>
  <c r="AT107"/>
  <c r="BE110"/>
  <c r="AU95"/>
  <c r="AQ115"/>
  <c r="AT92"/>
  <c r="BG75"/>
  <c r="AC85"/>
  <c r="Q90"/>
  <c r="AQ89"/>
  <c r="BI81"/>
  <c r="BB97"/>
  <c r="D99"/>
  <c r="AX118"/>
  <c r="AP97"/>
  <c r="BG83"/>
  <c r="J77"/>
  <c r="AQ79"/>
  <c r="BE90"/>
  <c r="AV85"/>
  <c r="AJ75"/>
  <c r="BJ75"/>
  <c r="AT112"/>
  <c r="AP81"/>
  <c r="W90"/>
  <c r="AU82"/>
  <c r="AR75"/>
  <c r="BG79"/>
  <c r="M84"/>
  <c r="AO96"/>
  <c r="AW79"/>
  <c r="G76"/>
  <c r="AV92"/>
  <c r="AW97"/>
  <c r="BC89"/>
  <c r="AW93"/>
  <c r="AV110"/>
  <c r="BH82"/>
  <c r="AL121"/>
  <c r="BE116"/>
  <c r="W84"/>
  <c r="AJ96"/>
  <c r="AJ92"/>
  <c r="BE120"/>
  <c r="L88"/>
  <c r="AD92"/>
  <c r="AJ82"/>
  <c r="N78"/>
  <c r="AJ122"/>
  <c r="AY76"/>
  <c r="BH99"/>
  <c r="BD82"/>
  <c r="AV112"/>
  <c r="BK91"/>
  <c r="AL115"/>
  <c r="AJ88"/>
  <c r="AF96"/>
  <c r="BB84"/>
  <c r="AL80"/>
  <c r="BF92"/>
  <c r="D80"/>
  <c r="AL90"/>
  <c r="BA86"/>
  <c r="S84"/>
  <c r="AU90"/>
  <c r="AT103"/>
  <c r="BG94"/>
  <c r="BC91"/>
  <c r="AH92"/>
  <c r="BI86"/>
  <c r="AK89"/>
  <c r="BC81"/>
  <c r="Z87"/>
  <c r="AX84"/>
  <c r="AO89"/>
  <c r="BD85"/>
  <c r="I81"/>
  <c r="AJ93"/>
  <c r="AX80"/>
  <c r="T113"/>
  <c r="AT101"/>
  <c r="AV122"/>
  <c r="BD81"/>
  <c r="BE93"/>
  <c r="BC96"/>
  <c r="BH95"/>
  <c r="BC75"/>
  <c r="AK92"/>
  <c r="AR95"/>
  <c r="AP93"/>
  <c r="AF81"/>
  <c r="BA94"/>
  <c r="O80"/>
  <c r="U95"/>
  <c r="AV84"/>
  <c r="Q82"/>
  <c r="Y81"/>
  <c r="AP75"/>
  <c r="BI84"/>
  <c r="AU88"/>
  <c r="AQ109"/>
  <c r="BA99"/>
  <c r="AZ85"/>
  <c r="X96"/>
  <c r="AR89"/>
  <c r="AT119"/>
  <c r="W91"/>
  <c r="BK94"/>
  <c r="F76"/>
  <c r="AN94"/>
  <c r="AV103"/>
  <c r="G91"/>
  <c r="AC100"/>
  <c r="AR80"/>
  <c r="BJ89"/>
  <c r="AX79"/>
  <c r="BB93"/>
  <c r="BE91"/>
  <c r="BK79"/>
  <c r="BE109"/>
  <c r="Q97"/>
  <c r="AX123"/>
  <c r="AF84"/>
  <c r="BJ88"/>
  <c r="D96"/>
  <c r="X78"/>
  <c r="P120"/>
  <c r="AL95"/>
  <c r="AX86"/>
  <c r="BH80"/>
  <c r="BE105"/>
  <c r="AU99"/>
  <c r="BC94"/>
  <c r="BD96"/>
  <c r="P88"/>
  <c r="P98"/>
  <c r="AU83"/>
  <c r="Z75"/>
  <c r="BH94"/>
  <c r="E96"/>
  <c r="AG121"/>
  <c r="BD90"/>
  <c r="J89"/>
  <c r="AE113"/>
  <c r="AL123"/>
  <c r="BG87"/>
  <c r="BA96"/>
  <c r="AK88"/>
  <c r="BC88"/>
  <c r="AY91"/>
  <c r="AJ85"/>
  <c r="R117"/>
  <c r="AX88"/>
  <c r="AO77"/>
  <c r="R75"/>
  <c r="W87"/>
  <c r="Y78"/>
  <c r="BC97"/>
  <c r="F88"/>
  <c r="AL79"/>
  <c r="AN97"/>
  <c r="AT102"/>
  <c r="BG99"/>
  <c r="AS84"/>
  <c r="BE106"/>
  <c r="AD87"/>
  <c r="AQ117"/>
  <c r="AN95"/>
  <c r="AZ77"/>
  <c r="AK90"/>
  <c r="M94"/>
  <c r="AE115"/>
  <c r="AE86"/>
  <c r="AY77"/>
  <c r="T90"/>
  <c r="Y83"/>
  <c r="AT97"/>
  <c r="BE118"/>
  <c r="BE123"/>
  <c r="AY81"/>
  <c r="BE115"/>
  <c r="D90"/>
  <c r="AT109"/>
  <c r="AJ103"/>
  <c r="AW94"/>
  <c r="AV77"/>
  <c r="H82"/>
  <c r="AE80"/>
  <c r="AH75"/>
  <c r="BE87"/>
  <c r="Q84"/>
  <c r="S75"/>
  <c r="AV118"/>
  <c r="BG91"/>
  <c r="AV86"/>
  <c r="AZ75"/>
  <c r="BK93"/>
  <c r="O89"/>
  <c r="BA97"/>
  <c r="O86"/>
  <c r="AL103"/>
  <c r="AY75"/>
  <c r="N88"/>
  <c r="Z94"/>
  <c r="AC113"/>
  <c r="AY99"/>
  <c r="L78"/>
  <c r="AN76"/>
  <c r="AV75"/>
  <c r="BJ95"/>
  <c r="AW82"/>
  <c r="BJ79"/>
  <c r="AI88"/>
  <c r="AJ123"/>
  <c r="AQ111"/>
  <c r="AE104"/>
  <c r="AH83"/>
  <c r="AX91"/>
  <c r="AK94"/>
  <c r="S96"/>
  <c r="AB80"/>
  <c r="BA88"/>
  <c r="AE77"/>
  <c r="AG104"/>
  <c r="AZ83"/>
  <c r="AI79"/>
  <c r="BC84"/>
  <c r="AX98"/>
  <c r="BH76"/>
  <c r="AP83"/>
  <c r="AI89"/>
  <c r="M99"/>
  <c r="AA90"/>
  <c r="AQ113"/>
  <c r="AT116"/>
  <c r="U109"/>
  <c r="AD99"/>
  <c r="BA76"/>
  <c r="AH85"/>
  <c r="AG86"/>
  <c r="AV116"/>
  <c r="AR81"/>
  <c r="BC78"/>
  <c r="AU96"/>
  <c r="BI96"/>
  <c r="P104"/>
  <c r="R92"/>
  <c r="AG84"/>
  <c r="AW95"/>
  <c r="N82"/>
  <c r="AB89"/>
  <c r="W76"/>
  <c r="BB81"/>
  <c r="AV111"/>
  <c r="AN85"/>
  <c r="AS90"/>
  <c r="AW75"/>
  <c r="BE96"/>
  <c r="AV105"/>
  <c r="BJ92"/>
  <c r="P99"/>
  <c r="AJ90"/>
  <c r="AF86"/>
  <c r="AJ87"/>
  <c r="AQ103"/>
  <c r="AQ83"/>
  <c r="U115"/>
  <c r="AC90"/>
  <c r="BB80"/>
  <c r="AG120"/>
  <c r="AN84"/>
  <c r="AJ94"/>
  <c r="AX110"/>
  <c r="BC99"/>
  <c r="AZ88"/>
  <c r="BD93"/>
  <c r="AE84"/>
  <c r="J88"/>
  <c r="AF75"/>
  <c r="AI85"/>
  <c r="BK95"/>
  <c r="L89"/>
  <c r="P106"/>
  <c r="AI92"/>
  <c r="BK85"/>
  <c r="AB94"/>
  <c r="BC82"/>
  <c r="AV115"/>
  <c r="BE94"/>
  <c r="BE107"/>
  <c r="BK84"/>
  <c r="I77"/>
  <c r="D82"/>
  <c r="S94"/>
  <c r="AJ109"/>
  <c r="AT110"/>
  <c r="E80"/>
  <c r="AN90"/>
  <c r="AL113"/>
  <c r="AZ90"/>
  <c r="AH88"/>
  <c r="X81"/>
  <c r="BA89"/>
  <c r="AT80"/>
  <c r="BA81"/>
  <c r="BB90"/>
  <c r="BF75"/>
  <c r="R109"/>
  <c r="H103"/>
  <c r="AC97"/>
  <c r="AU93"/>
  <c r="BI87"/>
  <c r="T119"/>
  <c r="Y96"/>
  <c r="AT86"/>
  <c r="BG90"/>
  <c r="L96"/>
  <c r="AH99"/>
  <c r="BI75"/>
  <c r="AS86"/>
  <c r="BF82"/>
  <c r="BE113"/>
  <c r="BH84"/>
  <c r="AR76"/>
  <c r="J93"/>
  <c r="Y80"/>
  <c r="AP94"/>
  <c r="BB76"/>
  <c r="P77"/>
  <c r="AF91"/>
  <c r="AT77"/>
  <c r="BF76"/>
  <c r="U76"/>
  <c r="AG87"/>
  <c r="BG92"/>
  <c r="AX87"/>
  <c r="BH77"/>
  <c r="BD79"/>
  <c r="AU78"/>
  <c r="AT84"/>
  <c r="H76"/>
  <c r="AX92"/>
  <c r="Z91"/>
  <c r="AR97"/>
  <c r="W89"/>
  <c r="AT91"/>
  <c r="AY96"/>
  <c r="BD76"/>
  <c r="AG122"/>
  <c r="AE99"/>
  <c r="BJ83"/>
  <c r="BE75"/>
  <c r="BI88"/>
  <c r="BF87"/>
  <c r="AJ78"/>
  <c r="AT94"/>
  <c r="K113"/>
  <c r="AV78"/>
  <c r="AD77"/>
  <c r="AP77"/>
  <c r="AK86"/>
  <c r="AE79"/>
  <c r="AO97"/>
  <c r="BE101"/>
  <c r="AE122"/>
  <c r="P105"/>
  <c r="BC76"/>
  <c r="AW77"/>
  <c r="BI82"/>
  <c r="BF99"/>
  <c r="AX109"/>
  <c r="BD97"/>
  <c r="G98"/>
  <c r="BG77"/>
  <c r="AY87"/>
  <c r="AV101"/>
  <c r="AK80"/>
  <c r="AT111"/>
  <c r="BF90"/>
  <c r="AI93"/>
  <c r="Y91"/>
  <c r="BI95"/>
  <c r="AJ101"/>
  <c r="AY88"/>
  <c r="BB85"/>
  <c r="AQ87"/>
  <c r="AJ120"/>
  <c r="U94"/>
  <c r="AT82"/>
  <c r="AR85"/>
  <c r="AY90"/>
  <c r="AV93"/>
  <c r="AQ101"/>
  <c r="AT81"/>
  <c r="BK86"/>
  <c r="AJ99"/>
  <c r="AF79"/>
  <c r="BA80"/>
  <c r="BF78"/>
  <c r="AV120"/>
  <c r="BF91"/>
  <c r="BK96"/>
  <c r="AT83"/>
  <c r="AG100"/>
  <c r="AG115"/>
  <c r="V78"/>
  <c r="BA82"/>
  <c r="P121"/>
  <c r="AX101"/>
  <c r="AJ111"/>
  <c r="BG80"/>
  <c r="AH81"/>
  <c r="BC77"/>
  <c r="BH87"/>
  <c r="AL119"/>
  <c r="AO88"/>
  <c r="AZ81"/>
  <c r="BC79"/>
  <c r="AI81"/>
  <c r="AG107"/>
  <c r="V94"/>
  <c r="AG75"/>
  <c r="BI89"/>
  <c r="I90"/>
  <c r="AX81"/>
  <c r="AV94"/>
  <c r="BJ91"/>
  <c r="AA82"/>
  <c r="AV95"/>
  <c r="BE122"/>
  <c r="BE86"/>
  <c r="AQ93"/>
  <c r="AY85"/>
  <c r="BJ90"/>
  <c r="AT104"/>
  <c r="AA89"/>
  <c r="AE95"/>
  <c r="Y75"/>
  <c r="BE83"/>
  <c r="R79"/>
  <c r="AV87"/>
  <c r="AU81"/>
  <c r="BJ78"/>
  <c r="AF92"/>
  <c r="AQ86"/>
  <c r="BI83"/>
  <c r="AV107"/>
  <c r="AT98"/>
  <c r="BB87"/>
  <c r="BJ97"/>
  <c r="AX121"/>
  <c r="AG90"/>
  <c r="AF87"/>
  <c r="AB90"/>
  <c r="BC93"/>
  <c r="R83"/>
  <c r="AO87"/>
  <c r="AJ117"/>
  <c r="BI90"/>
  <c r="AB76"/>
  <c r="BG78"/>
  <c r="BB95"/>
  <c r="AU97"/>
  <c r="AO94"/>
  <c r="AZ87"/>
  <c r="AL77"/>
  <c r="BG95"/>
  <c r="AY84"/>
  <c r="BK87"/>
  <c r="AK76"/>
  <c r="BK81"/>
  <c r="AO90"/>
  <c r="AT79"/>
  <c r="AL83"/>
  <c r="AG98"/>
  <c r="AK93"/>
  <c r="AL118"/>
  <c r="BE98"/>
  <c r="W93"/>
  <c r="AB85"/>
  <c r="AP91"/>
  <c r="AR91"/>
  <c r="BF77"/>
  <c r="AT105"/>
  <c r="BF83"/>
  <c r="AA78"/>
  <c r="T104"/>
  <c r="AR78"/>
  <c r="AH82"/>
  <c r="BJ85"/>
  <c r="J75"/>
  <c r="W78"/>
  <c r="AC108"/>
  <c r="BK83"/>
  <c r="T112"/>
  <c r="AT99"/>
  <c r="AZ99"/>
  <c r="AK81"/>
  <c r="BG97"/>
  <c r="BK77"/>
  <c r="AN92"/>
  <c r="Z90"/>
  <c r="AE88"/>
  <c r="AC75"/>
  <c r="R107"/>
  <c r="BE95"/>
  <c r="M83"/>
  <c r="AE89"/>
  <c r="AG97"/>
  <c r="BK80"/>
  <c r="AQ110"/>
  <c r="AO75"/>
  <c r="BE112"/>
  <c r="AX89"/>
  <c r="BJ99"/>
  <c r="BB82"/>
  <c r="AV81"/>
  <c r="AT90"/>
  <c r="S95"/>
  <c r="AN75"/>
  <c r="AG112"/>
  <c r="AV98"/>
  <c r="AF99"/>
  <c r="AA85"/>
  <c r="AY89"/>
  <c r="BD87"/>
  <c r="Z80"/>
  <c r="U78"/>
  <c r="BB86"/>
  <c r="AU89"/>
  <c r="BF93"/>
  <c r="BD88"/>
  <c r="AX106"/>
  <c r="AS79"/>
  <c r="AT115"/>
  <c r="AV108"/>
  <c r="Z96"/>
  <c r="AK82"/>
  <c r="W88"/>
  <c r="AG99"/>
  <c r="AW83"/>
  <c r="BF86"/>
  <c r="V84"/>
  <c r="AQ106"/>
  <c r="BE108"/>
  <c r="AL94"/>
  <c r="BK97"/>
  <c r="BA90"/>
  <c r="AL87"/>
  <c r="BI91"/>
  <c r="AL100"/>
  <c r="BA95"/>
  <c r="O100"/>
  <c r="AV97"/>
  <c r="AE101"/>
  <c r="BA87"/>
  <c r="AU92"/>
  <c r="M80"/>
  <c r="P91"/>
  <c r="AV106"/>
  <c r="AR83"/>
  <c r="AC116"/>
  <c r="Z78"/>
  <c r="AV79"/>
  <c r="AV109"/>
  <c r="BI80"/>
  <c r="BI78"/>
  <c r="BI76"/>
  <c r="O77"/>
  <c r="AX112"/>
  <c r="Z88"/>
  <c r="BG85"/>
  <c r="AW90"/>
  <c r="AH96"/>
  <c r="AE85"/>
  <c r="AT120"/>
  <c r="AU91"/>
  <c r="AE111"/>
  <c r="AB82"/>
  <c r="AQ97"/>
  <c r="AJ114"/>
  <c r="BB78"/>
  <c r="AW87"/>
  <c r="BD80"/>
  <c r="U104"/>
  <c r="AU94"/>
  <c r="AH95"/>
  <c r="BH81"/>
  <c r="AT108"/>
  <c r="AA93"/>
  <c r="X89"/>
  <c r="AX104"/>
  <c r="AY95"/>
  <c r="AH77"/>
  <c r="AB81"/>
  <c r="AH76"/>
  <c r="AL75"/>
  <c r="AX93"/>
  <c r="AT89"/>
  <c r="BE121"/>
  <c r="F98"/>
  <c r="AI95"/>
  <c r="AQ84"/>
  <c r="BE89"/>
  <c r="AR79"/>
  <c r="K101"/>
  <c r="AI86"/>
  <c r="AK83"/>
  <c r="AO78"/>
  <c r="V76"/>
  <c r="Q76"/>
  <c r="AL108"/>
  <c r="AN83"/>
  <c r="AZ95"/>
  <c r="AV89"/>
  <c r="BF81"/>
  <c r="R112"/>
  <c r="AK85"/>
  <c r="AV88"/>
  <c r="AX103"/>
  <c r="E82"/>
  <c r="W82"/>
  <c r="Y86"/>
  <c r="AP90"/>
  <c r="L97"/>
  <c r="T108"/>
  <c r="BG86"/>
  <c r="AQ105"/>
  <c r="BE81"/>
  <c r="AU84"/>
  <c r="BH92"/>
  <c r="O120"/>
  <c r="BA85"/>
  <c r="R113"/>
  <c r="BE78"/>
  <c r="AX115"/>
  <c r="P103"/>
  <c r="AJ110"/>
  <c r="BB77"/>
  <c r="AC82"/>
  <c r="AE105"/>
  <c r="AL84"/>
  <c r="AY94"/>
  <c r="BG89"/>
  <c r="AZ89"/>
  <c r="BF85"/>
  <c r="I95"/>
  <c r="AX96"/>
  <c r="AL120"/>
  <c r="BE82"/>
  <c r="U108"/>
  <c r="AJ112"/>
  <c r="AQ122"/>
  <c r="AX82"/>
  <c r="K82"/>
  <c r="W83"/>
  <c r="AS96"/>
  <c r="BB91"/>
  <c r="BE99"/>
  <c r="BG93"/>
  <c r="AQ121"/>
  <c r="BA78"/>
  <c r="AE123"/>
  <c r="BJ87"/>
  <c r="BA75"/>
  <c r="AS82"/>
  <c r="AB88"/>
  <c r="Y92"/>
  <c r="AT100"/>
  <c r="AD86"/>
  <c r="AS87"/>
  <c r="AV82"/>
  <c r="AV117"/>
  <c r="BH83"/>
  <c r="AQ94"/>
  <c r="BI79"/>
  <c r="AL105"/>
  <c r="AZ78"/>
  <c r="AA83"/>
  <c r="BJ81"/>
  <c r="AX108"/>
  <c r="AJ119"/>
  <c r="X85"/>
  <c r="O112"/>
  <c r="AS75"/>
  <c r="AC93"/>
  <c r="AX99"/>
  <c r="AW89"/>
  <c r="AQ112"/>
  <c r="BK99"/>
  <c r="AI91"/>
  <c r="BJ96"/>
  <c r="Q77"/>
  <c r="AZ93"/>
  <c r="AX83"/>
  <c r="AI83"/>
  <c r="AQ116"/>
  <c r="Q83"/>
  <c r="U89"/>
  <c r="AC96"/>
  <c r="BA91"/>
  <c r="AB99"/>
  <c r="AU85"/>
  <c r="AW80"/>
  <c r="AT118"/>
  <c r="BE76"/>
  <c r="BF80"/>
  <c r="P84"/>
  <c r="BE117"/>
  <c r="AL117"/>
  <c r="AC121"/>
  <c r="AL101"/>
  <c r="K121"/>
  <c r="AJ102"/>
  <c r="AB86"/>
  <c r="AW96"/>
  <c r="AF93"/>
  <c r="AN93"/>
  <c r="AL107"/>
  <c r="BG88"/>
  <c r="AL91"/>
  <c r="BK89"/>
  <c r="D100" i="6"/>
  <c r="D345" i="2" s="1"/>
  <c r="D223"/>
  <c r="D102" i="6"/>
  <c r="D347" i="2" s="1"/>
  <c r="D225"/>
  <c r="B109" i="6"/>
  <c r="B354" i="2" s="1"/>
  <c r="B232"/>
  <c r="B110" i="6"/>
  <c r="B355" i="2" s="1"/>
  <c r="B233"/>
  <c r="B115" i="6"/>
  <c r="B360" i="2" s="1"/>
  <c r="B238"/>
  <c r="D111" i="6"/>
  <c r="D356" i="2" s="1"/>
  <c r="D234"/>
  <c r="D95" i="6"/>
  <c r="D340" i="2" s="1"/>
  <c r="D218"/>
  <c r="D82" i="6"/>
  <c r="D327" i="2" s="1"/>
  <c r="D205"/>
  <c r="D83" i="6"/>
  <c r="D328" i="2" s="1"/>
  <c r="D206"/>
  <c r="D104" i="6"/>
  <c r="D349" i="2" s="1"/>
  <c r="D227"/>
  <c r="D107" i="6"/>
  <c r="D352" i="2" s="1"/>
  <c r="D230"/>
  <c r="B111" i="6"/>
  <c r="B356" i="2" s="1"/>
  <c r="B234"/>
  <c r="D114" i="6"/>
  <c r="D359" i="2" s="1"/>
  <c r="D237"/>
  <c r="D80" i="6"/>
  <c r="D325" i="2" s="1"/>
  <c r="D203"/>
  <c r="B104" i="6"/>
  <c r="B349" i="2" s="1"/>
  <c r="B227"/>
  <c r="D105" i="6"/>
  <c r="D350" i="2" s="1"/>
  <c r="D228"/>
  <c r="D109" i="6"/>
  <c r="D354" i="2" s="1"/>
  <c r="D232"/>
  <c r="B114" i="6"/>
  <c r="B359" i="2" s="1"/>
  <c r="B237"/>
  <c r="B119" i="6"/>
  <c r="B364" i="2" s="1"/>
  <c r="B242"/>
  <c r="B112" i="6"/>
  <c r="B357" i="2" s="1"/>
  <c r="B235"/>
  <c r="D99" i="6"/>
  <c r="D344" i="2" s="1"/>
  <c r="D222"/>
  <c r="D97" i="6"/>
  <c r="D342" i="2" s="1"/>
  <c r="D220"/>
  <c r="B103" i="6"/>
  <c r="B348" i="2" s="1"/>
  <c r="B226"/>
  <c r="B105" i="6"/>
  <c r="B350" i="2" s="1"/>
  <c r="B228"/>
  <c r="D106" i="6"/>
  <c r="D351" i="2" s="1"/>
  <c r="D229"/>
  <c r="B113" i="6"/>
  <c r="B358" i="2" s="1"/>
  <c r="B236"/>
  <c r="D116" i="6"/>
  <c r="D361" i="2" s="1"/>
  <c r="D239"/>
  <c r="B39" i="4"/>
  <c r="C36"/>
  <c r="C41"/>
  <c r="B58" i="2"/>
  <c r="B45" i="4"/>
  <c r="B45" i="3"/>
  <c r="D119" i="5"/>
  <c r="D118"/>
  <c r="B118"/>
  <c r="D115"/>
  <c r="D117"/>
  <c r="B117"/>
  <c r="B116"/>
  <c r="D113"/>
  <c r="B38" i="3"/>
  <c r="D112" i="5"/>
  <c r="D110"/>
  <c r="D108"/>
  <c r="C36" i="3"/>
  <c r="C49" i="2"/>
  <c r="C42" i="4"/>
  <c r="C38" i="3"/>
  <c r="C51" i="2"/>
  <c r="B44" i="4"/>
  <c r="B40" i="3"/>
  <c r="B53" i="2"/>
  <c r="B39" i="3"/>
  <c r="B52" i="2"/>
  <c r="B43" i="4"/>
  <c r="C41" i="3"/>
  <c r="C54" i="2"/>
  <c r="C43" i="4"/>
  <c r="C39" i="3"/>
  <c r="C52" i="2"/>
  <c r="B53" i="4"/>
  <c r="B51" i="2"/>
  <c r="AN60" i="1"/>
  <c r="AN61"/>
  <c r="AN62"/>
  <c r="AN63"/>
  <c r="AN67"/>
  <c r="AN64"/>
  <c r="AN48"/>
  <c r="AN32"/>
  <c r="AN65"/>
  <c r="AN49"/>
  <c r="AN33"/>
  <c r="AN66"/>
  <c r="AN50"/>
  <c r="AN35"/>
  <c r="AN68"/>
  <c r="AN52"/>
  <c r="AN36"/>
  <c r="AN69"/>
  <c r="AN53"/>
  <c r="AN37"/>
  <c r="AN70"/>
  <c r="AN54"/>
  <c r="AN38"/>
  <c r="AN71"/>
  <c r="AN55"/>
  <c r="AN39"/>
  <c r="AN72"/>
  <c r="AN56"/>
  <c r="AN40"/>
  <c r="AN73"/>
  <c r="AN57"/>
  <c r="AN41"/>
  <c r="AN74"/>
  <c r="AN42"/>
  <c r="AN75"/>
  <c r="AN59"/>
  <c r="AN43"/>
  <c r="AN76"/>
  <c r="AN28"/>
  <c r="AN29"/>
  <c r="AN30"/>
  <c r="AN31"/>
  <c r="AN51"/>
  <c r="AN58"/>
  <c r="AN44"/>
  <c r="AN45"/>
  <c r="AN46"/>
  <c r="AN47"/>
  <c r="AN34"/>
  <c r="AM78" i="2" l="1"/>
  <c r="AM82"/>
  <c r="AM86"/>
  <c r="AM90"/>
  <c r="AM94"/>
  <c r="AM98"/>
  <c r="AM102"/>
  <c r="AM106"/>
  <c r="AM77"/>
  <c r="AM81"/>
  <c r="AM85"/>
  <c r="AM89"/>
  <c r="AM93"/>
  <c r="AM97"/>
  <c r="AM101"/>
  <c r="AM105"/>
  <c r="AM109"/>
  <c r="AM76"/>
  <c r="AM80"/>
  <c r="AM84"/>
  <c r="AM88"/>
  <c r="AM92"/>
  <c r="AM96"/>
  <c r="AM100"/>
  <c r="AM104"/>
  <c r="AM108"/>
  <c r="AM75"/>
  <c r="AM79"/>
  <c r="AM83"/>
  <c r="AM87"/>
  <c r="AM91"/>
  <c r="AM95"/>
  <c r="AM99"/>
  <c r="AM103"/>
  <c r="AM107"/>
  <c r="AM111"/>
  <c r="AS113"/>
  <c r="BI112"/>
  <c r="G114"/>
  <c r="BD113"/>
  <c r="BC113"/>
  <c r="AP113"/>
  <c r="AY115"/>
  <c r="AA113"/>
  <c r="AZ110"/>
  <c r="AU110"/>
  <c r="F123"/>
  <c r="AB112"/>
  <c r="AD115"/>
  <c r="BF112"/>
  <c r="BC110"/>
  <c r="D123"/>
  <c r="X112"/>
  <c r="AP115"/>
  <c r="AU112"/>
  <c r="Z115"/>
  <c r="BJ110"/>
  <c r="AH113"/>
  <c r="E119"/>
  <c r="F112"/>
  <c r="AI112"/>
  <c r="AF113"/>
  <c r="BH110"/>
  <c r="W110"/>
  <c r="AI110"/>
  <c r="X113"/>
  <c r="AF112"/>
  <c r="AW112"/>
  <c r="BD112"/>
  <c r="N112"/>
  <c r="Z113"/>
  <c r="AS112"/>
  <c r="N110"/>
  <c r="L110"/>
  <c r="S112"/>
  <c r="BF110"/>
  <c r="M110"/>
  <c r="BG115"/>
  <c r="J113"/>
  <c r="Y110"/>
  <c r="E112"/>
  <c r="G112"/>
  <c r="BF113"/>
  <c r="AM115"/>
  <c r="W112"/>
  <c r="AZ113"/>
  <c r="AH115"/>
  <c r="AS110"/>
  <c r="D119"/>
  <c r="AP110"/>
  <c r="BI113"/>
  <c r="BK113"/>
  <c r="M112"/>
  <c r="AY110"/>
  <c r="AO113"/>
  <c r="BC115"/>
  <c r="BB113"/>
  <c r="D112"/>
  <c r="BA112"/>
  <c r="AM112"/>
  <c r="BH112"/>
  <c r="H119"/>
  <c r="BH115"/>
  <c r="L115"/>
  <c r="S110"/>
  <c r="E113"/>
  <c r="G113"/>
  <c r="AP112"/>
  <c r="BK110"/>
  <c r="AM110"/>
  <c r="V115"/>
  <c r="M115"/>
  <c r="BJ115"/>
  <c r="AK115"/>
  <c r="G123"/>
  <c r="I113"/>
  <c r="AI115"/>
  <c r="J112"/>
  <c r="AF110"/>
  <c r="H113"/>
  <c r="Y115"/>
  <c r="X110"/>
  <c r="BC112"/>
  <c r="AD110"/>
  <c r="D113"/>
  <c r="D114"/>
  <c r="AB110"/>
  <c r="AN112"/>
  <c r="G119"/>
  <c r="AR115"/>
  <c r="N113"/>
  <c r="L112"/>
  <c r="AH110"/>
  <c r="BJ113"/>
  <c r="BA110"/>
  <c r="AD113"/>
  <c r="AA115"/>
  <c r="BA113"/>
  <c r="AW115"/>
  <c r="M113"/>
  <c r="J115"/>
  <c r="AK113"/>
  <c r="AN110"/>
  <c r="BD110"/>
  <c r="Q110"/>
  <c r="BJ112"/>
  <c r="AY113"/>
  <c r="BG112"/>
  <c r="I112"/>
  <c r="AU113"/>
  <c r="AO110"/>
  <c r="AR113"/>
  <c r="BF115"/>
  <c r="AO115"/>
  <c r="AS115"/>
  <c r="V113"/>
  <c r="Q115"/>
  <c r="AB113"/>
  <c r="AH112"/>
  <c r="AU115"/>
  <c r="Q113"/>
  <c r="AF115"/>
  <c r="Y113"/>
  <c r="N115"/>
  <c r="Z110"/>
  <c r="S115"/>
  <c r="H114"/>
  <c r="Q112"/>
  <c r="J110"/>
  <c r="I119"/>
  <c r="F119"/>
  <c r="Z112"/>
  <c r="AR112"/>
  <c r="AD112"/>
  <c r="AY112"/>
  <c r="BB110"/>
  <c r="I123"/>
  <c r="AO112"/>
  <c r="I114"/>
  <c r="W113"/>
  <c r="AN115"/>
  <c r="AZ115"/>
  <c r="AM113"/>
  <c r="V112"/>
  <c r="AZ112"/>
  <c r="BK115"/>
  <c r="AW113"/>
  <c r="AN113"/>
  <c r="F114"/>
  <c r="BI110"/>
  <c r="BG110"/>
  <c r="H112"/>
  <c r="L113"/>
  <c r="BD115"/>
  <c r="S113"/>
  <c r="Y112"/>
  <c r="BI115"/>
  <c r="BH113"/>
  <c r="AB115"/>
  <c r="AI113"/>
  <c r="AK112"/>
  <c r="AA112"/>
  <c r="BK112"/>
  <c r="AW110"/>
  <c r="X115"/>
  <c r="V110"/>
  <c r="BB112"/>
  <c r="W115"/>
  <c r="E114"/>
  <c r="E123"/>
  <c r="AA110"/>
  <c r="BB115"/>
  <c r="BA115"/>
  <c r="H123"/>
  <c r="AK110"/>
  <c r="F113"/>
  <c r="AR110"/>
  <c r="BG113"/>
  <c r="D113" i="6"/>
  <c r="D358" i="2" s="1"/>
  <c r="D236"/>
  <c r="D115" i="6"/>
  <c r="D360" i="2" s="1"/>
  <c r="D238"/>
  <c r="D108" i="6"/>
  <c r="D353" i="2" s="1"/>
  <c r="D231"/>
  <c r="D117" i="6"/>
  <c r="D362" i="2" s="1"/>
  <c r="D240"/>
  <c r="D119" i="6"/>
  <c r="D364" i="2" s="1"/>
  <c r="D242"/>
  <c r="D112" i="6"/>
  <c r="D357" i="2" s="1"/>
  <c r="D235"/>
  <c r="B117" i="6"/>
  <c r="B362" i="2" s="1"/>
  <c r="B240"/>
  <c r="D118" i="6"/>
  <c r="D363" i="2" s="1"/>
  <c r="D241"/>
  <c r="D110" i="6"/>
  <c r="D355" i="2" s="1"/>
  <c r="D233"/>
  <c r="B116" i="6"/>
  <c r="B361" i="2" s="1"/>
  <c r="B239"/>
  <c r="B118" i="6"/>
  <c r="B363" i="2" s="1"/>
  <c r="B241"/>
  <c r="B42" i="4"/>
  <c r="C45"/>
  <c r="B62" i="2"/>
  <c r="B49" i="4"/>
  <c r="C40"/>
  <c r="B53" i="3"/>
  <c r="B49"/>
  <c r="B42"/>
  <c r="C45"/>
  <c r="C58" i="2"/>
  <c r="C40" i="3"/>
  <c r="C53" i="2"/>
  <c r="B48" i="4"/>
  <c r="B44" i="3"/>
  <c r="B57" i="2"/>
  <c r="C47" i="4"/>
  <c r="C43" i="3"/>
  <c r="C56" i="2"/>
  <c r="B43" i="3"/>
  <c r="B47" i="4"/>
  <c r="B56" i="2"/>
  <c r="C46" i="4"/>
  <c r="C42" i="3"/>
  <c r="C55" i="2"/>
  <c r="B66"/>
  <c r="B55"/>
  <c r="V114" l="1"/>
  <c r="BC117"/>
  <c r="X114"/>
  <c r="BH114"/>
  <c r="F118"/>
  <c r="AR119"/>
  <c r="S116"/>
  <c r="BD119"/>
  <c r="BC119"/>
  <c r="AW117"/>
  <c r="AZ117"/>
  <c r="G118"/>
  <c r="BA114"/>
  <c r="AA119"/>
  <c r="AD116"/>
  <c r="BK117"/>
  <c r="H116"/>
  <c r="AP114"/>
  <c r="AH117"/>
  <c r="BG116"/>
  <c r="AA114"/>
  <c r="BD114"/>
  <c r="AK116"/>
  <c r="BJ114"/>
  <c r="V117"/>
  <c r="AU116"/>
  <c r="AM117"/>
  <c r="AP119"/>
  <c r="AB114"/>
  <c r="Q116"/>
  <c r="AB116"/>
  <c r="AB119"/>
  <c r="AD114"/>
  <c r="AF114"/>
  <c r="AB117"/>
  <c r="Z117"/>
  <c r="N119"/>
  <c r="BH116"/>
  <c r="AK117"/>
  <c r="AY117"/>
  <c r="AP117"/>
  <c r="AZ119"/>
  <c r="Z116"/>
  <c r="BB119"/>
  <c r="BB117"/>
  <c r="S119"/>
  <c r="L114"/>
  <c r="AH116"/>
  <c r="BA116"/>
  <c r="BA119"/>
  <c r="BI116"/>
  <c r="Y116"/>
  <c r="BF114"/>
  <c r="AS119"/>
  <c r="Y117"/>
  <c r="Z114"/>
  <c r="M116"/>
  <c r="D118"/>
  <c r="BJ116"/>
  <c r="Z119"/>
  <c r="I117"/>
  <c r="AO114"/>
  <c r="BI114"/>
  <c r="E116"/>
  <c r="BG114"/>
  <c r="BG117"/>
  <c r="AU117"/>
  <c r="AD119"/>
  <c r="AS114"/>
  <c r="BH117"/>
  <c r="E118"/>
  <c r="J117"/>
  <c r="L119"/>
  <c r="AN119"/>
  <c r="AP116"/>
  <c r="AK119"/>
  <c r="AF117"/>
  <c r="AD117"/>
  <c r="H117"/>
  <c r="J116"/>
  <c r="S114"/>
  <c r="BD117"/>
  <c r="S117"/>
  <c r="BA117"/>
  <c r="Y119"/>
  <c r="BG119"/>
  <c r="AR114"/>
  <c r="BI119"/>
  <c r="BJ117"/>
  <c r="I116"/>
  <c r="N116"/>
  <c r="AM119"/>
  <c r="W116"/>
  <c r="AU119"/>
  <c r="AH114"/>
  <c r="AA116"/>
  <c r="BK119"/>
  <c r="AO116"/>
  <c r="AI119"/>
  <c r="AN117"/>
  <c r="BF116"/>
  <c r="AI117"/>
  <c r="AR116"/>
  <c r="AK114"/>
  <c r="BK116"/>
  <c r="AO119"/>
  <c r="BB116"/>
  <c r="F116"/>
  <c r="AS117"/>
  <c r="V119"/>
  <c r="D117"/>
  <c r="BC114"/>
  <c r="BB114"/>
  <c r="L116"/>
  <c r="BK114"/>
  <c r="W117"/>
  <c r="Y114"/>
  <c r="W114"/>
  <c r="Q114"/>
  <c r="BD116"/>
  <c r="Q117"/>
  <c r="X119"/>
  <c r="AO117"/>
  <c r="M119"/>
  <c r="AU114"/>
  <c r="D116"/>
  <c r="G116"/>
  <c r="AR117"/>
  <c r="W119"/>
  <c r="AM116"/>
  <c r="AA117"/>
  <c r="AH119"/>
  <c r="J114"/>
  <c r="X117"/>
  <c r="AY119"/>
  <c r="M117"/>
  <c r="M114"/>
  <c r="AI116"/>
  <c r="G117"/>
  <c r="AZ114"/>
  <c r="AZ116"/>
  <c r="N117"/>
  <c r="AF119"/>
  <c r="N114"/>
  <c r="AN116"/>
  <c r="F117"/>
  <c r="AM114"/>
  <c r="X116"/>
  <c r="AW114"/>
  <c r="BI117"/>
  <c r="V116"/>
  <c r="BF117"/>
  <c r="J119"/>
  <c r="AI114"/>
  <c r="I118"/>
  <c r="AY114"/>
  <c r="AF116"/>
  <c r="BJ119"/>
  <c r="BH119"/>
  <c r="AS116"/>
  <c r="BF119"/>
  <c r="BC116"/>
  <c r="E117"/>
  <c r="H118"/>
  <c r="AN114"/>
  <c r="AW116"/>
  <c r="Q119"/>
  <c r="AY116"/>
  <c r="AW119"/>
  <c r="L117"/>
  <c r="B46" i="4"/>
  <c r="C44"/>
  <c r="C49"/>
  <c r="B46" i="3"/>
  <c r="B52" i="4"/>
  <c r="B48" i="3"/>
  <c r="B61" i="2"/>
  <c r="C49" i="3"/>
  <c r="C62" i="2"/>
  <c r="C44" i="3"/>
  <c r="C57" i="2"/>
  <c r="C50" i="4"/>
  <c r="C46" i="3"/>
  <c r="C59" i="2"/>
  <c r="B47" i="3"/>
  <c r="B51" i="4"/>
  <c r="B60" i="2"/>
  <c r="C51" i="4"/>
  <c r="C47" i="3"/>
  <c r="C60" i="2"/>
  <c r="B59"/>
  <c r="BJ123" l="1"/>
  <c r="AB118"/>
  <c r="L118"/>
  <c r="E121"/>
  <c r="Y118"/>
  <c r="AH120"/>
  <c r="AM118"/>
  <c r="N118"/>
  <c r="AI120"/>
  <c r="AW118"/>
  <c r="AP120"/>
  <c r="BI121"/>
  <c r="S123"/>
  <c r="AZ120"/>
  <c r="J121"/>
  <c r="BF121"/>
  <c r="E120"/>
  <c r="AM123"/>
  <c r="AR123"/>
  <c r="AA118"/>
  <c r="AO120"/>
  <c r="AA123"/>
  <c r="Z123"/>
  <c r="H122"/>
  <c r="BI123"/>
  <c r="AK120"/>
  <c r="AY123"/>
  <c r="W121"/>
  <c r="AS121"/>
  <c r="BD123"/>
  <c r="AO123"/>
  <c r="AK118"/>
  <c r="X118"/>
  <c r="F121"/>
  <c r="I120"/>
  <c r="BC123"/>
  <c r="AZ123"/>
  <c r="BK118"/>
  <c r="M121"/>
  <c r="V123"/>
  <c r="AH118"/>
  <c r="AN123"/>
  <c r="I121"/>
  <c r="AS118"/>
  <c r="L120"/>
  <c r="BB120"/>
  <c r="D121"/>
  <c r="BF118"/>
  <c r="G121"/>
  <c r="AI121"/>
  <c r="L121"/>
  <c r="BG118"/>
  <c r="BJ118"/>
  <c r="AI123"/>
  <c r="Z118"/>
  <c r="F122"/>
  <c r="H120"/>
  <c r="BA118"/>
  <c r="BC120"/>
  <c r="BG121"/>
  <c r="X120"/>
  <c r="AP118"/>
  <c r="AZ121"/>
  <c r="AY120"/>
  <c r="N123"/>
  <c r="AP121"/>
  <c r="BB118"/>
  <c r="AU123"/>
  <c r="J118"/>
  <c r="G120"/>
  <c r="AN120"/>
  <c r="E122"/>
  <c r="Q118"/>
  <c r="L123"/>
  <c r="Q120"/>
  <c r="BF123"/>
  <c r="AB123"/>
  <c r="N120"/>
  <c r="BB123"/>
  <c r="BK120"/>
  <c r="Y121"/>
  <c r="BG123"/>
  <c r="H121"/>
  <c r="Z120"/>
  <c r="BC118"/>
  <c r="X121"/>
  <c r="M123"/>
  <c r="AO118"/>
  <c r="AW123"/>
  <c r="AR118"/>
  <c r="M120"/>
  <c r="BK121"/>
  <c r="BJ120"/>
  <c r="Q121"/>
  <c r="AY118"/>
  <c r="G122"/>
  <c r="AF118"/>
  <c r="V120"/>
  <c r="S120"/>
  <c r="AI118"/>
  <c r="BA121"/>
  <c r="AK121"/>
  <c r="W120"/>
  <c r="W118"/>
  <c r="BD121"/>
  <c r="D120"/>
  <c r="AR120"/>
  <c r="V121"/>
  <c r="V118"/>
  <c r="BH120"/>
  <c r="N121"/>
  <c r="AD123"/>
  <c r="X123"/>
  <c r="AH121"/>
  <c r="Y123"/>
  <c r="AU118"/>
  <c r="AS120"/>
  <c r="AA121"/>
  <c r="Y120"/>
  <c r="AY121"/>
  <c r="BI118"/>
  <c r="BG120"/>
  <c r="AA120"/>
  <c r="AB120"/>
  <c r="W123"/>
  <c r="AW121"/>
  <c r="BA123"/>
  <c r="BD120"/>
  <c r="BI120"/>
  <c r="S118"/>
  <c r="AF121"/>
  <c r="AN118"/>
  <c r="BK123"/>
  <c r="AF120"/>
  <c r="AD121"/>
  <c r="F120"/>
  <c r="BH118"/>
  <c r="BB121"/>
  <c r="AB121"/>
  <c r="J123"/>
  <c r="AO121"/>
  <c r="AZ118"/>
  <c r="BA120"/>
  <c r="AP123"/>
  <c r="BH121"/>
  <c r="D122"/>
  <c r="I122"/>
  <c r="AM121"/>
  <c r="BF120"/>
  <c r="AM120"/>
  <c r="Q123"/>
  <c r="Z121"/>
  <c r="BJ121"/>
  <c r="AK123"/>
  <c r="AN121"/>
  <c r="AD118"/>
  <c r="AW120"/>
  <c r="AF123"/>
  <c r="AR121"/>
  <c r="AH123"/>
  <c r="J120"/>
  <c r="BD118"/>
  <c r="BC121"/>
  <c r="AU120"/>
  <c r="AS123"/>
  <c r="S121"/>
  <c r="M118"/>
  <c r="AD120"/>
  <c r="BH123"/>
  <c r="AU121"/>
  <c r="C53" i="4"/>
  <c r="B50"/>
  <c r="C48"/>
  <c r="B50" i="3"/>
  <c r="B51"/>
  <c r="B64" i="2"/>
  <c r="B52" i="3"/>
  <c r="B65" i="2"/>
  <c r="C50" i="3"/>
  <c r="C63" i="2"/>
  <c r="C53" i="3"/>
  <c r="C66" i="2"/>
  <c r="C48" i="3"/>
  <c r="C61" i="2"/>
  <c r="C51" i="3"/>
  <c r="C64" i="2"/>
  <c r="B63"/>
  <c r="AF122" l="1"/>
  <c r="AU122"/>
  <c r="AO122"/>
  <c r="AZ122"/>
  <c r="AA122"/>
  <c r="BJ122"/>
  <c r="M122"/>
  <c r="AH122"/>
  <c r="L122"/>
  <c r="V122"/>
  <c r="J122"/>
  <c r="X122"/>
  <c r="Z122"/>
  <c r="BF122"/>
  <c r="AD122"/>
  <c r="BB122"/>
  <c r="W122"/>
  <c r="AP122"/>
  <c r="S122"/>
  <c r="AR122"/>
  <c r="BA122"/>
  <c r="AI122"/>
  <c r="BH122"/>
  <c r="BI122"/>
  <c r="AK122"/>
  <c r="AS122"/>
  <c r="BK122"/>
  <c r="BG122"/>
  <c r="AM122"/>
  <c r="AB122"/>
  <c r="Q122"/>
  <c r="AY122"/>
  <c r="AW122"/>
  <c r="N122"/>
  <c r="Y122"/>
  <c r="BC122"/>
  <c r="AN122"/>
  <c r="BD122"/>
  <c r="D2" i="4" a="1"/>
  <c r="C52"/>
  <c r="C52" i="3"/>
  <c r="C65" i="2"/>
  <c r="F2" i="4" l="1"/>
  <c r="J2"/>
  <c r="N2"/>
  <c r="R2"/>
  <c r="V2"/>
  <c r="Z2"/>
  <c r="AD2"/>
  <c r="AH2"/>
  <c r="AL2"/>
  <c r="AP2"/>
  <c r="AT2"/>
  <c r="AX2"/>
  <c r="E3"/>
  <c r="I3"/>
  <c r="M3"/>
  <c r="Q3"/>
  <c r="U3"/>
  <c r="Y3"/>
  <c r="AC3"/>
  <c r="AG3"/>
  <c r="AK3"/>
  <c r="AO3"/>
  <c r="AS3"/>
  <c r="AW3"/>
  <c r="D4"/>
  <c r="H4"/>
  <c r="L4"/>
  <c r="P4"/>
  <c r="T4"/>
  <c r="X4"/>
  <c r="AB4"/>
  <c r="AF4"/>
  <c r="AJ4"/>
  <c r="AN4"/>
  <c r="AR4"/>
  <c r="AV4"/>
  <c r="AZ4"/>
  <c r="E2"/>
  <c r="I2"/>
  <c r="M2"/>
  <c r="Q2"/>
  <c r="U2"/>
  <c r="Y2"/>
  <c r="AC2"/>
  <c r="AG2"/>
  <c r="AK2"/>
  <c r="AO2"/>
  <c r="AS2"/>
  <c r="AW2"/>
  <c r="D3"/>
  <c r="H3"/>
  <c r="L3"/>
  <c r="P3"/>
  <c r="T3"/>
  <c r="X3"/>
  <c r="AB3"/>
  <c r="AF3"/>
  <c r="AJ3"/>
  <c r="AN3"/>
  <c r="AR3"/>
  <c r="AV3"/>
  <c r="AZ3"/>
  <c r="G4"/>
  <c r="K4"/>
  <c r="O4"/>
  <c r="S4"/>
  <c r="W4"/>
  <c r="AA4"/>
  <c r="AE4"/>
  <c r="AI4"/>
  <c r="AM4"/>
  <c r="AQ4"/>
  <c r="AU4"/>
  <c r="AY4"/>
  <c r="D2"/>
  <c r="H2"/>
  <c r="L2"/>
  <c r="P2"/>
  <c r="T2"/>
  <c r="X2"/>
  <c r="AB2"/>
  <c r="AF2"/>
  <c r="AJ2"/>
  <c r="AN2"/>
  <c r="AR2"/>
  <c r="AV2"/>
  <c r="AZ2"/>
  <c r="G3"/>
  <c r="K3"/>
  <c r="O3"/>
  <c r="S3"/>
  <c r="W3"/>
  <c r="AA3"/>
  <c r="AE3"/>
  <c r="AI3"/>
  <c r="AM3"/>
  <c r="AQ3"/>
  <c r="AU3"/>
  <c r="AY3"/>
  <c r="F4"/>
  <c r="J4"/>
  <c r="N4"/>
  <c r="R4"/>
  <c r="V4"/>
  <c r="Z4"/>
  <c r="AD4"/>
  <c r="AH4"/>
  <c r="AL4"/>
  <c r="AP4"/>
  <c r="AT4"/>
  <c r="AX4"/>
  <c r="G2"/>
  <c r="K2"/>
  <c r="O2"/>
  <c r="S2"/>
  <c r="W2"/>
  <c r="AA2"/>
  <c r="AE2"/>
  <c r="AI2"/>
  <c r="AM2"/>
  <c r="AQ2"/>
  <c r="AU2"/>
  <c r="AY2"/>
  <c r="F3"/>
  <c r="J3"/>
  <c r="N3"/>
  <c r="R3"/>
  <c r="V3"/>
  <c r="Z3"/>
  <c r="AD3"/>
  <c r="AH3"/>
  <c r="AL3"/>
  <c r="AP3"/>
  <c r="AT3"/>
  <c r="AX3"/>
  <c r="E4"/>
  <c r="I4"/>
  <c r="M4"/>
  <c r="Q4"/>
  <c r="U4"/>
  <c r="Y4"/>
  <c r="AC4"/>
  <c r="AG4"/>
  <c r="AK4"/>
  <c r="AO4"/>
  <c r="AS4"/>
  <c r="AW4"/>
  <c r="R5" l="1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AP5"/>
  <c r="AP6"/>
  <c r="AP7"/>
  <c r="AP8"/>
  <c r="AP9"/>
  <c r="AP10"/>
  <c r="AP11"/>
  <c r="AP12"/>
  <c r="AP13"/>
  <c r="AP14"/>
  <c r="AP15"/>
  <c r="AP16"/>
  <c r="AP17"/>
  <c r="AP18"/>
  <c r="AP19"/>
  <c r="AP20"/>
  <c r="AP21"/>
  <c r="AP22"/>
  <c r="AP23"/>
  <c r="AP24"/>
  <c r="AP25"/>
  <c r="AP26"/>
  <c r="AP27"/>
  <c r="AP28"/>
  <c r="AP29"/>
  <c r="AP30"/>
  <c r="AP31"/>
  <c r="AP32"/>
  <c r="AP33"/>
  <c r="AP34"/>
  <c r="AP35"/>
  <c r="AP36"/>
  <c r="AP37"/>
  <c r="AP38"/>
  <c r="AP39"/>
  <c r="AP40"/>
  <c r="AP41"/>
  <c r="AP42"/>
  <c r="AP43"/>
  <c r="AP44"/>
  <c r="AP45"/>
  <c r="AP46"/>
  <c r="AP47"/>
  <c r="AP48"/>
  <c r="AP49"/>
  <c r="AP50"/>
  <c r="AP51"/>
  <c r="AP52"/>
  <c r="AP53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AQ5"/>
  <c r="AQ6"/>
  <c r="AQ7"/>
  <c r="AQ8"/>
  <c r="AQ9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8"/>
  <c r="AQ39"/>
  <c r="AQ40"/>
  <c r="AQ41"/>
  <c r="AQ42"/>
  <c r="AQ43"/>
  <c r="AQ44"/>
  <c r="AQ45"/>
  <c r="AQ46"/>
  <c r="AQ47"/>
  <c r="AQ48"/>
  <c r="AQ49"/>
  <c r="AQ50"/>
  <c r="AQ51"/>
  <c r="AQ52"/>
  <c r="AQ53"/>
  <c r="AQ34"/>
  <c r="AQ35"/>
  <c r="AQ36"/>
  <c r="AQ37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8"/>
  <c r="AA39"/>
  <c r="AA40"/>
  <c r="AA41"/>
  <c r="AA42"/>
  <c r="AA43"/>
  <c r="AA44"/>
  <c r="AA45"/>
  <c r="AA46"/>
  <c r="AA47"/>
  <c r="AA48"/>
  <c r="AA49"/>
  <c r="AA50"/>
  <c r="AA51"/>
  <c r="AA52"/>
  <c r="AA53"/>
  <c r="AA35"/>
  <c r="AA36"/>
  <c r="AA37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8"/>
  <c r="K39"/>
  <c r="K40"/>
  <c r="K41"/>
  <c r="K42"/>
  <c r="K43"/>
  <c r="K44"/>
  <c r="K45"/>
  <c r="K46"/>
  <c r="K47"/>
  <c r="K48"/>
  <c r="K49"/>
  <c r="K50"/>
  <c r="K51"/>
  <c r="K52"/>
  <c r="K53"/>
  <c r="K35"/>
  <c r="K36"/>
  <c r="K37"/>
  <c r="AV5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AK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AT5"/>
  <c r="AT6"/>
  <c r="AT7"/>
  <c r="AT8"/>
  <c r="AT9"/>
  <c r="AT10"/>
  <c r="AT11"/>
  <c r="AT12"/>
  <c r="AT13"/>
  <c r="AT14"/>
  <c r="AT15"/>
  <c r="AT16"/>
  <c r="AT17"/>
  <c r="AT18"/>
  <c r="AT19"/>
  <c r="AT20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T45"/>
  <c r="AT46"/>
  <c r="AT47"/>
  <c r="AT48"/>
  <c r="AT49"/>
  <c r="AT50"/>
  <c r="AT51"/>
  <c r="AT52"/>
  <c r="AT53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AU5"/>
  <c r="AU6"/>
  <c r="AU7"/>
  <c r="AU8"/>
  <c r="AU9"/>
  <c r="AU10"/>
  <c r="AU11"/>
  <c r="AU12"/>
  <c r="AU13"/>
  <c r="AU14"/>
  <c r="AU15"/>
  <c r="AU16"/>
  <c r="AU17"/>
  <c r="AU18"/>
  <c r="AU19"/>
  <c r="AU20"/>
  <c r="AU21"/>
  <c r="AU22"/>
  <c r="AU23"/>
  <c r="AU24"/>
  <c r="AU25"/>
  <c r="AU26"/>
  <c r="AU27"/>
  <c r="AU28"/>
  <c r="AU29"/>
  <c r="AU30"/>
  <c r="AU31"/>
  <c r="AU32"/>
  <c r="AU33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U53"/>
  <c r="AU3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3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35"/>
  <c r="AZ5"/>
  <c r="AZ6"/>
  <c r="AZ7"/>
  <c r="AZ8"/>
  <c r="AZ9"/>
  <c r="AZ10"/>
  <c r="AZ11"/>
  <c r="AZ12"/>
  <c r="AZ13"/>
  <c r="AZ14"/>
  <c r="AZ15"/>
  <c r="AZ16"/>
  <c r="AZ17"/>
  <c r="AZ18"/>
  <c r="AZ19"/>
  <c r="AZ20"/>
  <c r="AZ21"/>
  <c r="AZ22"/>
  <c r="AZ23"/>
  <c r="AZ24"/>
  <c r="AZ25"/>
  <c r="AZ26"/>
  <c r="AZ27"/>
  <c r="AZ28"/>
  <c r="AZ29"/>
  <c r="AZ30"/>
  <c r="AZ31"/>
  <c r="AZ32"/>
  <c r="AZ33"/>
  <c r="AZ34"/>
  <c r="AZ35"/>
  <c r="AZ36"/>
  <c r="AZ37"/>
  <c r="AZ38"/>
  <c r="AZ39"/>
  <c r="AZ40"/>
  <c r="AZ41"/>
  <c r="AZ42"/>
  <c r="AZ43"/>
  <c r="AZ44"/>
  <c r="AZ45"/>
  <c r="AZ46"/>
  <c r="AZ47"/>
  <c r="AZ48"/>
  <c r="AZ49"/>
  <c r="AZ50"/>
  <c r="AZ51"/>
  <c r="AZ52"/>
  <c r="AZ5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D9"/>
  <c r="D13"/>
  <c r="D17"/>
  <c r="D21"/>
  <c r="D25"/>
  <c r="D29"/>
  <c r="D33"/>
  <c r="D37"/>
  <c r="D41"/>
  <c r="D45"/>
  <c r="D49"/>
  <c r="D53"/>
  <c r="D8"/>
  <c r="D12"/>
  <c r="D16"/>
  <c r="D20"/>
  <c r="D24"/>
  <c r="D28"/>
  <c r="D32"/>
  <c r="D36"/>
  <c r="D40"/>
  <c r="D44"/>
  <c r="D48"/>
  <c r="D52"/>
  <c r="D7"/>
  <c r="D11"/>
  <c r="D15"/>
  <c r="D19"/>
  <c r="D23"/>
  <c r="D27"/>
  <c r="D31"/>
  <c r="D35"/>
  <c r="D39"/>
  <c r="D43"/>
  <c r="D47"/>
  <c r="D51"/>
  <c r="D6"/>
  <c r="D10"/>
  <c r="D14"/>
  <c r="D18"/>
  <c r="D22"/>
  <c r="D26"/>
  <c r="D30"/>
  <c r="D34"/>
  <c r="D38"/>
  <c r="D42"/>
  <c r="D46"/>
  <c r="D50"/>
  <c r="D5"/>
  <c r="AO5"/>
  <c r="AO6"/>
  <c r="AO7"/>
  <c r="AO8"/>
  <c r="AO9"/>
  <c r="AO10"/>
  <c r="AO11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AX5"/>
  <c r="AX6"/>
  <c r="AX7"/>
  <c r="AX8"/>
  <c r="AX9"/>
  <c r="AX10"/>
  <c r="AX11"/>
  <c r="AX12"/>
  <c r="AX13"/>
  <c r="AX14"/>
  <c r="AX15"/>
  <c r="AX16"/>
  <c r="AX17"/>
  <c r="AX18"/>
  <c r="AX19"/>
  <c r="AX20"/>
  <c r="AX21"/>
  <c r="AX22"/>
  <c r="AX23"/>
  <c r="AX24"/>
  <c r="AX25"/>
  <c r="AX26"/>
  <c r="AX27"/>
  <c r="AX28"/>
  <c r="AX29"/>
  <c r="AX30"/>
  <c r="AX31"/>
  <c r="AX32"/>
  <c r="AX33"/>
  <c r="AX34"/>
  <c r="AX35"/>
  <c r="AX36"/>
  <c r="AX37"/>
  <c r="AX38"/>
  <c r="AX39"/>
  <c r="AX40"/>
  <c r="AX41"/>
  <c r="AX42"/>
  <c r="AX43"/>
  <c r="AX44"/>
  <c r="AX45"/>
  <c r="AX46"/>
  <c r="AX47"/>
  <c r="AX48"/>
  <c r="AX49"/>
  <c r="AX50"/>
  <c r="AX51"/>
  <c r="AX52"/>
  <c r="AX53"/>
  <c r="AY5"/>
  <c r="AY6"/>
  <c r="AY7"/>
  <c r="AY8"/>
  <c r="AY9"/>
  <c r="AY10"/>
  <c r="AY11"/>
  <c r="AY12"/>
  <c r="AY13"/>
  <c r="AY14"/>
  <c r="AY15"/>
  <c r="AY16"/>
  <c r="AY17"/>
  <c r="AY18"/>
  <c r="AY19"/>
  <c r="AY20"/>
  <c r="AY21"/>
  <c r="AY22"/>
  <c r="AY23"/>
  <c r="AY24"/>
  <c r="AY25"/>
  <c r="AY26"/>
  <c r="AY27"/>
  <c r="AY28"/>
  <c r="AY29"/>
  <c r="AY30"/>
  <c r="AY31"/>
  <c r="AY32"/>
  <c r="AY33"/>
  <c r="AY34"/>
  <c r="AY38"/>
  <c r="AY39"/>
  <c r="AY40"/>
  <c r="AY41"/>
  <c r="AY42"/>
  <c r="AY43"/>
  <c r="AY44"/>
  <c r="AY45"/>
  <c r="AY46"/>
  <c r="AY47"/>
  <c r="AY48"/>
  <c r="AY49"/>
  <c r="AY50"/>
  <c r="AY51"/>
  <c r="AY52"/>
  <c r="AY53"/>
  <c r="AY35"/>
  <c r="AY36"/>
  <c r="AY37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8"/>
  <c r="AI39"/>
  <c r="AI40"/>
  <c r="AI41"/>
  <c r="AI42"/>
  <c r="AI43"/>
  <c r="AI44"/>
  <c r="AI45"/>
  <c r="AI46"/>
  <c r="AI47"/>
  <c r="AI48"/>
  <c r="AI49"/>
  <c r="AI50"/>
  <c r="AI51"/>
  <c r="AI52"/>
  <c r="AI53"/>
  <c r="AI35"/>
  <c r="AI36"/>
  <c r="AI37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8"/>
  <c r="S39"/>
  <c r="S40"/>
  <c r="S41"/>
  <c r="S42"/>
  <c r="S43"/>
  <c r="S44"/>
  <c r="S45"/>
  <c r="S46"/>
  <c r="S47"/>
  <c r="S48"/>
  <c r="S49"/>
  <c r="S50"/>
  <c r="S51"/>
  <c r="S52"/>
  <c r="S53"/>
  <c r="S36"/>
  <c r="S37"/>
  <c r="AN5"/>
  <c r="AN6"/>
  <c r="AN7"/>
  <c r="AN8"/>
  <c r="AN9"/>
  <c r="AN10"/>
  <c r="AN11"/>
  <c r="AN12"/>
  <c r="AN13"/>
  <c r="AN14"/>
  <c r="AN15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16"/>
  <c r="AN38"/>
  <c r="AN39"/>
  <c r="AN40"/>
  <c r="AN41"/>
  <c r="AN42"/>
  <c r="AN43"/>
  <c r="AN44"/>
  <c r="AN45"/>
  <c r="AN46"/>
  <c r="AN47"/>
  <c r="AN48"/>
  <c r="AN49"/>
  <c r="AN50"/>
  <c r="AN51"/>
  <c r="AN52"/>
  <c r="AN53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AS5"/>
  <c r="AS6"/>
  <c r="AS7"/>
  <c r="AS8"/>
  <c r="AS9"/>
  <c r="AS1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AL5"/>
  <c r="AL6"/>
  <c r="AL7"/>
  <c r="AL8"/>
  <c r="AL9"/>
  <c r="AL10"/>
  <c r="AL11"/>
  <c r="AL12"/>
  <c r="AL13"/>
  <c r="AL14"/>
  <c r="AL15"/>
  <c r="AL16"/>
  <c r="AL17"/>
  <c r="AL18"/>
  <c r="AL19"/>
  <c r="AL20"/>
  <c r="AL21"/>
  <c r="AL22"/>
  <c r="AL23"/>
  <c r="AL24"/>
  <c r="AL25"/>
  <c r="AL26"/>
  <c r="AL27"/>
  <c r="AL28"/>
  <c r="AL29"/>
  <c r="AL30"/>
  <c r="AL31"/>
  <c r="AL32"/>
  <c r="AL33"/>
  <c r="AL34"/>
  <c r="AL35"/>
  <c r="AL36"/>
  <c r="AL37"/>
  <c r="AL38"/>
  <c r="AL39"/>
  <c r="AL40"/>
  <c r="AL41"/>
  <c r="AL42"/>
  <c r="AL43"/>
  <c r="AL44"/>
  <c r="AL45"/>
  <c r="AL46"/>
  <c r="AL47"/>
  <c r="AL48"/>
  <c r="AL49"/>
  <c r="AL50"/>
  <c r="AL51"/>
  <c r="AL52"/>
  <c r="AL53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AM5"/>
  <c r="AM6"/>
  <c r="AM7"/>
  <c r="AM8"/>
  <c r="AM9"/>
  <c r="AM10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AR5"/>
  <c r="AR6"/>
  <c r="AR7"/>
  <c r="AR8"/>
  <c r="AR9"/>
  <c r="AR10"/>
  <c r="AR11"/>
  <c r="AR12"/>
  <c r="AR13"/>
  <c r="AR14"/>
  <c r="AR15"/>
  <c r="AR16"/>
  <c r="AR17"/>
  <c r="AR18"/>
  <c r="AR19"/>
  <c r="AR20"/>
  <c r="AR21"/>
  <c r="AR22"/>
  <c r="AR23"/>
  <c r="AR24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AW5"/>
  <c r="AW6"/>
  <c r="AW7"/>
  <c r="AW8"/>
  <c r="AW9"/>
  <c r="AW10"/>
  <c r="AW11"/>
  <c r="AW12"/>
  <c r="AW13"/>
  <c r="AW14"/>
  <c r="AW15"/>
  <c r="AW16"/>
  <c r="AW17"/>
  <c r="AW18"/>
  <c r="AW19"/>
  <c r="AW20"/>
  <c r="AW21"/>
  <c r="AW22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48"/>
  <c r="AW49"/>
  <c r="AW50"/>
  <c r="AW51"/>
  <c r="AW52"/>
  <c r="AW53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</calcChain>
</file>

<file path=xl/sharedStrings.xml><?xml version="1.0" encoding="utf-8"?>
<sst xmlns="http://schemas.openxmlformats.org/spreadsheetml/2006/main" count="391" uniqueCount="187">
  <si>
    <t>Свободное время</t>
  </si>
  <si>
    <t>Понедельник</t>
  </si>
  <si>
    <t>Вторник</t>
  </si>
  <si>
    <t>Среда</t>
  </si>
  <si>
    <t>Четверг</t>
  </si>
  <si>
    <t>Пятница</t>
  </si>
  <si>
    <t>Суббота</t>
  </si>
  <si>
    <t>Жантумсова Нургуль</t>
  </si>
  <si>
    <t>после 17:00</t>
  </si>
  <si>
    <t>после17:00</t>
  </si>
  <si>
    <t>Тамабаева Динара</t>
  </si>
  <si>
    <t>14:00 до 18:00</t>
  </si>
  <si>
    <t>16:00 до 17:00</t>
  </si>
  <si>
    <t>16:00 до 18:00</t>
  </si>
  <si>
    <t>Канылбаев Эльдар</t>
  </si>
  <si>
    <t>13:00 до 15:00</t>
  </si>
  <si>
    <t>10:00 до 12:00</t>
  </si>
  <si>
    <t>Нурабаева Жансая</t>
  </si>
  <si>
    <t>12:00 до 16:00</t>
  </si>
  <si>
    <t>13:00 до 18:00</t>
  </si>
  <si>
    <t>13:00 до 17:00</t>
  </si>
  <si>
    <t>Сариева Сивиля</t>
  </si>
  <si>
    <t>17:00 до 19:00</t>
  </si>
  <si>
    <t>Адилханов Нурсултан</t>
  </si>
  <si>
    <t>15:00 до 18:00</t>
  </si>
  <si>
    <t>11:00 до 18:00</t>
  </si>
  <si>
    <t>Дуисенгалиева Гульшат</t>
  </si>
  <si>
    <t>09:00 до 18:00</t>
  </si>
  <si>
    <t>12:00 до 15:00</t>
  </si>
  <si>
    <t>Байбосынова Санат</t>
  </si>
  <si>
    <t>12:30 до 17:50</t>
  </si>
  <si>
    <t>10:00 до 13:00</t>
  </si>
  <si>
    <t>16:50 до 18:50</t>
  </si>
  <si>
    <t>Усеинов Рифат</t>
  </si>
  <si>
    <t>18:00 до 20:00</t>
  </si>
  <si>
    <t>Искакова Айымгуль</t>
  </si>
  <si>
    <t>Имя ученика</t>
  </si>
  <si>
    <t>Английский</t>
  </si>
  <si>
    <t>Юсупова Р. С.</t>
  </si>
  <si>
    <t>Количество раз</t>
  </si>
  <si>
    <t>Дни недели</t>
  </si>
  <si>
    <t>Пн, Вт, Ср, Чт, Пт, Сб</t>
  </si>
  <si>
    <t>Пн, Ср</t>
  </si>
  <si>
    <t>Канылбаева Эльдар</t>
  </si>
  <si>
    <t>Вт, Чт</t>
  </si>
  <si>
    <t>Вт, Чт, Сб</t>
  </si>
  <si>
    <t>Пн, Ср, Пт</t>
  </si>
  <si>
    <t>Пн, Вт, Ср</t>
  </si>
  <si>
    <t>Ср, Чт, Пт, Сб</t>
  </si>
  <si>
    <t>Пн, Вт, Ср, Чт, Пт</t>
  </si>
  <si>
    <t>Сб</t>
  </si>
  <si>
    <t>Столбец1</t>
  </si>
  <si>
    <t>Юсупова Р.С.</t>
  </si>
  <si>
    <t>Перескающиеся временные отрезки</t>
  </si>
  <si>
    <t>для всех аудиторий</t>
  </si>
  <si>
    <t>кл-во аудиторий</t>
  </si>
  <si>
    <t>Кол-во учеников</t>
  </si>
  <si>
    <t>Кол-во учителей</t>
  </si>
  <si>
    <t>Кол-во отрезков</t>
  </si>
  <si>
    <t>Понедельник2</t>
  </si>
  <si>
    <t>Среда4</t>
  </si>
  <si>
    <t>Четверг5</t>
  </si>
  <si>
    <t>Пятница6</t>
  </si>
  <si>
    <t>Суббота7</t>
  </si>
  <si>
    <t>Понедельник8</t>
  </si>
  <si>
    <t>Среда10</t>
  </si>
  <si>
    <t>Четверг11</t>
  </si>
  <si>
    <t>Пятница12</t>
  </si>
  <si>
    <t>Суббота13</t>
  </si>
  <si>
    <t>Понедельник14</t>
  </si>
  <si>
    <t>Вторник15</t>
  </si>
  <si>
    <t>Среда16</t>
  </si>
  <si>
    <t>Четверг17</t>
  </si>
  <si>
    <t>Пятница18</t>
  </si>
  <si>
    <t>Суббота19</t>
  </si>
  <si>
    <t>Понедельник20</t>
  </si>
  <si>
    <t>Вторник21</t>
  </si>
  <si>
    <t>Среда22</t>
  </si>
  <si>
    <t>Четверг23</t>
  </si>
  <si>
    <t>Пятница24</t>
  </si>
  <si>
    <t>Суббота25</t>
  </si>
  <si>
    <t>Понедельник26</t>
  </si>
  <si>
    <t>Вторник27</t>
  </si>
  <si>
    <t>Среда28</t>
  </si>
  <si>
    <t>Четверг29</t>
  </si>
  <si>
    <t>Пятница30</t>
  </si>
  <si>
    <t>Суббота31</t>
  </si>
  <si>
    <t>Понедельник32</t>
  </si>
  <si>
    <t>Среда34</t>
  </si>
  <si>
    <t>Четверг35</t>
  </si>
  <si>
    <t>Пятница36</t>
  </si>
  <si>
    <t>Суббота37</t>
  </si>
  <si>
    <t>Понедельник38</t>
  </si>
  <si>
    <t>Вторник39</t>
  </si>
  <si>
    <t>Среда40</t>
  </si>
  <si>
    <t>Четверг41</t>
  </si>
  <si>
    <t>Пятница42</t>
  </si>
  <si>
    <t>Суббота43</t>
  </si>
  <si>
    <t>Понедельник44</t>
  </si>
  <si>
    <t>Вторник45</t>
  </si>
  <si>
    <t>Среда46</t>
  </si>
  <si>
    <t>Четверг47</t>
  </si>
  <si>
    <t>Пятница48</t>
  </si>
  <si>
    <t>Суббота49</t>
  </si>
  <si>
    <t>Понедельник50</t>
  </si>
  <si>
    <t>Вторник51</t>
  </si>
  <si>
    <t>Среда52</t>
  </si>
  <si>
    <t>Четверг53</t>
  </si>
  <si>
    <t>Пятница54</t>
  </si>
  <si>
    <t>Суббота55</t>
  </si>
  <si>
    <t>Итог</t>
  </si>
  <si>
    <t>Ограничение числа одновременных занятий</t>
  </si>
  <si>
    <t>49</t>
  </si>
  <si>
    <t>Без перемен</t>
  </si>
  <si>
    <t>Переменные</t>
  </si>
  <si>
    <t>Расписание</t>
  </si>
  <si>
    <t>Количество назныченных занятий</t>
  </si>
  <si>
    <t>Назначенные</t>
  </si>
  <si>
    <t>Запрошенные</t>
  </si>
  <si>
    <t>Расписание учителей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</si>
  <si>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</si>
  <si>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</si>
  <si>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</si>
  <si>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</si>
  <si>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</si>
  <si>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</si>
  <si>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</si>
  <si>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</si>
  <si>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</si>
  <si>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</si>
  <si>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</si>
  <si>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</si>
  <si>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</si>
  <si>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</si>
  <si>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</si>
  <si>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</si>
  <si>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</si>
  <si>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</si>
  <si>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</si>
  <si>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</si>
  <si>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</si>
  <si>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Столбец23</t>
  </si>
  <si>
    <t>Столбец24</t>
  </si>
  <si>
    <t>Столбец25</t>
  </si>
  <si>
    <t>Столбец26</t>
  </si>
  <si>
    <t>Столбец27</t>
  </si>
  <si>
    <t>Столбец28</t>
  </si>
  <si>
    <t>Столбец29</t>
  </si>
  <si>
    <t>Столбец30</t>
  </si>
  <si>
    <t>Столбец31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</si>
  <si>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</si>
  <si>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</si>
  <si>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</si>
  <si>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</si>
  <si>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</si>
  <si>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</si>
  <si>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Столбец38</t>
  </si>
  <si>
    <t>Столбец39</t>
  </si>
  <si>
    <t>Столбец40</t>
  </si>
  <si>
    <t>Столбец41</t>
  </si>
  <si>
    <t>Столбец42</t>
  </si>
  <si>
    <t>Столбец43</t>
  </si>
  <si>
    <t>Столбец44</t>
  </si>
  <si>
    <t>Столбец45</t>
  </si>
  <si>
    <t>Столбец46</t>
  </si>
  <si>
    <t>Столбец47</t>
  </si>
  <si>
    <t>Столбец48</t>
  </si>
  <si>
    <t>Столбец49</t>
  </si>
  <si>
    <t>Столбец50</t>
  </si>
  <si>
    <t>Входные данные</t>
  </si>
  <si>
    <t>Свободное время учеников</t>
  </si>
  <si>
    <t>Число пересекающихся отрезков</t>
  </si>
  <si>
    <t>Число учеников*дни</t>
  </si>
  <si>
    <t>Ограничение занятий в пересекающиеся отрезки</t>
  </si>
  <si>
    <t>Ограничение по числу аудиторий</t>
  </si>
  <si>
    <t>Предмет</t>
  </si>
  <si>
    <t>Учитель</t>
  </si>
  <si>
    <t>Имя учителя</t>
  </si>
  <si>
    <t>Занятое время учителя</t>
  </si>
  <si>
    <t>Ученики</t>
  </si>
  <si>
    <t>Учителя</t>
  </si>
  <si>
    <t>Понедельник82</t>
  </si>
  <si>
    <t>Понедельник322</t>
  </si>
  <si>
    <t>#</t>
  </si>
  <si>
    <t>Вторник3</t>
  </si>
  <si>
    <t>=</t>
  </si>
  <si>
    <t>3</t>
  </si>
</sst>
</file>

<file path=xl/styles.xml><?xml version="1.0" encoding="utf-8"?>
<styleSheet xmlns="http://schemas.openxmlformats.org/spreadsheetml/2006/main">
  <numFmts count="1">
    <numFmt numFmtId="164" formatCode="h:mm;@"/>
  </numFmts>
  <fonts count="9"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0"/>
      <color theme="0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5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 style="thin">
        <color theme="7"/>
      </left>
      <right style="thin">
        <color theme="7"/>
      </right>
      <top/>
      <bottom/>
      <diagonal/>
    </border>
    <border>
      <left/>
      <right style="thin">
        <color theme="7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theme="6" tint="0.39997558519241921"/>
      </left>
      <right/>
      <top/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  <border>
      <left style="thin">
        <color theme="6" tint="0.39997558519241921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 tint="0.39997558519241921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/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1" xfId="0" applyFont="1" applyBorder="1" applyAlignment="1">
      <alignment wrapText="1"/>
    </xf>
    <xf numFmtId="0" fontId="1" fillId="0" borderId="1" xfId="0" applyFont="1" applyBorder="1"/>
    <xf numFmtId="0" fontId="2" fillId="0" borderId="3" xfId="0" applyFont="1" applyBorder="1" applyAlignment="1">
      <alignment horizontal="right" vertical="top" wrapText="1"/>
    </xf>
    <xf numFmtId="0" fontId="3" fillId="2" borderId="2" xfId="0" applyFont="1" applyFill="1" applyBorder="1" applyAlignment="1">
      <alignment vertical="top" wrapText="1"/>
    </xf>
    <xf numFmtId="164" fontId="0" fillId="0" borderId="0" xfId="0" applyNumberFormat="1"/>
    <xf numFmtId="0" fontId="0" fillId="0" borderId="0" xfId="0" applyNumberFormat="1"/>
    <xf numFmtId="0" fontId="3" fillId="2" borderId="4" xfId="0" applyFont="1" applyFill="1" applyBorder="1" applyAlignment="1">
      <alignment horizontal="center" vertical="top" wrapText="1"/>
    </xf>
    <xf numFmtId="0" fontId="3" fillId="2" borderId="5" xfId="0" applyFont="1" applyFill="1" applyBorder="1" applyAlignment="1">
      <alignment horizontal="center" vertical="top" wrapText="1"/>
    </xf>
    <xf numFmtId="20" fontId="1" fillId="0" borderId="1" xfId="0" applyNumberFormat="1" applyFont="1" applyBorder="1" applyAlignment="1">
      <alignment wrapText="1"/>
    </xf>
    <xf numFmtId="20" fontId="0" fillId="0" borderId="0" xfId="0" applyNumberFormat="1"/>
    <xf numFmtId="0" fontId="0" fillId="3" borderId="8" xfId="0" applyFont="1" applyFill="1" applyBorder="1"/>
    <xf numFmtId="0" fontId="0" fillId="3" borderId="9" xfId="0" applyFont="1" applyFill="1" applyBorder="1"/>
    <xf numFmtId="0" fontId="0" fillId="0" borderId="10" xfId="0" applyFont="1" applyBorder="1"/>
    <xf numFmtId="0" fontId="0" fillId="0" borderId="11" xfId="0" applyFont="1" applyBorder="1"/>
    <xf numFmtId="0" fontId="0" fillId="3" borderId="10" xfId="0" applyFont="1" applyFill="1" applyBorder="1"/>
    <xf numFmtId="0" fontId="0" fillId="3" borderId="11" xfId="0" applyFont="1" applyFill="1" applyBorder="1"/>
    <xf numFmtId="0" fontId="0" fillId="3" borderId="12" xfId="0" applyFont="1" applyFill="1" applyBorder="1"/>
    <xf numFmtId="0" fontId="0" fillId="0" borderId="13" xfId="0" applyFont="1" applyBorder="1"/>
    <xf numFmtId="0" fontId="0" fillId="3" borderId="13" xfId="0" applyFont="1" applyFill="1" applyBorder="1"/>
    <xf numFmtId="0" fontId="0" fillId="0" borderId="14" xfId="0" applyFont="1" applyBorder="1"/>
    <xf numFmtId="0" fontId="5" fillId="0" borderId="0" xfId="0" applyFont="1"/>
    <xf numFmtId="0" fontId="6" fillId="0" borderId="0" xfId="0" applyFont="1"/>
    <xf numFmtId="0" fontId="0" fillId="0" borderId="15" xfId="0" applyFont="1" applyBorder="1"/>
    <xf numFmtId="0" fontId="4" fillId="0" borderId="16" xfId="0" applyFont="1" applyFill="1" applyBorder="1" applyAlignment="1">
      <alignment horizontal="right" vertical="top" wrapText="1"/>
    </xf>
    <xf numFmtId="164" fontId="0" fillId="0" borderId="6" xfId="0" applyNumberFormat="1" applyBorder="1" applyAlignment="1">
      <alignment vertical="top"/>
    </xf>
    <xf numFmtId="164" fontId="4" fillId="0" borderId="7" xfId="0" applyNumberFormat="1" applyFont="1" applyBorder="1" applyAlignment="1">
      <alignment vertical="top"/>
    </xf>
    <xf numFmtId="0" fontId="0" fillId="5" borderId="17" xfId="0" applyFont="1" applyFill="1" applyBorder="1"/>
    <xf numFmtId="164" fontId="0" fillId="5" borderId="18" xfId="0" applyNumberFormat="1" applyFont="1" applyFill="1" applyBorder="1"/>
    <xf numFmtId="164" fontId="0" fillId="5" borderId="19" xfId="0" applyNumberFormat="1" applyFont="1" applyFill="1" applyBorder="1"/>
    <xf numFmtId="0" fontId="0" fillId="0" borderId="17" xfId="0" applyFont="1" applyBorder="1"/>
    <xf numFmtId="164" fontId="0" fillId="0" borderId="18" xfId="0" applyNumberFormat="1" applyFont="1" applyBorder="1"/>
    <xf numFmtId="164" fontId="0" fillId="0" borderId="19" xfId="0" applyNumberFormat="1" applyFont="1" applyBorder="1"/>
    <xf numFmtId="0" fontId="7" fillId="4" borderId="20" xfId="0" applyFont="1" applyFill="1" applyBorder="1"/>
    <xf numFmtId="0" fontId="7" fillId="4" borderId="21" xfId="0" applyFont="1" applyFill="1" applyBorder="1"/>
    <xf numFmtId="0" fontId="7" fillId="4" borderId="22" xfId="0" applyFont="1" applyFill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7" fillId="6" borderId="26" xfId="0" applyFont="1" applyFill="1" applyBorder="1"/>
    <xf numFmtId="0" fontId="7" fillId="6" borderId="27" xfId="0" applyFont="1" applyFill="1" applyBorder="1"/>
    <xf numFmtId="0" fontId="7" fillId="6" borderId="28" xfId="0" applyFont="1" applyFill="1" applyBorder="1"/>
    <xf numFmtId="0" fontId="0" fillId="7" borderId="29" xfId="0" applyFont="1" applyFill="1" applyBorder="1"/>
    <xf numFmtId="0" fontId="0" fillId="7" borderId="30" xfId="0" applyFont="1" applyFill="1" applyBorder="1"/>
    <xf numFmtId="0" fontId="0" fillId="7" borderId="31" xfId="0" applyFont="1" applyFill="1" applyBorder="1"/>
    <xf numFmtId="0" fontId="0" fillId="0" borderId="29" xfId="0" applyFont="1" applyBorder="1"/>
    <xf numFmtId="0" fontId="0" fillId="0" borderId="30" xfId="0" applyFont="1" applyBorder="1"/>
    <xf numFmtId="0" fontId="0" fillId="0" borderId="31" xfId="0" applyFont="1" applyBorder="1"/>
    <xf numFmtId="0" fontId="1" fillId="0" borderId="33" xfId="0" applyFont="1" applyBorder="1" applyAlignment="1">
      <alignment wrapText="1"/>
    </xf>
    <xf numFmtId="0" fontId="1" fillId="0" borderId="35" xfId="0" applyFont="1" applyBorder="1" applyAlignment="1">
      <alignment wrapText="1"/>
    </xf>
    <xf numFmtId="0" fontId="1" fillId="0" borderId="36" xfId="0" applyFont="1" applyBorder="1" applyAlignment="1">
      <alignment wrapText="1"/>
    </xf>
    <xf numFmtId="0" fontId="2" fillId="0" borderId="34" xfId="0" applyFont="1" applyBorder="1" applyAlignment="1">
      <alignment horizontal="right" vertical="top" wrapText="1"/>
    </xf>
    <xf numFmtId="0" fontId="1" fillId="0" borderId="37" xfId="0" applyFont="1" applyBorder="1" applyAlignment="1">
      <alignment wrapText="1"/>
    </xf>
    <xf numFmtId="0" fontId="2" fillId="0" borderId="38" xfId="0" applyFont="1" applyBorder="1" applyAlignment="1">
      <alignment horizontal="right" vertical="top" wrapText="1"/>
    </xf>
    <xf numFmtId="0" fontId="2" fillId="0" borderId="41" xfId="0" applyFont="1" applyBorder="1" applyAlignment="1">
      <alignment horizontal="right" vertical="top" wrapText="1"/>
    </xf>
    <xf numFmtId="0" fontId="2" fillId="0" borderId="42" xfId="0" applyFont="1" applyBorder="1" applyAlignment="1">
      <alignment horizontal="right" vertical="top" wrapText="1"/>
    </xf>
    <xf numFmtId="0" fontId="2" fillId="0" borderId="45" xfId="0" applyFont="1" applyBorder="1" applyAlignment="1">
      <alignment horizontal="right" vertical="top" wrapText="1"/>
    </xf>
    <xf numFmtId="0" fontId="2" fillId="0" borderId="44" xfId="0" applyFont="1" applyBorder="1" applyAlignment="1">
      <alignment horizontal="center" vertical="top" wrapText="1"/>
    </xf>
    <xf numFmtId="0" fontId="2" fillId="0" borderId="46" xfId="0" applyFont="1" applyBorder="1" applyAlignment="1">
      <alignment horizontal="center" vertical="top" wrapText="1"/>
    </xf>
    <xf numFmtId="0" fontId="2" fillId="0" borderId="39" xfId="0" applyFont="1" applyBorder="1" applyAlignment="1">
      <alignment horizontal="right" vertical="top" wrapText="1"/>
    </xf>
    <xf numFmtId="0" fontId="2" fillId="0" borderId="40" xfId="0" applyFont="1" applyBorder="1" applyAlignment="1">
      <alignment horizontal="right" vertical="top" wrapText="1"/>
    </xf>
    <xf numFmtId="0" fontId="2" fillId="0" borderId="47" xfId="0" applyFont="1" applyBorder="1" applyAlignment="1">
      <alignment horizontal="center" vertical="top" wrapText="1"/>
    </xf>
    <xf numFmtId="20" fontId="8" fillId="0" borderId="35" xfId="0" applyNumberFormat="1" applyFont="1" applyBorder="1" applyAlignment="1">
      <alignment wrapText="1"/>
    </xf>
    <xf numFmtId="0" fontId="1" fillId="0" borderId="48" xfId="0" applyFont="1" applyBorder="1" applyAlignment="1">
      <alignment wrapText="1"/>
    </xf>
    <xf numFmtId="0" fontId="2" fillId="0" borderId="0" xfId="0" applyFont="1" applyBorder="1" applyAlignment="1">
      <alignment horizontal="center" vertical="top" wrapText="1"/>
    </xf>
    <xf numFmtId="0" fontId="1" fillId="0" borderId="0" xfId="0" applyFont="1" applyBorder="1" applyAlignment="1">
      <alignment wrapText="1"/>
    </xf>
    <xf numFmtId="0" fontId="1" fillId="0" borderId="0" xfId="0" applyFont="1" applyFill="1" applyBorder="1" applyAlignment="1">
      <alignment wrapText="1"/>
    </xf>
    <xf numFmtId="49" fontId="1" fillId="0" borderId="36" xfId="0" applyNumberFormat="1" applyFont="1" applyBorder="1"/>
    <xf numFmtId="49" fontId="1" fillId="0" borderId="1" xfId="0" applyNumberFormat="1" applyFont="1" applyBorder="1"/>
    <xf numFmtId="49" fontId="2" fillId="0" borderId="0" xfId="0" applyNumberFormat="1" applyFont="1" applyBorder="1" applyAlignment="1">
      <alignment horizontal="center" vertical="top" wrapText="1"/>
    </xf>
    <xf numFmtId="49" fontId="2" fillId="0" borderId="2" xfId="0" applyNumberFormat="1" applyFont="1" applyBorder="1" applyAlignment="1">
      <alignment horizontal="center" vertical="top" wrapText="1"/>
    </xf>
    <xf numFmtId="49" fontId="2" fillId="3" borderId="34" xfId="0" applyNumberFormat="1" applyFont="1" applyFill="1" applyBorder="1" applyAlignment="1">
      <alignment horizontal="center" vertical="top" wrapText="1"/>
    </xf>
    <xf numFmtId="49" fontId="2" fillId="0" borderId="34" xfId="0" applyNumberFormat="1" applyFont="1" applyBorder="1" applyAlignment="1">
      <alignment horizontal="center" vertical="top" wrapText="1"/>
    </xf>
    <xf numFmtId="0" fontId="1" fillId="0" borderId="49" xfId="0" applyFont="1" applyBorder="1" applyAlignment="1">
      <alignment wrapText="1"/>
    </xf>
    <xf numFmtId="0" fontId="2" fillId="0" borderId="51" xfId="0" applyFont="1" applyBorder="1" applyAlignment="1">
      <alignment horizontal="right" vertical="top" wrapText="1"/>
    </xf>
    <xf numFmtId="0" fontId="0" fillId="0" borderId="46" xfId="0" applyBorder="1"/>
    <xf numFmtId="0" fontId="3" fillId="8" borderId="39" xfId="0" applyFont="1" applyFill="1" applyBorder="1" applyAlignment="1">
      <alignment horizontal="right" vertical="top" wrapText="1"/>
    </xf>
    <xf numFmtId="164" fontId="4" fillId="0" borderId="39" xfId="0" applyNumberFormat="1" applyFont="1" applyBorder="1" applyAlignment="1">
      <alignment horizontal="center" vertical="top" wrapText="1"/>
    </xf>
    <xf numFmtId="0" fontId="4" fillId="0" borderId="39" xfId="0" applyFont="1" applyBorder="1" applyAlignment="1">
      <alignment horizontal="center" vertical="top" wrapText="1"/>
    </xf>
    <xf numFmtId="0" fontId="4" fillId="0" borderId="39" xfId="0" applyFont="1" applyBorder="1" applyAlignment="1">
      <alignment horizontal="right" vertical="top"/>
    </xf>
    <xf numFmtId="0" fontId="4" fillId="0" borderId="40" xfId="0" applyFont="1" applyBorder="1" applyAlignment="1">
      <alignment horizontal="right" vertical="top" wrapText="1"/>
    </xf>
    <xf numFmtId="0" fontId="0" fillId="0" borderId="44" xfId="0" applyBorder="1"/>
    <xf numFmtId="49" fontId="2" fillId="3" borderId="34" xfId="0" applyNumberFormat="1" applyFont="1" applyFill="1" applyBorder="1" applyAlignment="1">
      <alignment horizontal="right" vertical="top" wrapText="1"/>
    </xf>
    <xf numFmtId="49" fontId="1" fillId="3" borderId="34" xfId="0" applyNumberFormat="1" applyFont="1" applyFill="1" applyBorder="1" applyAlignment="1">
      <alignment vertical="top" wrapText="1"/>
    </xf>
    <xf numFmtId="49" fontId="4" fillId="0" borderId="34" xfId="0" applyNumberFormat="1" applyFont="1" applyBorder="1" applyAlignment="1">
      <alignment horizontal="right" vertical="top" wrapText="1"/>
    </xf>
    <xf numFmtId="49" fontId="4" fillId="0" borderId="34" xfId="0" applyNumberFormat="1" applyFont="1" applyBorder="1" applyAlignment="1">
      <alignment horizontal="right" vertical="top"/>
    </xf>
    <xf numFmtId="49" fontId="4" fillId="0" borderId="38" xfId="0" applyNumberFormat="1" applyFont="1" applyBorder="1" applyAlignment="1">
      <alignment horizontal="right" vertical="top" wrapText="1"/>
    </xf>
    <xf numFmtId="49" fontId="2" fillId="0" borderId="34" xfId="0" applyNumberFormat="1" applyFont="1" applyBorder="1" applyAlignment="1">
      <alignment horizontal="right" vertical="top" wrapText="1"/>
    </xf>
    <xf numFmtId="49" fontId="1" fillId="0" borderId="34" xfId="0" applyNumberFormat="1" applyFont="1" applyBorder="1" applyAlignment="1">
      <alignment vertical="top" wrapText="1"/>
    </xf>
    <xf numFmtId="0" fontId="0" fillId="0" borderId="47" xfId="0" applyBorder="1"/>
    <xf numFmtId="0" fontId="2" fillId="3" borderId="41" xfId="0" applyFont="1" applyFill="1" applyBorder="1" applyAlignment="1">
      <alignment horizontal="center" vertical="top" wrapText="1"/>
    </xf>
    <xf numFmtId="0" fontId="2" fillId="3" borderId="41" xfId="0" applyFont="1" applyFill="1" applyBorder="1" applyAlignment="1">
      <alignment horizontal="right" vertical="top" wrapText="1"/>
    </xf>
    <xf numFmtId="164" fontId="4" fillId="0" borderId="41" xfId="0" applyNumberFormat="1" applyFont="1" applyBorder="1" applyAlignment="1">
      <alignment horizontal="right" vertical="top" wrapText="1"/>
    </xf>
    <xf numFmtId="0" fontId="4" fillId="0" borderId="41" xfId="0" applyFont="1" applyBorder="1" applyAlignment="1">
      <alignment horizontal="right" vertical="top" wrapText="1"/>
    </xf>
    <xf numFmtId="0" fontId="4" fillId="0" borderId="41" xfId="0" applyFont="1" applyBorder="1" applyAlignment="1">
      <alignment horizontal="right" vertical="top"/>
    </xf>
    <xf numFmtId="0" fontId="4" fillId="0" borderId="42" xfId="0" applyFont="1" applyBorder="1" applyAlignment="1">
      <alignment horizontal="right" vertical="top" wrapText="1"/>
    </xf>
    <xf numFmtId="49" fontId="0" fillId="0" borderId="0" xfId="0" applyNumberFormat="1"/>
    <xf numFmtId="0" fontId="0" fillId="5" borderId="52" xfId="0" applyNumberFormat="1" applyFont="1" applyFill="1" applyBorder="1"/>
    <xf numFmtId="0" fontId="0" fillId="9" borderId="52" xfId="0" applyNumberFormat="1" applyFont="1" applyFill="1" applyBorder="1"/>
    <xf numFmtId="0" fontId="2" fillId="0" borderId="38" xfId="0" applyFont="1" applyBorder="1" applyAlignment="1">
      <alignment horizontal="center" vertical="top" wrapText="1"/>
    </xf>
    <xf numFmtId="0" fontId="2" fillId="0" borderId="43" xfId="0" applyFont="1" applyBorder="1" applyAlignment="1">
      <alignment horizontal="center" vertical="top" wrapText="1"/>
    </xf>
    <xf numFmtId="0" fontId="2" fillId="0" borderId="44" xfId="0" applyFont="1" applyBorder="1" applyAlignment="1">
      <alignment horizontal="center" vertical="top" wrapText="1"/>
    </xf>
    <xf numFmtId="0" fontId="1" fillId="0" borderId="32" xfId="0" applyFont="1" applyBorder="1" applyAlignment="1">
      <alignment horizontal="center" wrapText="1"/>
    </xf>
    <xf numFmtId="0" fontId="1" fillId="0" borderId="33" xfId="0" applyFont="1" applyBorder="1" applyAlignment="1">
      <alignment horizontal="center" wrapText="1"/>
    </xf>
    <xf numFmtId="0" fontId="1" fillId="0" borderId="50" xfId="0" applyFont="1" applyBorder="1" applyAlignment="1">
      <alignment horizontal="center" wrapText="1"/>
    </xf>
  </cellXfs>
  <cellStyles count="1">
    <cellStyle name="Обычный" xfId="0" builtinId="0"/>
  </cellStyles>
  <dxfs count="28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/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 style="thin">
          <color theme="7"/>
        </right>
        <top style="thin">
          <color theme="7"/>
        </top>
        <bottom style="thin">
          <color theme="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7"/>
        </left>
        <right style="thin">
          <color theme="7"/>
        </right>
        <top/>
        <bottom style="thin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numFmt numFmtId="164" formatCode="h:mm;@"/>
    </dxf>
    <dxf>
      <numFmt numFmtId="164" formatCode="h:mm;@"/>
    </dxf>
    <dxf>
      <numFmt numFmtId="164" formatCode="h:mm;@"/>
    </dxf>
    <dxf>
      <numFmt numFmtId="164" formatCode="h:mm;@"/>
    </dxf>
    <dxf>
      <numFmt numFmtId="164" formatCode="h:mm;@"/>
    </dxf>
    <dxf>
      <numFmt numFmtId="164" formatCode="h:mm;@"/>
    </dxf>
    <dxf>
      <border outline="0">
        <right style="thin">
          <color theme="7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right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right" vertical="top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right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:mm;@"/>
      <alignment horizontal="right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theme="7" tint="0.79998168889431442"/>
          <bgColor theme="7" tint="0.79998168889431442"/>
        </patternFill>
      </fill>
      <alignment horizontal="right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theme="7" tint="0.79998168889431442"/>
          <bgColor theme="7" tint="0.79998168889431442"/>
        </patternFill>
      </fill>
      <alignment horizontal="right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theme="7" tint="0.79998168889431442"/>
          <bgColor theme="7" tint="0.79998168889431442"/>
        </patternFill>
      </fill>
      <alignment horizontal="right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theme="7" tint="0.79998168889431442"/>
          <bgColor theme="7" tint="0.79998168889431442"/>
        </patternFill>
      </fill>
      <alignment horizontal="center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top" textRotation="0" wrapText="1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5" formatCode="h:mm"/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5" formatCode="h:mm"/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relativeIndent="0" justifyLastLine="0" shrinkToFit="0" mergeCell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relativeIndent="0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0</xdr:rowOff>
    </xdr:from>
    <xdr:to>
      <xdr:col>63</xdr:col>
      <xdr:colOff>0</xdr:colOff>
      <xdr:row>66</xdr:row>
      <xdr:rowOff>0</xdr:rowOff>
    </xdr:to>
    <xdr:sp macro="" textlink="">
      <xdr:nvSpPr>
        <xdr:cNvPr id="30" name="OpenSolver1"/>
        <xdr:cNvSpPr/>
      </xdr:nvSpPr>
      <xdr:spPr>
        <a:xfrm>
          <a:off x="3181350" y="5457825"/>
          <a:ext cx="61769625" cy="9334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25400" rIns="0" bIns="0" rtlCol="0" anchor="t"/>
        <a:lstStyle/>
        <a:p>
          <a:pPr algn="l"/>
          <a:endParaRPr lang="ru-RU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10</xdr:col>
      <xdr:colOff>0</xdr:colOff>
      <xdr:row>2</xdr:row>
      <xdr:rowOff>0</xdr:rowOff>
    </xdr:to>
    <xdr:sp macro="" textlink="">
      <xdr:nvSpPr>
        <xdr:cNvPr id="34" name="OpenSolver2"/>
        <xdr:cNvSpPr/>
      </xdr:nvSpPr>
      <xdr:spPr>
        <a:xfrm>
          <a:off x="9477375" y="200025"/>
          <a:ext cx="1343025" cy="200025"/>
        </a:xfrm>
        <a:prstGeom prst="rect">
          <a:avLst/>
        </a:prstGeom>
        <a:noFill/>
        <a:ln w="25400">
          <a:solidFill>
            <a:srgbClr val="FF00FF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25400" rIns="0" bIns="0" rtlCol="0" anchor="ctr"/>
        <a:lstStyle/>
        <a:p>
          <a:pPr algn="l"/>
          <a:endParaRPr lang="ru-RU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774700</xdr:colOff>
      <xdr:row>0</xdr:row>
      <xdr:rowOff>127000</xdr:rowOff>
    </xdr:from>
    <xdr:to>
      <xdr:col>9</xdr:col>
      <xdr:colOff>233360</xdr:colOff>
      <xdr:row>1</xdr:row>
      <xdr:rowOff>53975</xdr:rowOff>
    </xdr:to>
    <xdr:sp macro="" textlink="">
      <xdr:nvSpPr>
        <xdr:cNvPr id="35" name="OpenSolver3"/>
        <xdr:cNvSpPr/>
      </xdr:nvSpPr>
      <xdr:spPr>
        <a:xfrm>
          <a:off x="9461500" y="127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  <a:endParaRPr lang="ru-RU" sz="900">
            <a:solidFill>
              <a:srgbClr val="000000"/>
            </a:solidFill>
          </a:endParaRP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36" name="OpenSolver4"/>
        <xdr:cNvSpPr/>
      </xdr:nvSpPr>
      <xdr:spPr>
        <a:xfrm>
          <a:off x="7896225" y="790575"/>
          <a:ext cx="10401300" cy="390525"/>
        </a:xfrm>
        <a:prstGeom prst="rect">
          <a:avLst/>
        </a:prstGeom>
        <a:noFill/>
        <a:ln w="25400">
          <a:solidFill>
            <a:srgbClr val="0000FF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25400" rIns="0" bIns="0" rtlCol="0" anchor="ctr"/>
        <a:lstStyle/>
        <a:p>
          <a:pPr algn="l"/>
          <a:endParaRPr lang="ru-RU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17</xdr:col>
      <xdr:colOff>0</xdr:colOff>
      <xdr:row>5</xdr:row>
      <xdr:rowOff>0</xdr:rowOff>
    </xdr:to>
    <xdr:sp macro="" textlink="">
      <xdr:nvSpPr>
        <xdr:cNvPr id="37" name="OpenSolver5"/>
        <xdr:cNvSpPr/>
      </xdr:nvSpPr>
      <xdr:spPr>
        <a:xfrm>
          <a:off x="7896225" y="1181100"/>
          <a:ext cx="10401300" cy="390525"/>
        </a:xfrm>
        <a:prstGeom prst="rect">
          <a:avLst/>
        </a:prstGeom>
        <a:noFill/>
        <a:ln w="25400">
          <a:solidFill>
            <a:srgbClr val="0000FF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25400" rIns="0" bIns="0" rtlCol="0" anchor="ctr"/>
        <a:lstStyle/>
        <a:p>
          <a:pPr algn="l"/>
          <a:r>
            <a:rPr lang="ru-RU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76200</xdr:colOff>
      <xdr:row>4</xdr:row>
      <xdr:rowOff>0</xdr:rowOff>
    </xdr:from>
    <xdr:to>
      <xdr:col>12</xdr:col>
      <xdr:colOff>76200</xdr:colOff>
      <xdr:row>4</xdr:row>
      <xdr:rowOff>0</xdr:rowOff>
    </xdr:to>
    <xdr:cxnSp macro="">
      <xdr:nvCxnSpPr>
        <xdr:cNvPr id="38" name="OpenSolver6"/>
        <xdr:cNvCxnSpPr>
          <a:stCxn id="36" idx="2"/>
          <a:endCxn id="37" idx="0"/>
        </xdr:cNvCxnSpPr>
      </xdr:nvCxnSpPr>
      <xdr:spPr>
        <a:xfrm>
          <a:off x="13096875" y="118110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742950</xdr:colOff>
      <xdr:row>3</xdr:row>
      <xdr:rowOff>263525</xdr:rowOff>
    </xdr:from>
    <xdr:to>
      <xdr:col>12</xdr:col>
      <xdr:colOff>266700</xdr:colOff>
      <xdr:row>4</xdr:row>
      <xdr:rowOff>127000</xdr:rowOff>
    </xdr:to>
    <xdr:sp macro="" textlink="">
      <xdr:nvSpPr>
        <xdr:cNvPr id="39" name="OpenSolver7"/>
        <xdr:cNvSpPr/>
      </xdr:nvSpPr>
      <xdr:spPr>
        <a:xfrm>
          <a:off x="12906375" y="1054100"/>
          <a:ext cx="381000" cy="254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3</xdr:col>
      <xdr:colOff>12700</xdr:colOff>
      <xdr:row>17</xdr:row>
      <xdr:rowOff>12700</xdr:rowOff>
    </xdr:from>
    <xdr:to>
      <xdr:col>63</xdr:col>
      <xdr:colOff>0</xdr:colOff>
      <xdr:row>66</xdr:row>
      <xdr:rowOff>0</xdr:rowOff>
    </xdr:to>
    <xdr:sp macro="" textlink="">
      <xdr:nvSpPr>
        <xdr:cNvPr id="40" name="OpenSolver8"/>
        <xdr:cNvSpPr/>
      </xdr:nvSpPr>
      <xdr:spPr>
        <a:xfrm>
          <a:off x="3194050" y="5470525"/>
          <a:ext cx="61756925" cy="9321800"/>
        </a:xfrm>
        <a:prstGeom prst="rect">
          <a:avLst/>
        </a:prstGeom>
        <a:noFill/>
        <a:ln w="25400">
          <a:solidFill>
            <a:srgbClr val="008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25400" rIns="0" bIns="0" rtlCol="0" anchor="t"/>
        <a:lstStyle/>
        <a:p>
          <a:pPr algn="l"/>
          <a:endParaRPr lang="ru-RU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74</xdr:row>
      <xdr:rowOff>0</xdr:rowOff>
    </xdr:from>
    <xdr:to>
      <xdr:col>63</xdr:col>
      <xdr:colOff>0</xdr:colOff>
      <xdr:row>123</xdr:row>
      <xdr:rowOff>0</xdr:rowOff>
    </xdr:to>
    <xdr:sp macro="" textlink="">
      <xdr:nvSpPr>
        <xdr:cNvPr id="41" name="OpenSolver9"/>
        <xdr:cNvSpPr/>
      </xdr:nvSpPr>
      <xdr:spPr>
        <a:xfrm>
          <a:off x="3181350" y="16316325"/>
          <a:ext cx="61769625" cy="9334500"/>
        </a:xfrm>
        <a:prstGeom prst="rect">
          <a:avLst/>
        </a:prstGeom>
        <a:noFill/>
        <a:ln w="25400">
          <a:solidFill>
            <a:srgbClr val="008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25400" rIns="0" bIns="0" rtlCol="0" anchor="ctr"/>
        <a:lstStyle/>
        <a:p>
          <a:pPr algn="l"/>
          <a:r>
            <a:rPr lang="ru-RU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33</xdr:col>
      <xdr:colOff>452438</xdr:colOff>
      <xdr:row>66</xdr:row>
      <xdr:rowOff>0</xdr:rowOff>
    </xdr:from>
    <xdr:to>
      <xdr:col>33</xdr:col>
      <xdr:colOff>458788</xdr:colOff>
      <xdr:row>74</xdr:row>
      <xdr:rowOff>0</xdr:rowOff>
    </xdr:to>
    <xdr:cxnSp macro="">
      <xdr:nvCxnSpPr>
        <xdr:cNvPr id="42" name="OpenSolver10"/>
        <xdr:cNvCxnSpPr>
          <a:stCxn id="40" idx="2"/>
          <a:endCxn id="41" idx="0"/>
        </xdr:cNvCxnSpPr>
      </xdr:nvCxnSpPr>
      <xdr:spPr>
        <a:xfrm flipH="1">
          <a:off x="34066163" y="14792325"/>
          <a:ext cx="6350" cy="1524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265112</xdr:colOff>
      <xdr:row>69</xdr:row>
      <xdr:rowOff>63500</xdr:rowOff>
    </xdr:from>
    <xdr:to>
      <xdr:col>33</xdr:col>
      <xdr:colOff>646112</xdr:colOff>
      <xdr:row>70</xdr:row>
      <xdr:rowOff>127000</xdr:rowOff>
    </xdr:to>
    <xdr:sp macro="" textlink="">
      <xdr:nvSpPr>
        <xdr:cNvPr id="43" name="OpenSolver11"/>
        <xdr:cNvSpPr/>
      </xdr:nvSpPr>
      <xdr:spPr>
        <a:xfrm>
          <a:off x="33878837" y="15427325"/>
          <a:ext cx="381000" cy="254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4</xdr:col>
      <xdr:colOff>0</xdr:colOff>
      <xdr:row>127</xdr:row>
      <xdr:rowOff>0</xdr:rowOff>
    </xdr:from>
    <xdr:to>
      <xdr:col>64</xdr:col>
      <xdr:colOff>0</xdr:colOff>
      <xdr:row>242</xdr:row>
      <xdr:rowOff>0</xdr:rowOff>
    </xdr:to>
    <xdr:sp macro="" textlink="">
      <xdr:nvSpPr>
        <xdr:cNvPr id="44" name="OpenSolverE128:BL242"/>
        <xdr:cNvSpPr/>
      </xdr:nvSpPr>
      <xdr:spPr>
        <a:xfrm>
          <a:off x="4648200" y="26412825"/>
          <a:ext cx="61160025" cy="21907500"/>
        </a:xfrm>
        <a:prstGeom prst="rect">
          <a:avLst/>
        </a:prstGeom>
        <a:noFill/>
        <a:ln w="25400">
          <a:solidFill>
            <a:srgbClr val="9900CC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25400" rIns="0" bIns="0" rtlCol="0" anchor="t"/>
        <a:lstStyle/>
        <a:p>
          <a:pPr algn="l"/>
          <a:r>
            <a:rPr lang="ru-RU" sz="1100" b="1">
              <a:solidFill>
                <a:srgbClr val="9900CC"/>
              </a:solidFill>
            </a:rPr>
            <a:t>1≥</a:t>
          </a:r>
        </a:p>
      </xdr:txBody>
    </xdr:sp>
    <xdr:clientData/>
  </xdr:twoCellAnchor>
  <xdr:twoCellAnchor>
    <xdr:from>
      <xdr:col>6</xdr:col>
      <xdr:colOff>0</xdr:colOff>
      <xdr:row>247</xdr:row>
      <xdr:rowOff>0</xdr:rowOff>
    </xdr:from>
    <xdr:to>
      <xdr:col>7</xdr:col>
      <xdr:colOff>0</xdr:colOff>
      <xdr:row>248</xdr:row>
      <xdr:rowOff>0</xdr:rowOff>
    </xdr:to>
    <xdr:sp macro="" textlink="">
      <xdr:nvSpPr>
        <xdr:cNvPr id="45" name="OpenSolver13"/>
        <xdr:cNvSpPr/>
      </xdr:nvSpPr>
      <xdr:spPr>
        <a:xfrm>
          <a:off x="7105650" y="49272825"/>
          <a:ext cx="790575" cy="190500"/>
        </a:xfrm>
        <a:prstGeom prst="rect">
          <a:avLst/>
        </a:prstGeom>
        <a:noFill/>
        <a:ln w="25400">
          <a:solidFill>
            <a:srgbClr val="8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25400" rIns="0" bIns="0" rtlCol="0" anchor="ctr"/>
        <a:lstStyle/>
        <a:p>
          <a:pPr algn="l"/>
          <a:endParaRPr lang="ru-RU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249</xdr:row>
      <xdr:rowOff>0</xdr:rowOff>
    </xdr:from>
    <xdr:to>
      <xdr:col>10</xdr:col>
      <xdr:colOff>0</xdr:colOff>
      <xdr:row>364</xdr:row>
      <xdr:rowOff>0</xdr:rowOff>
    </xdr:to>
    <xdr:sp macro="" textlink="">
      <xdr:nvSpPr>
        <xdr:cNvPr id="46" name="OpenSolver14"/>
        <xdr:cNvSpPr/>
      </xdr:nvSpPr>
      <xdr:spPr>
        <a:xfrm>
          <a:off x="4648200" y="49653825"/>
          <a:ext cx="6172200" cy="21907500"/>
        </a:xfrm>
        <a:prstGeom prst="rect">
          <a:avLst/>
        </a:prstGeom>
        <a:noFill/>
        <a:ln w="25400">
          <a:solidFill>
            <a:srgbClr val="8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25400" rIns="0" bIns="0" rtlCol="0" anchor="ctr"/>
        <a:lstStyle/>
        <a:p>
          <a:pPr algn="l"/>
          <a:r>
            <a:rPr lang="ru-RU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395288</xdr:colOff>
      <xdr:row>248</xdr:row>
      <xdr:rowOff>0</xdr:rowOff>
    </xdr:from>
    <xdr:to>
      <xdr:col>6</xdr:col>
      <xdr:colOff>628650</xdr:colOff>
      <xdr:row>249</xdr:row>
      <xdr:rowOff>0</xdr:rowOff>
    </xdr:to>
    <xdr:cxnSp macro="">
      <xdr:nvCxnSpPr>
        <xdr:cNvPr id="47" name="OpenSolver15"/>
        <xdr:cNvCxnSpPr>
          <a:stCxn id="45" idx="2"/>
          <a:endCxn id="46" idx="0"/>
        </xdr:cNvCxnSpPr>
      </xdr:nvCxnSpPr>
      <xdr:spPr>
        <a:xfrm>
          <a:off x="7500938" y="49463325"/>
          <a:ext cx="233362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321469</xdr:colOff>
      <xdr:row>247</xdr:row>
      <xdr:rowOff>158750</xdr:rowOff>
    </xdr:from>
    <xdr:to>
      <xdr:col>6</xdr:col>
      <xdr:colOff>702469</xdr:colOff>
      <xdr:row>249</xdr:row>
      <xdr:rowOff>31750</xdr:rowOff>
    </xdr:to>
    <xdr:sp macro="" textlink="">
      <xdr:nvSpPr>
        <xdr:cNvPr id="48" name="OpenSolver16"/>
        <xdr:cNvSpPr/>
      </xdr:nvSpPr>
      <xdr:spPr>
        <a:xfrm>
          <a:off x="7427119" y="49431575"/>
          <a:ext cx="381000" cy="254000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  <xdr:twoCellAnchor>
    <xdr:from>
      <xdr:col>3</xdr:col>
      <xdr:colOff>0</xdr:colOff>
      <xdr:row>66</xdr:row>
      <xdr:rowOff>0</xdr:rowOff>
    </xdr:from>
    <xdr:to>
      <xdr:col>63</xdr:col>
      <xdr:colOff>0</xdr:colOff>
      <xdr:row>67</xdr:row>
      <xdr:rowOff>0</xdr:rowOff>
    </xdr:to>
    <xdr:sp macro="" textlink="">
      <xdr:nvSpPr>
        <xdr:cNvPr id="49" name="OpenSolverD67:BK67"/>
        <xdr:cNvSpPr/>
      </xdr:nvSpPr>
      <xdr:spPr>
        <a:xfrm>
          <a:off x="3181350" y="14792325"/>
          <a:ext cx="61769625" cy="190500"/>
        </a:xfrm>
        <a:prstGeom prst="rect">
          <a:avLst/>
        </a:prstGeom>
        <a:noFill/>
        <a:ln w="25400">
          <a:solidFill>
            <a:srgbClr val="00CC33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25400" rIns="0" bIns="0" rtlCol="0" anchor="ctr"/>
        <a:lstStyle/>
        <a:p>
          <a:pPr algn="l"/>
          <a:r>
            <a:rPr lang="ru-RU" sz="1100" b="1">
              <a:solidFill>
                <a:srgbClr val="00CC33"/>
              </a:solidFill>
            </a:rPr>
            <a:t>1≥</a:t>
          </a:r>
        </a:p>
      </xdr:txBody>
    </xdr:sp>
    <xdr:clientData/>
  </xdr:twoCellAnchor>
  <xdr:twoCellAnchor>
    <xdr:from>
      <xdr:col>3</xdr:col>
      <xdr:colOff>25400</xdr:colOff>
      <xdr:row>17</xdr:row>
      <xdr:rowOff>25400</xdr:rowOff>
    </xdr:from>
    <xdr:to>
      <xdr:col>63</xdr:col>
      <xdr:colOff>0</xdr:colOff>
      <xdr:row>66</xdr:row>
      <xdr:rowOff>0</xdr:rowOff>
    </xdr:to>
    <xdr:sp macro="" textlink="">
      <xdr:nvSpPr>
        <xdr:cNvPr id="50" name="OpenSolver18"/>
        <xdr:cNvSpPr/>
      </xdr:nvSpPr>
      <xdr:spPr>
        <a:xfrm>
          <a:off x="3206750" y="5483225"/>
          <a:ext cx="61744225" cy="9309100"/>
        </a:xfrm>
        <a:prstGeom prst="rect">
          <a:avLst/>
        </a:prstGeom>
        <a:noFill/>
        <a:ln w="25400">
          <a:solidFill>
            <a:srgbClr val="FF00FF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25400" rIns="0" bIns="0" rtlCol="0" anchor="t"/>
        <a:lstStyle/>
        <a:p>
          <a:pPr algn="l"/>
          <a:endParaRPr lang="ru-RU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19050</xdr:colOff>
      <xdr:row>16</xdr:row>
      <xdr:rowOff>142875</xdr:rowOff>
    </xdr:from>
    <xdr:to>
      <xdr:col>3</xdr:col>
      <xdr:colOff>340292</xdr:colOff>
      <xdr:row>17</xdr:row>
      <xdr:rowOff>79375</xdr:rowOff>
    </xdr:to>
    <xdr:sp macro="" textlink="">
      <xdr:nvSpPr>
        <xdr:cNvPr id="51" name="OpenSolver19"/>
        <xdr:cNvSpPr/>
      </xdr:nvSpPr>
      <xdr:spPr>
        <a:xfrm>
          <a:off x="3200400" y="54102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binary</a:t>
          </a:r>
          <a:endParaRPr lang="ru-RU" sz="900">
            <a:solidFill>
              <a:srgbClr val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СВ" displayName="СВ" ref="B27:BL76" totalsRowShown="0" headerRowDxfId="283" dataDxfId="281" headerRowBorderDxfId="282">
  <autoFilter ref="B27:BL76"/>
  <tableColumns count="63">
    <tableColumn id="1" name="Кол-во отрезков" dataDxfId="280"/>
    <tableColumn id="2" name="49" dataDxfId="279"/>
    <tableColumn id="3" name="Столбец1" dataDxfId="278"/>
    <tableColumn id="4" name="Понедельник" dataDxfId="0">
      <calculatedColumnFormula>frame(СВ[[#This Row],[49]],СВ[[#This Row],[Столбец1]],C7,C21)</calculatedColumnFormula>
    </tableColumn>
    <tableColumn id="5" name="Вторник" dataDxfId="277">
      <calculatedColumnFormula>IF(AND(frame($C28,$D28,D$7),NOT(frame($C28,$D28,VLOOKUP(VLOOKUP(F$26,FT[],9),Teachers[],MOD(COLUMN(B28),6)+1)))),1,0)</calculatedColumnFormula>
    </tableColumn>
    <tableColumn id="6" name="Среда" dataDxfId="276">
      <calculatedColumnFormula>IF(AND(frame($C28,$D28,E$7),NOT(frame($C28,$D28,VLOOKUP(VLOOKUP(G$26,FT[],9),Teachers[],MOD(COLUMN(C28),6)+1)))),1,0)</calculatedColumnFormula>
    </tableColumn>
    <tableColumn id="7" name="Четверг" dataDxfId="275">
      <calculatedColumnFormula>IF(AND(frame($C28,$D28,F$7),NOT(frame($C28,$D28,VLOOKUP(VLOOKUP(H$26,FT[],9),Teachers[],MOD(COLUMN(D28),6)+1)))),1,0)</calculatedColumnFormula>
    </tableColumn>
    <tableColumn id="8" name="Пятница">
      <calculatedColumnFormula>IF(AND(frame($C28,$D28,G$7),NOT(frame($C28,$D28,VLOOKUP(VLOOKUP(I$26,FT[],9),Teachers[],MOD(COLUMN(E28),6)+1)))),1,0)</calculatedColumnFormula>
    </tableColumn>
    <tableColumn id="9" name="Суббота">
      <calculatedColumnFormula>IF(AND(frame($C28,$D28,H$7),NOT(frame($C28,$D28,VLOOKUP(VLOOKUP(J$26,FT[],9),Teachers[],MOD(COLUMN(F28),6)+1)))),1,0)</calculatedColumnFormula>
    </tableColumn>
    <tableColumn id="10" name="Понедельник2" dataDxfId="274">
      <calculatedColumnFormula>IF(AND(frame($C28,$D28,I$8),NOT(frame($C28,$D28,VLOOKUP(VLOOKUP(K$26,FT[],9),Teachers[],MOD(COLUMN(H28),6)+1)))),1,0)</calculatedColumnFormula>
    </tableColumn>
    <tableColumn id="11" name="Вторник3" dataDxfId="273">
      <calculatedColumnFormula>K28</calculatedColumnFormula>
    </tableColumn>
    <tableColumn id="12" name="Среда4" dataDxfId="272">
      <calculatedColumnFormula>IF(AND(frame($C28,$D28,K$8),NOT(frame($C28,$D28,VLOOKUP(VLOOKUP(M$26,FT[],9),Teachers[],MOD(COLUMN(J28),6)+1)))),1,0)</calculatedColumnFormula>
    </tableColumn>
    <tableColumn id="13" name="Четверг5" dataDxfId="271">
      <calculatedColumnFormula>IF(AND(frame($C28,$D28,L$8),NOT(frame($C28,$D28,VLOOKUP(VLOOKUP(N$26,FT[],9),Teachers[],MOD(COLUMN(K28),6)+1)))),1,0)</calculatedColumnFormula>
    </tableColumn>
    <tableColumn id="14" name="Пятница6" dataDxfId="270">
      <calculatedColumnFormula>IF(AND(frame($C28,$D28,M$8),NOT(frame($C28,$D28,VLOOKUP(VLOOKUP(O$26,FT[],9),Teachers[],MOD(COLUMN(L28),6)+1)))),1,0)</calculatedColumnFormula>
    </tableColumn>
    <tableColumn id="15" name="Суббота7" dataDxfId="269">
      <calculatedColumnFormula>IF(AND(frame($C28,$D28,N$8),NOT(frame($C28,$D28,VLOOKUP(VLOOKUP(P$26,FT[],9),Teachers[],MOD(COLUMN(M28),6)+1)))),1,0)</calculatedColumnFormula>
    </tableColumn>
    <tableColumn id="16" name="Понедельник8" dataDxfId="268">
      <calculatedColumnFormula>IF(AND(frame($C28,$D28,O$8),NOT(frame($C28,$D28,VLOOKUP(VLOOKUP(Q$26,FT[],9),Teachers[],MOD(COLUMN(N28),6)+1)))),1,0)</calculatedColumnFormula>
    </tableColumn>
    <tableColumn id="17" name="Понедельник82" dataDxfId="267">
      <calculatedColumnFormula>Q28</calculatedColumnFormula>
    </tableColumn>
    <tableColumn id="18" name="Среда10" dataDxfId="266">
      <calculatedColumnFormula>IF(AND(frame($C28,$D28,Q$8),NOT(frame($C28,$D28,VLOOKUP(VLOOKUP(S$26,FT[],9),Teachers[],MOD(COLUMN(P28),6)+1)))),1,0)</calculatedColumnFormula>
    </tableColumn>
    <tableColumn id="19" name="Четверг11" dataDxfId="265">
      <calculatedColumnFormula>IF(AND(frame($C28,$D28,R$8),NOT(frame($C28,$D28,VLOOKUP(VLOOKUP(T$26,FT[],9),Teachers[],MOD(COLUMN(Q28),6)+1)))),1,0)</calculatedColumnFormula>
    </tableColumn>
    <tableColumn id="20" name="Пятница12" dataDxfId="264">
      <calculatedColumnFormula>IF(AND(frame($C28,$D28,S$8),NOT(frame($C28,$D28,VLOOKUP(VLOOKUP(U$26,FT[],9),Teachers[],MOD(COLUMN(R28),6)+1)))),1,0)</calculatedColumnFormula>
    </tableColumn>
    <tableColumn id="21" name="Суббота13" dataDxfId="263">
      <calculatedColumnFormula>IF(AND(frame($C28,$D28,T$8),NOT(frame($C28,$D28,VLOOKUP(VLOOKUP(V$26,FT[],9),Teachers[],MOD(COLUMN(S28),6)+1)))),1,0)</calculatedColumnFormula>
    </tableColumn>
    <tableColumn id="22" name="Понедельник14" dataDxfId="262">
      <calculatedColumnFormula>IF(AND(frame($C28,$D28,U$8),NOT(frame($C28,$D28,VLOOKUP(VLOOKUP(W$26,FT[],9),Teachers[],MOD(COLUMN(T28),6)+1)))),1,0)</calculatedColumnFormula>
    </tableColumn>
    <tableColumn id="23" name="Вторник15" dataDxfId="261">
      <calculatedColumnFormula>IF(AND(frame($C28,$D28,V$8),NOT(frame($C28,$D28,VLOOKUP(VLOOKUP(X$26,FT[],9),Teachers[],MOD(COLUMN(U28),6)+1)))),1,0)</calculatedColumnFormula>
    </tableColumn>
    <tableColumn id="24" name="Среда16" dataDxfId="260">
      <calculatedColumnFormula>IF(AND(frame($C28,$D28,W$8),NOT(frame($C28,$D28,VLOOKUP(VLOOKUP(Y$26,FT[],9),Teachers[],MOD(COLUMN(V28),6)+1)))),1,0)</calculatedColumnFormula>
    </tableColumn>
    <tableColumn id="25" name="Четверг17" dataDxfId="259">
      <calculatedColumnFormula>IF(AND(frame($C28,$D28,X$8),NOT(frame($C28,$D28,VLOOKUP(VLOOKUP(Z$26,FT[],9),Teachers[],MOD(COLUMN(W28),6)+1)))),1,0)</calculatedColumnFormula>
    </tableColumn>
    <tableColumn id="26" name="Пятница18" dataDxfId="258">
      <calculatedColumnFormula>IF(AND(frame($C28,$D28,Y$8),NOT(frame($C28,$D28,VLOOKUP(VLOOKUP(AA$26,FT[],9),Teachers[],MOD(COLUMN(X28),6)+1)))),1,0)</calculatedColumnFormula>
    </tableColumn>
    <tableColumn id="27" name="Суббота19" dataDxfId="257">
      <calculatedColumnFormula>IF(AND(frame($C28,$D28,Z$8),NOT(frame($C28,$D28,VLOOKUP(VLOOKUP(AB$26,FT[],9),Teachers[],MOD(COLUMN(Y28),6)+1)))),1,0)</calculatedColumnFormula>
    </tableColumn>
    <tableColumn id="28" name="Понедельник20" dataDxfId="256">
      <calculatedColumnFormula>IF(AND(frame($C28,$D28,AA$8),NOT(frame($C28,$D28,VLOOKUP(VLOOKUP(AC$26,FT[],9),Teachers[],MOD(COLUMN(Z28),6)+1)))),1,0)</calculatedColumnFormula>
    </tableColumn>
    <tableColumn id="29" name="Вторник21" dataDxfId="255">
      <calculatedColumnFormula>IF(AND(frame($C28,$D28,AB$8),NOT(frame($C28,$D28,VLOOKUP(VLOOKUP(AD$26,FT[],9),Teachers[],MOD(COLUMN(AA28),6)+1)))),1,0)</calculatedColumnFormula>
    </tableColumn>
    <tableColumn id="30" name="Среда22" dataDxfId="254">
      <calculatedColumnFormula>IF(AND(frame($C28,$D28,AC$8),NOT(frame($C28,$D28,VLOOKUP(VLOOKUP(AE$26,FT[],9),Teachers[],MOD(COLUMN(AB28),6)+1)))),1,0)</calculatedColumnFormula>
    </tableColumn>
    <tableColumn id="31" name="Четверг23" dataDxfId="253">
      <calculatedColumnFormula>IF(AND(frame($C28,$D28,AD$8),NOT(frame($C28,$D28,VLOOKUP(VLOOKUP(AF$26,FT[],9),Teachers[],MOD(COLUMN(AC28),6)+1)))),1,0)</calculatedColumnFormula>
    </tableColumn>
    <tableColumn id="32" name="Пятница24" dataDxfId="252">
      <calculatedColumnFormula>IF(AND(frame($C28,$D28,AE$8),NOT(frame($C28,$D28,VLOOKUP(VLOOKUP(AG$26,FT[],9),Teachers[],MOD(COLUMN(AD28),6)+1)))),1,0)</calculatedColumnFormula>
    </tableColumn>
    <tableColumn id="33" name="Суббота25" dataDxfId="251">
      <calculatedColumnFormula>IF(AND(frame($C28,$D28,AF$8),NOT(frame($C28,$D28,VLOOKUP(VLOOKUP(AH$26,FT[],9),Teachers[],MOD(COLUMN(AE28),6)+1)))),1,0)</calculatedColumnFormula>
    </tableColumn>
    <tableColumn id="34" name="Понедельник26" dataDxfId="250">
      <calculatedColumnFormula>IF(AND(frame($C28,$D28,AG$8),NOT(frame($C28,$D28,VLOOKUP(VLOOKUP(AI$26,FT[],9),Teachers[],MOD(COLUMN(AF28),6)+1)))),1,0)</calculatedColumnFormula>
    </tableColumn>
    <tableColumn id="35" name="Вторник27" dataDxfId="249">
      <calculatedColumnFormula>IF(AND(frame($C28,$D28,AH$8),NOT(frame($C28,$D28,VLOOKUP(VLOOKUP(AJ$26,FT[],9),Teachers[],MOD(COLUMN(AG28),6)+1)))),1,0)</calculatedColumnFormula>
    </tableColumn>
    <tableColumn id="36" name="Среда28" dataDxfId="248">
      <calculatedColumnFormula>IF(AND(frame($C28,$D28,AI$8),NOT(frame($C28,$D28,VLOOKUP(VLOOKUP(AK$26,FT[],9),Teachers[],MOD(COLUMN(AH28),6)+1)))),1,0)</calculatedColumnFormula>
    </tableColumn>
    <tableColumn id="37" name="Четверг29" dataDxfId="247">
      <calculatedColumnFormula>IF(AND(frame($C28,$D28,AJ$8),NOT(frame($C28,$D28,VLOOKUP(VLOOKUP(AL$26,FT[],9),Teachers[],MOD(COLUMN(AI28),6)+1)))),1,0)</calculatedColumnFormula>
    </tableColumn>
    <tableColumn id="38" name="Пятница30" dataDxfId="246">
      <calculatedColumnFormula>IF(AND(frame($C28,$D28,AK$8),NOT(frame($C28,$D28,VLOOKUP(VLOOKUP(AM$26,FT[],9),Teachers[],MOD(COLUMN(AJ28),6)+1)))),1,0)</calculatedColumnFormula>
    </tableColumn>
    <tableColumn id="39" name="Суббота31" dataDxfId="245">
      <calculatedColumnFormula>IF(AND(frame($C28,$D28,AL$8),NOT(frame($C28,$D28,VLOOKUP(VLOOKUP(AN$26,FT[],9),Teachers[],MOD(COLUMN(AK28),6)+1)))),1,0)</calculatedColumnFormula>
    </tableColumn>
    <tableColumn id="40" name="Понедельник32" dataDxfId="244">
      <calculatedColumnFormula>IF(AND(frame($C28,$D28,AM$8),NOT(frame($C28,$D28,VLOOKUP(VLOOKUP(AO$26,FT[],9),Teachers[],MOD(COLUMN(AL28),6)+1)))),1,0)</calculatedColumnFormula>
    </tableColumn>
    <tableColumn id="41" name="Понедельник322" dataDxfId="243">
      <calculatedColumnFormula>AO28</calculatedColumnFormula>
    </tableColumn>
    <tableColumn id="42" name="Среда34" dataDxfId="242">
      <calculatedColumnFormula>IF(AND(frame($C28,$D28,AO$8),NOT(frame($C28,$D28,VLOOKUP(VLOOKUP(AQ$26,FT[],9),Teachers[],MOD(COLUMN(AN28),6)+1)))),1,0)</calculatedColumnFormula>
    </tableColumn>
    <tableColumn id="43" name="Четверг35" dataDxfId="241">
      <calculatedColumnFormula>IF(AND(frame($C28,$D28,AP$8),NOT(frame($C28,$D28,VLOOKUP(VLOOKUP(AR$26,FT[],9),Teachers[],MOD(COLUMN(AO28),6)+1)))),1,0)</calculatedColumnFormula>
    </tableColumn>
    <tableColumn id="44" name="Пятница36" dataDxfId="240">
      <calculatedColumnFormula>IF(AND(frame($C28,$D28,AQ$8),NOT(frame($C28,$D28,VLOOKUP(VLOOKUP(AS$26,FT[],9),Teachers[],MOD(COLUMN(AP28),6)+1)))),1,0)</calculatedColumnFormula>
    </tableColumn>
    <tableColumn id="45" name="Суббота37" dataDxfId="239">
      <calculatedColumnFormula>IF(AND(frame($C28,$D28,AR$8),NOT(frame($C28,$D28,VLOOKUP(VLOOKUP(AT$26,FT[],9),Teachers[],MOD(COLUMN(AQ28),6)+1)))),1,0)</calculatedColumnFormula>
    </tableColumn>
    <tableColumn id="46" name="Понедельник38" dataDxfId="238">
      <calculatedColumnFormula>IF(AND(frame($C28,$D28,AS$8),NOT(frame($C28,$D28,VLOOKUP(VLOOKUP(AU$26,FT[],9),Teachers[],MOD(COLUMN(AR28),6)+1)))),1,0)</calculatedColumnFormula>
    </tableColumn>
    <tableColumn id="47" name="Вторник39" dataDxfId="237">
      <calculatedColumnFormula>IF(AND(frame($C28,$D28,AT$8),NOT(frame($C28,$D28,VLOOKUP(VLOOKUP(AV$26,FT[],9),Teachers[],MOD(COLUMN(AS28),6)+1)))),1,0)</calculatedColumnFormula>
    </tableColumn>
    <tableColumn id="48" name="Среда40" dataDxfId="236">
      <calculatedColumnFormula>IF(AND(frame($C28,$D28,AU$8),NOT(frame($C28,$D28,VLOOKUP(VLOOKUP(AW$26,FT[],9),Teachers[],MOD(COLUMN(AT28),6)+1)))),1,0)</calculatedColumnFormula>
    </tableColumn>
    <tableColumn id="49" name="Четверг41" dataDxfId="235">
      <calculatedColumnFormula>IF(AND(frame($C28,$D28,AV$8),NOT(frame($C28,$D28,VLOOKUP(VLOOKUP(AX$26,FT[],9),Teachers[],MOD(COLUMN(AU28),6)+1)))),1,0)</calculatedColumnFormula>
    </tableColumn>
    <tableColumn id="50" name="Пятница42" dataDxfId="234">
      <calculatedColumnFormula>IF(AND(frame($C28,$D28,AW$8),NOT(frame($C28,$D28,VLOOKUP(VLOOKUP(AY$26,FT[],9),Teachers[],MOD(COLUMN(AV28),6)+1)))),1,0)</calculatedColumnFormula>
    </tableColumn>
    <tableColumn id="51" name="Суббота43" dataDxfId="233">
      <calculatedColumnFormula>IF(AND(frame($C28,$D28,AX$8),NOT(frame($C28,$D28,VLOOKUP(VLOOKUP(AZ$26,FT[],9),Teachers[],MOD(COLUMN(AW28),6)+1)))),1,0)</calculatedColumnFormula>
    </tableColumn>
    <tableColumn id="52" name="Понедельник44" dataDxfId="232">
      <calculatedColumnFormula>IF(AND(frame($C28,$D28,AY$8),NOT(frame($C28,$D28,VLOOKUP(VLOOKUP(BA$26,FT[],9),Teachers[],MOD(COLUMN(AX28),6)+1)))),1,0)</calculatedColumnFormula>
    </tableColumn>
    <tableColumn id="53" name="Вторник45" dataDxfId="231">
      <calculatedColumnFormula>IF(AND(frame($C28,$D28,AZ$8),NOT(frame($C28,$D28,VLOOKUP(VLOOKUP(BB$26,FT[],9),Teachers[],MOD(COLUMN(AY28),6)+1)))),1,0)</calculatedColumnFormula>
    </tableColumn>
    <tableColumn id="54" name="Среда46" dataDxfId="230">
      <calculatedColumnFormula>IF(AND(frame($C28,$D28,BA$8),NOT(frame($C28,$D28,VLOOKUP(VLOOKUP(BC$26,FT[],9),Teachers[],MOD(COLUMN(AZ28),6)+1)))),1,0)</calculatedColumnFormula>
    </tableColumn>
    <tableColumn id="55" name="Четверг47" dataDxfId="229">
      <calculatedColumnFormula>IF(AND(frame($C28,$D28,BB$8),NOT(frame($C28,$D28,VLOOKUP(VLOOKUP(BD$26,FT[],9),Teachers[],MOD(COLUMN(BA28),6)+1)))),1,0)</calculatedColumnFormula>
    </tableColumn>
    <tableColumn id="56" name="Пятница48" dataDxfId="228">
      <calculatedColumnFormula>IF(AND(frame($C28,$D28,BC$8),NOT(frame($C28,$D28,VLOOKUP(VLOOKUP(BE$26,FT[],9),Teachers[],MOD(COLUMN(BB28),6)+1)))),1,0)</calculatedColumnFormula>
    </tableColumn>
    <tableColumn id="57" name="Суббота49" dataDxfId="227">
      <calculatedColumnFormula>IF(AND(frame($C28,$D28,BD$8),NOT(frame($C28,$D28,VLOOKUP(VLOOKUP(BF$26,FT[],9),Teachers[],MOD(COLUMN(BC28),6)+1)))),1,0)</calculatedColumnFormula>
    </tableColumn>
    <tableColumn id="58" name="Понедельник50" dataDxfId="226">
      <calculatedColumnFormula>IF(AND(frame($C28,$D28,BE$8),NOT(frame($C28,$D28,VLOOKUP(VLOOKUP(BG$26,FT[],9),Teachers[],MOD(COLUMN(BD28),6)+1)))),1,0)</calculatedColumnFormula>
    </tableColumn>
    <tableColumn id="59" name="Вторник51" dataDxfId="225">
      <calculatedColumnFormula>IF(AND(frame($C28,$D28,BF$8),NOT(frame($C28,$D28,VLOOKUP(VLOOKUP(BH$26,FT[],9),Teachers[],MOD(COLUMN(BE28),6)+1)))),1,0)</calculatedColumnFormula>
    </tableColumn>
    <tableColumn id="60" name="Среда52" dataDxfId="224">
      <calculatedColumnFormula>IF(AND(frame($C28,$D28,BG$8),NOT(frame($C28,$D28,VLOOKUP(VLOOKUP(BI$26,FT[],9),Teachers[],MOD(COLUMN(BF28),6)+1)))),1,0)</calculatedColumnFormula>
    </tableColumn>
    <tableColumn id="61" name="Четверг53" dataDxfId="223">
      <calculatedColumnFormula>IF(AND(frame($C28,$D28,BH$8),NOT(frame($C28,$D28,VLOOKUP(VLOOKUP(BJ$26,FT[],9),Teachers[],MOD(COLUMN(BG28),6)+1)))),1,0)</calculatedColumnFormula>
    </tableColumn>
    <tableColumn id="62" name="Пятница54" dataDxfId="222">
      <calculatedColumnFormula>IF(AND(frame($C28,$D28,BI$8),NOT(frame($C28,$D28,VLOOKUP(VLOOKUP(BK$26,FT[],9),Teachers[],MOD(COLUMN(BH28),6)+1)))),1,0)</calculatedColumnFormula>
    </tableColumn>
    <tableColumn id="63" name="Суббота55" dataDxfId="221">
      <calculatedColumnFormula>IF(AND(frame($C28,$D28,BJ$8),NOT(frame($C28,$D28,VLOOKUP(VLOOKUP(BL$26,FT[],9),Teachers[],MOD(COLUMN(BI28),6)+1)))),1,0)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5" name="Teachers" displayName="Teachers" ref="B20:H25" totalsRowShown="0" headerRowDxfId="220" dataDxfId="218" headerRowBorderDxfId="219" tableBorderDxfId="217" totalsRowBorderDxfId="216">
  <autoFilter ref="B20:H25"/>
  <tableColumns count="7">
    <tableColumn id="1" name="Имя учителя" dataDxfId="215"/>
    <tableColumn id="2" name="Понедельник" dataDxfId="214"/>
    <tableColumn id="3" name="Вторник" dataDxfId="213"/>
    <tableColumn id="4" name="Среда" dataDxfId="212"/>
    <tableColumn id="5" name="Четверг" dataDxfId="211"/>
    <tableColumn id="6" name="Пятница" dataDxfId="210"/>
    <tableColumn id="7" name="Суббота" dataDxfId="209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id="6" name="FT" displayName="FT" ref="B6:L17" totalsRowShown="0" headerRowDxfId="208" headerRowBorderDxfId="207" tableBorderDxfId="206" totalsRowBorderDxfId="205">
  <autoFilter ref="B6:L17"/>
  <sortState ref="B7:L17">
    <sortCondition ref="B7:B17"/>
  </sortState>
  <tableColumns count="11">
    <tableColumn id="1" name="Имя ученика" dataDxfId="204"/>
    <tableColumn id="2" name="Понедельник" dataDxfId="203"/>
    <tableColumn id="3" name="Вторник" dataDxfId="202"/>
    <tableColumn id="4" name="Среда" dataDxfId="201"/>
    <tableColumn id="5" name="Четверг" dataDxfId="200"/>
    <tableColumn id="6" name="Пятница" dataDxfId="199"/>
    <tableColumn id="7" name="Суббота" dataDxfId="198"/>
    <tableColumn id="8" name="Предмет" dataDxfId="197"/>
    <tableColumn id="9" name="Учитель" dataDxfId="196"/>
    <tableColumn id="10" name="Количество раз" dataDxfId="195"/>
    <tableColumn id="11" name="Дни недели" dataDxfId="194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id="2" name="DV" displayName="DV" ref="A18:BL67" headerRowCount="0" totalsRowCount="1" headerRowDxfId="192" dataDxfId="191" tableBorderDxfId="190">
  <tableColumns count="64">
    <tableColumn id="1" name="Столбец1" totalsRowLabel="Итог">
      <calculatedColumnFormula>СВ!B28</calculatedColumnFormula>
    </tableColumn>
    <tableColumn id="2" name="Столбец2" headerRowDxfId="189" dataDxfId="188" totalsRowDxfId="187">
      <calculatedColumnFormula>СВ!C28</calculatedColumnFormula>
    </tableColumn>
    <tableColumn id="3" name="Столбец3" headerRowDxfId="186" dataDxfId="185" totalsRowDxfId="184">
      <calculatedColumnFormula>СВ!D28</calculatedColumnFormula>
    </tableColumn>
    <tableColumn id="4" name="Столбец4" totalsRowFunction="sum" headerRowDxfId="183" dataDxfId="182" totalsRowDxfId="181"/>
    <tableColumn id="5" name="Столбец5" totalsRowFunction="sum" headerRowDxfId="180" dataDxfId="179" totalsRowDxfId="178"/>
    <tableColumn id="6" name="Столбец6" totalsRowFunction="sum" headerRowDxfId="177" dataDxfId="176" totalsRowDxfId="175"/>
    <tableColumn id="7" name="Столбец7" totalsRowFunction="sum" headerRowDxfId="174" dataDxfId="173" totalsRowDxfId="172"/>
    <tableColumn id="8" name="Столбец8" totalsRowFunction="sum" headerRowDxfId="171" dataDxfId="170" totalsRowDxfId="169"/>
    <tableColumn id="9" name="Столбец9" totalsRowFunction="sum" headerRowDxfId="168" dataDxfId="167" totalsRowDxfId="166"/>
    <tableColumn id="10" name="Столбец10" totalsRowFunction="sum" headerRowDxfId="165" dataDxfId="164" totalsRowDxfId="163"/>
    <tableColumn id="11" name="Столбец11" totalsRowFunction="sum" headerRowDxfId="162" dataDxfId="161" totalsRowDxfId="160"/>
    <tableColumn id="12" name="Столбец12" totalsRowFunction="sum" headerRowDxfId="159" dataDxfId="158" totalsRowDxfId="157"/>
    <tableColumn id="13" name="Столбец13" totalsRowFunction="sum" headerRowDxfId="156" dataDxfId="155" totalsRowDxfId="154"/>
    <tableColumn id="14" name="Столбец14" totalsRowFunction="sum" headerRowDxfId="153" dataDxfId="152" totalsRowDxfId="151"/>
    <tableColumn id="15" name="Столбец15" totalsRowFunction="sum" headerRowDxfId="150" dataDxfId="149" totalsRowDxfId="148"/>
    <tableColumn id="16" name="Столбец16" totalsRowFunction="sum" headerRowDxfId="147" dataDxfId="146" totalsRowDxfId="145"/>
    <tableColumn id="17" name="Столбец17" totalsRowFunction="sum" headerRowDxfId="144" dataDxfId="143" totalsRowDxfId="142"/>
    <tableColumn id="18" name="Столбец18" totalsRowFunction="sum" headerRowDxfId="141" dataDxfId="140" totalsRowDxfId="139"/>
    <tableColumn id="19" name="Столбец19" totalsRowFunction="sum" headerRowDxfId="138" dataDxfId="137" totalsRowDxfId="136"/>
    <tableColumn id="20" name="Столбец20" totalsRowFunction="sum" headerRowDxfId="135" dataDxfId="134" totalsRowDxfId="133"/>
    <tableColumn id="21" name="Столбец21" totalsRowFunction="sum" headerRowDxfId="132" dataDxfId="131" totalsRowDxfId="130"/>
    <tableColumn id="22" name="Столбец22" totalsRowFunction="sum" headerRowDxfId="129" dataDxfId="128" totalsRowDxfId="127"/>
    <tableColumn id="23" name="Столбец23" totalsRowFunction="sum" headerRowDxfId="126" dataDxfId="125" totalsRowDxfId="124"/>
    <tableColumn id="24" name="Столбец24" totalsRowFunction="sum" headerRowDxfId="123" dataDxfId="122" totalsRowDxfId="121"/>
    <tableColumn id="25" name="Столбец25" totalsRowFunction="sum" headerRowDxfId="120" dataDxfId="119" totalsRowDxfId="118"/>
    <tableColumn id="26" name="Столбец26" totalsRowFunction="sum" headerRowDxfId="117" dataDxfId="116" totalsRowDxfId="115"/>
    <tableColumn id="27" name="Столбец27" totalsRowFunction="sum" headerRowDxfId="114" dataDxfId="113" totalsRowDxfId="112"/>
    <tableColumn id="28" name="Столбец28" totalsRowFunction="sum" headerRowDxfId="111" dataDxfId="110" totalsRowDxfId="109"/>
    <tableColumn id="29" name="Столбец29" totalsRowFunction="sum" headerRowDxfId="108" dataDxfId="107" totalsRowDxfId="106"/>
    <tableColumn id="30" name="Столбец30" totalsRowFunction="sum" headerRowDxfId="105" dataDxfId="104" totalsRowDxfId="103"/>
    <tableColumn id="31" name="Столбец31" totalsRowFunction="sum" headerRowDxfId="102" dataDxfId="101" totalsRowDxfId="100"/>
    <tableColumn id="32" name="Столбец32" totalsRowFunction="sum" headerRowDxfId="99" dataDxfId="98" totalsRowDxfId="97"/>
    <tableColumn id="33" name="Столбец33" totalsRowFunction="sum" headerRowDxfId="96" dataDxfId="95" totalsRowDxfId="94"/>
    <tableColumn id="34" name="Столбец34" totalsRowFunction="sum" headerRowDxfId="93" dataDxfId="92" totalsRowDxfId="91"/>
    <tableColumn id="35" name="Столбец35" totalsRowFunction="sum" headerRowDxfId="90" dataDxfId="89" totalsRowDxfId="88"/>
    <tableColumn id="36" name="Столбец36" totalsRowFunction="sum" headerRowDxfId="87" dataDxfId="86" totalsRowDxfId="85"/>
    <tableColumn id="37" name="Столбец37" totalsRowFunction="sum" headerRowDxfId="84" dataDxfId="83" totalsRowDxfId="82"/>
    <tableColumn id="38" name="Столбец38" totalsRowFunction="sum" headerRowDxfId="81" dataDxfId="80" totalsRowDxfId="79"/>
    <tableColumn id="39" name="Столбец39" totalsRowFunction="sum" headerRowDxfId="78" dataDxfId="77" totalsRowDxfId="76"/>
    <tableColumn id="40" name="Столбец40" totalsRowFunction="sum" headerRowDxfId="75" dataDxfId="74" totalsRowDxfId="73"/>
    <tableColumn id="41" name="Столбец41" totalsRowFunction="sum" headerRowDxfId="72" dataDxfId="71" totalsRowDxfId="70"/>
    <tableColumn id="42" name="Столбец42" totalsRowFunction="sum" headerRowDxfId="69" dataDxfId="68" totalsRowDxfId="67"/>
    <tableColumn id="43" name="Столбец43" totalsRowFunction="sum" headerRowDxfId="66" dataDxfId="65" totalsRowDxfId="64"/>
    <tableColumn id="44" name="Столбец44" totalsRowFunction="sum" headerRowDxfId="63" dataDxfId="62" totalsRowDxfId="61"/>
    <tableColumn id="45" name="Столбец45" totalsRowFunction="sum" headerRowDxfId="60" dataDxfId="59" totalsRowDxfId="58"/>
    <tableColumn id="46" name="Столбец46" totalsRowFunction="sum" headerRowDxfId="57" dataDxfId="56" totalsRowDxfId="55"/>
    <tableColumn id="47" name="Столбец47" totalsRowFunction="sum" headerRowDxfId="54" dataDxfId="53" totalsRowDxfId="52"/>
    <tableColumn id="48" name="Столбец48" totalsRowFunction="sum" headerRowDxfId="51" dataDxfId="50" totalsRowDxfId="49"/>
    <tableColumn id="49" name="Столбец49" totalsRowFunction="sum" headerRowDxfId="48" dataDxfId="47" totalsRowDxfId="46"/>
    <tableColumn id="50" name="Столбец50" totalsRowFunction="sum" headerRowDxfId="45" dataDxfId="44" totalsRowDxfId="43"/>
    <tableColumn id="51" name="Столбец51" totalsRowFunction="sum" headerRowDxfId="42" dataDxfId="41" totalsRowDxfId="40"/>
    <tableColumn id="52" name="Столбец52" totalsRowFunction="sum" headerRowDxfId="39" dataDxfId="38" totalsRowDxfId="37"/>
    <tableColumn id="53" name="Столбец53" totalsRowFunction="sum" headerRowDxfId="36" dataDxfId="35" totalsRowDxfId="34"/>
    <tableColumn id="54" name="Столбец54" totalsRowFunction="sum" headerRowDxfId="33" dataDxfId="32" totalsRowDxfId="31"/>
    <tableColumn id="55" name="Столбец55" totalsRowFunction="sum" headerRowDxfId="30" dataDxfId="29" totalsRowDxfId="28"/>
    <tableColumn id="56" name="Столбец56" totalsRowFunction="sum" headerRowDxfId="27" dataDxfId="26" totalsRowDxfId="25"/>
    <tableColumn id="57" name="Столбец57" totalsRowFunction="sum" headerRowDxfId="24" dataDxfId="23" totalsRowDxfId="22"/>
    <tableColumn id="58" name="Столбец58" totalsRowFunction="sum" headerRowDxfId="21" dataDxfId="20" totalsRowDxfId="19"/>
    <tableColumn id="59" name="Столбец59" totalsRowFunction="sum" headerRowDxfId="18" dataDxfId="17" totalsRowDxfId="16"/>
    <tableColumn id="60" name="Столбец60" totalsRowFunction="sum" headerRowDxfId="15" dataDxfId="14" totalsRowDxfId="13"/>
    <tableColumn id="61" name="Столбец61" totalsRowFunction="sum" headerRowDxfId="12" dataDxfId="11" totalsRowDxfId="10"/>
    <tableColumn id="62" name="Столбец62" totalsRowFunction="sum" headerRowDxfId="9" dataDxfId="8" totalsRowDxfId="7"/>
    <tableColumn id="63" name="Столбец63" totalsRowFunction="sum" headerRowDxfId="6" dataDxfId="5" totalsRowDxfId="4"/>
    <tableColumn id="64" name="Столбец64" totalsRowFunction="custom" headerRowDxfId="3" dataDxfId="2" totalsRowDxfId="1">
      <totalsRowFormula>SUM(DV[[#Totals],[Столбец4]:[Столбец63]])</totalsRow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7" name="Таблица7" displayName="Таблица7" ref="E126:BL127" totalsRowShown="0">
  <autoFilter ref="E126:BL127"/>
  <tableColumns count="60">
    <tableColumn id="1" name="Жантумсова Нургуль">
      <calculatedColumnFormula>DC!E4</calculatedColumnFormula>
    </tableColumn>
    <tableColumn id="2" name="Столбец1">
      <calculatedColumnFormula>DC!F4</calculatedColumnFormula>
    </tableColumn>
    <tableColumn id="3" name="Столбец2">
      <calculatedColumnFormula>DC!G4</calculatedColumnFormula>
    </tableColumn>
    <tableColumn id="4" name="Столбец3">
      <calculatedColumnFormula>DC!H4</calculatedColumnFormula>
    </tableColumn>
    <tableColumn id="5" name="Столбец4">
      <calculatedColumnFormula>DC!I4</calculatedColumnFormula>
    </tableColumn>
    <tableColumn id="6" name="Столбец5">
      <calculatedColumnFormula>DC!J4</calculatedColumnFormula>
    </tableColumn>
    <tableColumn id="7" name="Тамабаева Динара">
      <calculatedColumnFormula>DC!K4</calculatedColumnFormula>
    </tableColumn>
    <tableColumn id="8" name="Столбец6">
      <calculatedColumnFormula>DC!L4</calculatedColumnFormula>
    </tableColumn>
    <tableColumn id="9" name="Столбец7">
      <calculatedColumnFormula>DC!M4</calculatedColumnFormula>
    </tableColumn>
    <tableColumn id="10" name="Столбец8">
      <calculatedColumnFormula>DC!N4</calculatedColumnFormula>
    </tableColumn>
    <tableColumn id="11" name="Столбец9">
      <calculatedColumnFormula>DC!O4</calculatedColumnFormula>
    </tableColumn>
    <tableColumn id="12" name="Столбец10">
      <calculatedColumnFormula>DC!P4</calculatedColumnFormula>
    </tableColumn>
    <tableColumn id="13" name="Канылбаев Эльдар">
      <calculatedColumnFormula>DC!Q4</calculatedColumnFormula>
    </tableColumn>
    <tableColumn id="14" name="Столбец11">
      <calculatedColumnFormula>DC!R4</calculatedColumnFormula>
    </tableColumn>
    <tableColumn id="15" name="Столбец12">
      <calculatedColumnFormula>DC!S4</calculatedColumnFormula>
    </tableColumn>
    <tableColumn id="16" name="Столбец13">
      <calculatedColumnFormula>DC!T4</calculatedColumnFormula>
    </tableColumn>
    <tableColumn id="17" name="Столбец14">
      <calculatedColumnFormula>DC!U4</calculatedColumnFormula>
    </tableColumn>
    <tableColumn id="18" name="Столбец15">
      <calculatedColumnFormula>DC!V4</calculatedColumnFormula>
    </tableColumn>
    <tableColumn id="19" name="Нурабаева Жансая">
      <calculatedColumnFormula>DC!W4</calculatedColumnFormula>
    </tableColumn>
    <tableColumn id="20" name="Столбец16">
      <calculatedColumnFormula>DC!X4</calculatedColumnFormula>
    </tableColumn>
    <tableColumn id="21" name="Столбец17">
      <calculatedColumnFormula>DC!Y4</calculatedColumnFormula>
    </tableColumn>
    <tableColumn id="22" name="Столбец18">
      <calculatedColumnFormula>DC!Z4</calculatedColumnFormula>
    </tableColumn>
    <tableColumn id="23" name="Столбец19">
      <calculatedColumnFormula>DC!AA4</calculatedColumnFormula>
    </tableColumn>
    <tableColumn id="24" name="Столбец20">
      <calculatedColumnFormula>DC!AB4</calculatedColumnFormula>
    </tableColumn>
    <tableColumn id="25" name="Сариева Сивиля">
      <calculatedColumnFormula>DC!AC4</calculatedColumnFormula>
    </tableColumn>
    <tableColumn id="26" name="Столбец21">
      <calculatedColumnFormula>DC!AD4</calculatedColumnFormula>
    </tableColumn>
    <tableColumn id="27" name="Столбец22">
      <calculatedColumnFormula>DC!AE4</calculatedColumnFormula>
    </tableColumn>
    <tableColumn id="28" name="Столбец23">
      <calculatedColumnFormula>DC!AF4</calculatedColumnFormula>
    </tableColumn>
    <tableColumn id="29" name="Столбец24">
      <calculatedColumnFormula>DC!AG4</calculatedColumnFormula>
    </tableColumn>
    <tableColumn id="30" name="Столбец25">
      <calculatedColumnFormula>DC!AH4</calculatedColumnFormula>
    </tableColumn>
    <tableColumn id="31" name="Адилханов Нурсултан">
      <calculatedColumnFormula>DC!AI4</calculatedColumnFormula>
    </tableColumn>
    <tableColumn id="32" name="Столбец26">
      <calculatedColumnFormula>DC!AJ4</calculatedColumnFormula>
    </tableColumn>
    <tableColumn id="33" name="Столбец27">
      <calculatedColumnFormula>DC!AK4</calculatedColumnFormula>
    </tableColumn>
    <tableColumn id="34" name="Столбец28">
      <calculatedColumnFormula>DC!AL4</calculatedColumnFormula>
    </tableColumn>
    <tableColumn id="35" name="Столбец29">
      <calculatedColumnFormula>DC!AM4</calculatedColumnFormula>
    </tableColumn>
    <tableColumn id="36" name="Столбец30">
      <calculatedColumnFormula>DC!AN4</calculatedColumnFormula>
    </tableColumn>
    <tableColumn id="37" name="Дуисенгалиева Гульшат">
      <calculatedColumnFormula>DC!AO4</calculatedColumnFormula>
    </tableColumn>
    <tableColumn id="38" name="Столбец31">
      <calculatedColumnFormula>DC!AP4</calculatedColumnFormula>
    </tableColumn>
    <tableColumn id="39" name="Столбец32">
      <calculatedColumnFormula>DC!AQ4</calculatedColumnFormula>
    </tableColumn>
    <tableColumn id="40" name="Столбец33">
      <calculatedColumnFormula>DC!AR4</calculatedColumnFormula>
    </tableColumn>
    <tableColumn id="41" name="Столбец34">
      <calculatedColumnFormula>DC!AS4</calculatedColumnFormula>
    </tableColumn>
    <tableColumn id="42" name="Столбец35">
      <calculatedColumnFormula>DC!AT4</calculatedColumnFormula>
    </tableColumn>
    <tableColumn id="43" name="Байбосынова Санат">
      <calculatedColumnFormula>DC!AU4</calculatedColumnFormula>
    </tableColumn>
    <tableColumn id="44" name="Столбец36">
      <calculatedColumnFormula>DC!AV4</calculatedColumnFormula>
    </tableColumn>
    <tableColumn id="45" name="Столбец37">
      <calculatedColumnFormula>DC!AW4</calculatedColumnFormula>
    </tableColumn>
    <tableColumn id="46" name="Столбец38">
      <calculatedColumnFormula>DC!AX4</calculatedColumnFormula>
    </tableColumn>
    <tableColumn id="47" name="Столбец39">
      <calculatedColumnFormula>DC!AY4</calculatedColumnFormula>
    </tableColumn>
    <tableColumn id="48" name="Столбец40">
      <calculatedColumnFormula>DC!AZ4</calculatedColumnFormula>
    </tableColumn>
    <tableColumn id="49" name="Усеинов Рифат">
      <calculatedColumnFormula>DC!BA4</calculatedColumnFormula>
    </tableColumn>
    <tableColumn id="50" name="Столбец41">
      <calculatedColumnFormula>DC!BB4</calculatedColumnFormula>
    </tableColumn>
    <tableColumn id="51" name="Столбец42">
      <calculatedColumnFormula>DC!BC4</calculatedColumnFormula>
    </tableColumn>
    <tableColumn id="52" name="Столбец43">
      <calculatedColumnFormula>DC!BD4</calculatedColumnFormula>
    </tableColumn>
    <tableColumn id="53" name="Столбец44">
      <calculatedColumnFormula>DC!BE4</calculatedColumnFormula>
    </tableColumn>
    <tableColumn id="54" name="Столбец45">
      <calculatedColumnFormula>DC!BF4</calculatedColumnFormula>
    </tableColumn>
    <tableColumn id="55" name="Искакова Айымгуль">
      <calculatedColumnFormula>DC!BG4</calculatedColumnFormula>
    </tableColumn>
    <tableColumn id="56" name="Столбец46">
      <calculatedColumnFormula>DC!BH4</calculatedColumnFormula>
    </tableColumn>
    <tableColumn id="57" name="Столбец47">
      <calculatedColumnFormula>DC!BI4</calculatedColumnFormula>
    </tableColumn>
    <tableColumn id="58" name="Столбец48">
      <calculatedColumnFormula>DC!BJ4</calculatedColumnFormula>
    </tableColumn>
    <tableColumn id="59" name="Столбец49">
      <calculatedColumnFormula>DC!BK4</calculatedColumnFormula>
    </tableColumn>
    <tableColumn id="60" name="Столбец50">
      <calculatedColumnFormula>DC!BL4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CV913"/>
  <sheetViews>
    <sheetView tabSelected="1" topLeftCell="A18" workbookViewId="0">
      <selection activeCell="E28" sqref="E28"/>
    </sheetView>
  </sheetViews>
  <sheetFormatPr defaultRowHeight="15"/>
  <cols>
    <col min="2" max="2" width="18.5703125" customWidth="1"/>
    <col min="3" max="3" width="25.85546875" customWidth="1"/>
    <col min="4" max="4" width="12" customWidth="1"/>
    <col min="5" max="5" width="14.42578125" customWidth="1"/>
    <col min="6" max="8" width="11.140625" customWidth="1"/>
    <col min="9" max="9" width="14" bestFit="1" customWidth="1"/>
    <col min="10" max="10" width="13" bestFit="1" customWidth="1"/>
    <col min="11" max="11" width="23.7109375" customWidth="1"/>
    <col min="12" max="12" width="11.85546875" customWidth="1"/>
    <col min="13" max="13" width="9.5703125" customWidth="1"/>
    <col min="14" max="14" width="10.85546875" customWidth="1"/>
    <col min="15" max="16" width="11.140625" customWidth="1"/>
    <col min="17" max="17" width="15.42578125" customWidth="1"/>
    <col min="18" max="18" width="11" customWidth="1"/>
    <col min="19" max="19" width="10.5703125" customWidth="1"/>
    <col min="20" max="20" width="11.85546875" customWidth="1"/>
    <col min="21" max="22" width="12.140625" customWidth="1"/>
    <col min="23" max="23" width="16.42578125" customWidth="1"/>
    <col min="24" max="24" width="12" customWidth="1"/>
    <col min="25" max="25" width="10.5703125" customWidth="1"/>
    <col min="26" max="26" width="11.85546875" customWidth="1"/>
    <col min="27" max="28" width="12.140625" customWidth="1"/>
    <col min="29" max="29" width="16.42578125" customWidth="1"/>
    <col min="30" max="30" width="12" customWidth="1"/>
    <col min="31" max="31" width="10.5703125" customWidth="1"/>
    <col min="32" max="32" width="11.85546875" customWidth="1"/>
    <col min="33" max="34" width="12.140625" customWidth="1"/>
    <col min="35" max="35" width="16.42578125" customWidth="1"/>
    <col min="36" max="36" width="12" customWidth="1"/>
    <col min="37" max="37" width="10.5703125" customWidth="1"/>
    <col min="38" max="38" width="11.85546875" customWidth="1"/>
    <col min="39" max="40" width="12.140625" customWidth="1"/>
    <col min="41" max="41" width="16.42578125" customWidth="1"/>
    <col min="42" max="42" width="12" customWidth="1"/>
    <col min="43" max="43" width="10.5703125" customWidth="1"/>
    <col min="44" max="44" width="11.85546875" customWidth="1"/>
    <col min="45" max="46" width="12.140625" customWidth="1"/>
    <col min="47" max="47" width="16.42578125" customWidth="1"/>
    <col min="48" max="48" width="12" customWidth="1"/>
    <col min="49" max="49" width="10.5703125" customWidth="1"/>
    <col min="50" max="50" width="11.85546875" customWidth="1"/>
    <col min="51" max="52" width="12.140625" customWidth="1"/>
    <col min="53" max="53" width="16.42578125" customWidth="1"/>
    <col min="54" max="54" width="12" customWidth="1"/>
    <col min="55" max="55" width="10.5703125" customWidth="1"/>
    <col min="56" max="56" width="11.85546875" customWidth="1"/>
    <col min="57" max="58" width="12.140625" customWidth="1"/>
    <col min="59" max="59" width="16.42578125" customWidth="1"/>
    <col min="60" max="60" width="12" customWidth="1"/>
    <col min="61" max="61" width="10.5703125" customWidth="1"/>
    <col min="62" max="62" width="11.85546875" customWidth="1"/>
    <col min="63" max="64" width="12.140625" customWidth="1"/>
  </cols>
  <sheetData>
    <row r="1" spans="1:12">
      <c r="B1" t="s">
        <v>169</v>
      </c>
    </row>
    <row r="2" spans="1:12">
      <c r="B2" t="s">
        <v>56</v>
      </c>
      <c r="C2">
        <v>10</v>
      </c>
    </row>
    <row r="3" spans="1:12" ht="15.75" thickBot="1">
      <c r="B3" t="s">
        <v>57</v>
      </c>
      <c r="C3">
        <v>0</v>
      </c>
    </row>
    <row r="4" spans="1:12" ht="15.75" thickBot="1">
      <c r="B4" s="1"/>
      <c r="C4" s="2"/>
      <c r="D4" s="1"/>
      <c r="E4" s="1"/>
      <c r="F4" s="1"/>
      <c r="G4" s="1"/>
      <c r="H4" s="1"/>
    </row>
    <row r="5" spans="1:12">
      <c r="B5" s="52" t="s">
        <v>179</v>
      </c>
      <c r="C5" s="102" t="s">
        <v>0</v>
      </c>
      <c r="D5" s="103"/>
      <c r="E5" s="103"/>
      <c r="F5" s="103"/>
      <c r="G5" s="103"/>
      <c r="H5" s="104"/>
    </row>
    <row r="6" spans="1:12" ht="30">
      <c r="A6" s="75" t="s">
        <v>183</v>
      </c>
      <c r="B6" s="76" t="s">
        <v>36</v>
      </c>
      <c r="C6" s="76" t="s">
        <v>1</v>
      </c>
      <c r="D6" s="76" t="s">
        <v>2</v>
      </c>
      <c r="E6" s="76" t="s">
        <v>3</v>
      </c>
      <c r="F6" s="76" t="s">
        <v>4</v>
      </c>
      <c r="G6" s="76" t="s">
        <v>5</v>
      </c>
      <c r="H6" s="76" t="s">
        <v>6</v>
      </c>
      <c r="I6" s="77" t="s">
        <v>175</v>
      </c>
      <c r="J6" s="78" t="s">
        <v>176</v>
      </c>
      <c r="K6" s="79" t="s">
        <v>39</v>
      </c>
      <c r="L6" s="80" t="s">
        <v>40</v>
      </c>
    </row>
    <row r="7" spans="1:12" ht="30">
      <c r="A7" s="81">
        <v>1</v>
      </c>
      <c r="B7" s="71" t="s">
        <v>23</v>
      </c>
      <c r="C7" s="82" t="s">
        <v>15</v>
      </c>
      <c r="D7" s="82" t="s">
        <v>11</v>
      </c>
      <c r="E7" s="83"/>
      <c r="F7" s="82" t="s">
        <v>24</v>
      </c>
      <c r="G7" s="83"/>
      <c r="H7" s="82" t="s">
        <v>25</v>
      </c>
      <c r="I7" s="84" t="s">
        <v>37</v>
      </c>
      <c r="J7" s="84" t="s">
        <v>38</v>
      </c>
      <c r="K7" s="85">
        <v>2</v>
      </c>
      <c r="L7" s="86" t="s">
        <v>47</v>
      </c>
    </row>
    <row r="8" spans="1:12" ht="30">
      <c r="A8" s="81">
        <v>2</v>
      </c>
      <c r="B8" s="71" t="s">
        <v>29</v>
      </c>
      <c r="C8" s="83"/>
      <c r="D8" s="82" t="s">
        <v>30</v>
      </c>
      <c r="E8" s="83"/>
      <c r="F8" s="82" t="s">
        <v>31</v>
      </c>
      <c r="G8" s="83"/>
      <c r="H8" s="82" t="s">
        <v>32</v>
      </c>
      <c r="I8" s="84" t="s">
        <v>37</v>
      </c>
      <c r="J8" s="84" t="s">
        <v>38</v>
      </c>
      <c r="K8" s="85">
        <v>4</v>
      </c>
      <c r="L8" s="86" t="s">
        <v>48</v>
      </c>
    </row>
    <row r="9" spans="1:12" ht="30">
      <c r="A9" s="81">
        <v>3</v>
      </c>
      <c r="B9" s="72" t="s">
        <v>26</v>
      </c>
      <c r="C9" s="87" t="s">
        <v>27</v>
      </c>
      <c r="D9" s="87" t="s">
        <v>28</v>
      </c>
      <c r="E9" s="87" t="s">
        <v>24</v>
      </c>
      <c r="F9" s="88"/>
      <c r="G9" s="87" t="s">
        <v>27</v>
      </c>
      <c r="H9" s="87" t="s">
        <v>28</v>
      </c>
      <c r="I9" s="84" t="s">
        <v>37</v>
      </c>
      <c r="J9" s="84" t="s">
        <v>38</v>
      </c>
      <c r="K9" s="85">
        <v>6</v>
      </c>
      <c r="L9" s="86" t="s">
        <v>41</v>
      </c>
    </row>
    <row r="10" spans="1:12" ht="30">
      <c r="A10" s="81">
        <v>4</v>
      </c>
      <c r="B10" s="72" t="s">
        <v>7</v>
      </c>
      <c r="C10" s="87" t="s">
        <v>8</v>
      </c>
      <c r="D10" s="87" t="s">
        <v>8</v>
      </c>
      <c r="E10" s="87" t="s">
        <v>8</v>
      </c>
      <c r="F10" s="87" t="s">
        <v>8</v>
      </c>
      <c r="G10" s="87" t="s">
        <v>9</v>
      </c>
      <c r="H10" s="87" t="s">
        <v>8</v>
      </c>
      <c r="I10" s="84" t="s">
        <v>37</v>
      </c>
      <c r="J10" s="84" t="s">
        <v>38</v>
      </c>
      <c r="K10" s="85">
        <v>6</v>
      </c>
      <c r="L10" s="86" t="s">
        <v>41</v>
      </c>
    </row>
    <row r="11" spans="1:12" ht="30">
      <c r="A11" s="81">
        <v>5</v>
      </c>
      <c r="B11" s="71" t="s">
        <v>35</v>
      </c>
      <c r="C11" s="82" t="s">
        <v>13</v>
      </c>
      <c r="D11" s="82" t="s">
        <v>13</v>
      </c>
      <c r="E11" s="82" t="s">
        <v>13</v>
      </c>
      <c r="F11" s="82" t="s">
        <v>13</v>
      </c>
      <c r="G11" s="82" t="s">
        <v>13</v>
      </c>
      <c r="H11" s="82" t="s">
        <v>27</v>
      </c>
      <c r="I11" s="84" t="s">
        <v>37</v>
      </c>
      <c r="J11" s="84" t="s">
        <v>38</v>
      </c>
      <c r="K11" s="85">
        <v>2</v>
      </c>
      <c r="L11" s="86" t="s">
        <v>50</v>
      </c>
    </row>
    <row r="12" spans="1:12" ht="30">
      <c r="A12" s="81">
        <v>6</v>
      </c>
      <c r="B12" s="72" t="s">
        <v>14</v>
      </c>
      <c r="C12" s="88"/>
      <c r="D12" s="87" t="s">
        <v>15</v>
      </c>
      <c r="E12" s="88"/>
      <c r="F12" s="87" t="s">
        <v>16</v>
      </c>
      <c r="G12" s="88"/>
      <c r="H12" s="88"/>
      <c r="I12" s="84" t="s">
        <v>37</v>
      </c>
      <c r="J12" s="84" t="s">
        <v>38</v>
      </c>
      <c r="K12" s="85">
        <v>2</v>
      </c>
      <c r="L12" s="86" t="s">
        <v>44</v>
      </c>
    </row>
    <row r="13" spans="1:12" ht="30">
      <c r="A13" s="81">
        <v>7</v>
      </c>
      <c r="B13" s="71" t="s">
        <v>17</v>
      </c>
      <c r="C13" s="82" t="s">
        <v>18</v>
      </c>
      <c r="D13" s="82" t="s">
        <v>19</v>
      </c>
      <c r="E13" s="82" t="s">
        <v>18</v>
      </c>
      <c r="F13" s="82" t="s">
        <v>19</v>
      </c>
      <c r="G13" s="82" t="s">
        <v>18</v>
      </c>
      <c r="H13" s="82" t="s">
        <v>20</v>
      </c>
      <c r="I13" s="84" t="s">
        <v>37</v>
      </c>
      <c r="J13" s="84" t="s">
        <v>38</v>
      </c>
      <c r="K13" s="85">
        <v>3</v>
      </c>
      <c r="L13" s="86" t="s">
        <v>45</v>
      </c>
    </row>
    <row r="14" spans="1:12" ht="30">
      <c r="A14" s="81">
        <v>8</v>
      </c>
      <c r="B14" s="72" t="s">
        <v>21</v>
      </c>
      <c r="C14" s="87" t="s">
        <v>22</v>
      </c>
      <c r="D14" s="88"/>
      <c r="E14" s="87" t="s">
        <v>22</v>
      </c>
      <c r="F14" s="88"/>
      <c r="G14" s="87" t="s">
        <v>22</v>
      </c>
      <c r="H14" s="88"/>
      <c r="I14" s="84" t="s">
        <v>37</v>
      </c>
      <c r="J14" s="84" t="s">
        <v>38</v>
      </c>
      <c r="K14" s="85" t="s">
        <v>186</v>
      </c>
      <c r="L14" s="86" t="s">
        <v>46</v>
      </c>
    </row>
    <row r="15" spans="1:12" ht="30">
      <c r="A15" s="81">
        <v>9</v>
      </c>
      <c r="B15" s="71" t="s">
        <v>10</v>
      </c>
      <c r="C15" s="82" t="s">
        <v>11</v>
      </c>
      <c r="D15" s="83"/>
      <c r="E15" s="82" t="s">
        <v>12</v>
      </c>
      <c r="F15" s="82" t="s">
        <v>11</v>
      </c>
      <c r="G15" s="82" t="s">
        <v>13</v>
      </c>
      <c r="H15" s="83"/>
      <c r="I15" s="84" t="s">
        <v>37</v>
      </c>
      <c r="J15" s="84" t="s">
        <v>38</v>
      </c>
      <c r="K15" s="85">
        <v>2</v>
      </c>
      <c r="L15" s="86" t="s">
        <v>42</v>
      </c>
    </row>
    <row r="16" spans="1:12" ht="30.75" thickBot="1">
      <c r="A16" s="81">
        <v>10</v>
      </c>
      <c r="B16" s="72" t="s">
        <v>33</v>
      </c>
      <c r="C16" s="87" t="s">
        <v>34</v>
      </c>
      <c r="D16" s="87" t="s">
        <v>34</v>
      </c>
      <c r="E16" s="87" t="s">
        <v>34</v>
      </c>
      <c r="F16" s="87" t="s">
        <v>34</v>
      </c>
      <c r="G16" s="87" t="s">
        <v>34</v>
      </c>
      <c r="H16" s="88"/>
      <c r="I16" s="84" t="s">
        <v>37</v>
      </c>
      <c r="J16" s="84" t="s">
        <v>38</v>
      </c>
      <c r="K16" s="85">
        <v>2</v>
      </c>
      <c r="L16" s="86" t="s">
        <v>49</v>
      </c>
    </row>
    <row r="17" spans="1:100" ht="15.75" thickBot="1">
      <c r="A17" s="89"/>
      <c r="B17" s="90"/>
      <c r="C17" s="91"/>
      <c r="D17" s="91"/>
      <c r="E17" s="91"/>
      <c r="F17" s="91"/>
      <c r="G17" s="91"/>
      <c r="H17" s="91"/>
      <c r="I17" s="92"/>
      <c r="J17" s="93"/>
      <c r="K17" s="94"/>
      <c r="L17" s="95"/>
      <c r="M17" s="73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100" ht="15.75" thickBot="1">
      <c r="B18" s="64"/>
      <c r="C18" s="74"/>
      <c r="D18" s="74"/>
      <c r="E18" s="74"/>
      <c r="F18" s="74"/>
      <c r="G18" s="74"/>
      <c r="H18" s="74"/>
      <c r="J18" s="50"/>
      <c r="K18" s="50"/>
      <c r="L18" s="50"/>
      <c r="M18" s="1"/>
      <c r="N18" s="1"/>
      <c r="O18" s="1"/>
      <c r="P18" s="1"/>
      <c r="Q18" s="48"/>
      <c r="R18" s="1"/>
      <c r="S18" s="1"/>
      <c r="T18" s="1"/>
      <c r="U18" s="1"/>
      <c r="V18" s="1"/>
      <c r="W18" s="48"/>
      <c r="X18" s="1"/>
      <c r="Y18" s="1"/>
      <c r="Z18" s="1"/>
      <c r="AA18" s="1"/>
    </row>
    <row r="19" spans="1:100" ht="15.75" thickBot="1">
      <c r="B19" t="s">
        <v>180</v>
      </c>
      <c r="C19" s="99" t="s">
        <v>178</v>
      </c>
      <c r="D19" s="100"/>
      <c r="E19" s="100"/>
      <c r="F19" s="100"/>
      <c r="G19" s="100"/>
      <c r="H19" s="101"/>
      <c r="J19" s="1"/>
      <c r="K19" s="1"/>
      <c r="L19" s="1"/>
      <c r="M19" s="1"/>
      <c r="N19" s="1"/>
      <c r="O19" s="1"/>
      <c r="P19" s="1"/>
      <c r="Q19" s="48"/>
      <c r="R19" s="1"/>
      <c r="S19" s="1"/>
      <c r="T19" s="1"/>
      <c r="U19" s="1"/>
      <c r="V19" s="1"/>
      <c r="W19" s="48"/>
      <c r="X19" s="1"/>
      <c r="Y19" s="1"/>
      <c r="Z19" s="1"/>
      <c r="AA19" s="1"/>
    </row>
    <row r="20" spans="1:100" ht="15.75" thickBot="1">
      <c r="A20" s="59" t="s">
        <v>183</v>
      </c>
      <c r="B20" s="58" t="s">
        <v>177</v>
      </c>
      <c r="C20" s="59" t="s">
        <v>1</v>
      </c>
      <c r="D20" s="59" t="s">
        <v>2</v>
      </c>
      <c r="E20" s="59" t="s">
        <v>3</v>
      </c>
      <c r="F20" s="59" t="s">
        <v>4</v>
      </c>
      <c r="G20" s="59" t="s">
        <v>5</v>
      </c>
      <c r="H20" s="60" t="s">
        <v>6</v>
      </c>
      <c r="J20" s="98"/>
      <c r="K20" s="1"/>
      <c r="L20" s="1"/>
      <c r="M20" s="1"/>
      <c r="N20" s="1"/>
      <c r="O20" s="1"/>
      <c r="P20" s="1"/>
      <c r="Q20" s="48"/>
      <c r="R20" s="1"/>
      <c r="S20" s="1"/>
      <c r="T20" s="1"/>
      <c r="U20" s="1"/>
      <c r="V20" s="1"/>
      <c r="W20" s="48"/>
      <c r="X20" s="1"/>
      <c r="Y20" s="1"/>
      <c r="Z20" s="1"/>
      <c r="AA20" s="1"/>
    </row>
    <row r="21" spans="1:100" ht="15.75" thickBot="1">
      <c r="A21" s="59">
        <v>1</v>
      </c>
      <c r="B21" s="57" t="s">
        <v>38</v>
      </c>
      <c r="C21" s="51"/>
      <c r="D21" s="51"/>
      <c r="E21" s="51"/>
      <c r="F21" s="51"/>
      <c r="G21" s="51"/>
      <c r="H21" s="51"/>
      <c r="J21" s="97"/>
      <c r="K21" s="1" t="s">
        <v>185</v>
      </c>
      <c r="L21" s="1"/>
      <c r="M21" s="1"/>
      <c r="N21" s="1"/>
      <c r="O21" s="1"/>
      <c r="P21" s="1"/>
      <c r="Q21" s="48"/>
      <c r="R21" s="1"/>
      <c r="S21" s="1"/>
      <c r="T21" s="1"/>
      <c r="U21" s="1"/>
      <c r="V21" s="1"/>
      <c r="W21" s="48"/>
      <c r="X21" s="1"/>
      <c r="Y21" s="1"/>
      <c r="Z21" s="1"/>
      <c r="AA21" s="1"/>
    </row>
    <row r="22" spans="1:100" ht="15.75" thickBot="1">
      <c r="A22" s="51"/>
      <c r="B22" s="57"/>
      <c r="C22" s="51"/>
      <c r="D22" s="51"/>
      <c r="E22" s="51"/>
      <c r="F22" s="51"/>
      <c r="G22" s="51"/>
      <c r="H22" s="53"/>
      <c r="J22" s="1">
        <f>frame(C57,D57,F7)</f>
        <v>1</v>
      </c>
      <c r="K22" s="1"/>
      <c r="L22" s="1"/>
      <c r="M22" s="1"/>
      <c r="N22" s="1"/>
      <c r="O22" s="1"/>
      <c r="P22" s="1"/>
      <c r="Q22" s="48"/>
      <c r="R22" s="1"/>
      <c r="S22" s="1"/>
      <c r="T22" s="1"/>
      <c r="U22" s="1"/>
      <c r="V22" s="1"/>
      <c r="W22" s="48"/>
      <c r="X22" s="1"/>
      <c r="Y22" s="1"/>
      <c r="Z22" s="1"/>
      <c r="AA22" s="1"/>
    </row>
    <row r="23" spans="1:100" ht="15.75" thickBot="1">
      <c r="A23" s="51"/>
      <c r="B23" s="57"/>
      <c r="C23" s="51"/>
      <c r="D23" s="51"/>
      <c r="E23" s="51"/>
      <c r="F23" s="51"/>
      <c r="G23" s="51"/>
      <c r="H23" s="53"/>
      <c r="J23" s="1"/>
      <c r="K23" s="1"/>
      <c r="L23" s="1"/>
      <c r="M23" s="1"/>
      <c r="N23" s="1"/>
      <c r="O23" s="1"/>
      <c r="P23" s="1"/>
      <c r="Q23" s="48"/>
      <c r="R23" s="1"/>
      <c r="S23" s="1"/>
      <c r="T23" s="1"/>
      <c r="U23" s="1"/>
      <c r="V23" s="1"/>
      <c r="W23" s="48"/>
      <c r="X23" s="1"/>
      <c r="Y23" s="1"/>
      <c r="Z23" s="1"/>
      <c r="AA23" s="1"/>
    </row>
    <row r="24" spans="1:100" ht="15.75" thickBot="1">
      <c r="A24" s="51"/>
      <c r="B24" s="57"/>
      <c r="C24" s="51"/>
      <c r="D24" s="51"/>
      <c r="E24" s="51"/>
      <c r="F24" s="51"/>
      <c r="G24" s="51"/>
      <c r="H24" s="53"/>
      <c r="J24" s="1"/>
      <c r="K24" s="1"/>
      <c r="L24" s="1"/>
      <c r="M24" s="1"/>
      <c r="N24" s="1"/>
      <c r="O24" s="1"/>
      <c r="P24" s="1"/>
      <c r="Q24" s="48"/>
      <c r="R24" s="1"/>
      <c r="S24" s="1"/>
      <c r="T24" s="1"/>
      <c r="U24" s="1"/>
      <c r="V24" s="1"/>
      <c r="W24" s="48"/>
      <c r="X24" s="1"/>
      <c r="Y24" s="1"/>
      <c r="Z24" s="1"/>
      <c r="AA24" s="1"/>
    </row>
    <row r="25" spans="1:100" ht="15.75" thickBot="1">
      <c r="A25" s="54"/>
      <c r="B25" s="61"/>
      <c r="C25" s="51"/>
      <c r="D25" s="54"/>
      <c r="E25" s="54"/>
      <c r="F25" s="54"/>
      <c r="G25" s="54"/>
      <c r="H25" s="55"/>
      <c r="J25" s="1"/>
      <c r="K25" s="1"/>
      <c r="L25" s="1"/>
      <c r="M25" s="1"/>
      <c r="N25" s="1"/>
      <c r="O25" s="1"/>
      <c r="P25" s="1"/>
      <c r="Q25" s="48"/>
      <c r="R25" s="52"/>
      <c r="S25" s="1"/>
      <c r="T25" s="1"/>
      <c r="U25" s="1"/>
      <c r="V25" s="1"/>
      <c r="W25" s="48"/>
      <c r="X25" s="1"/>
      <c r="Y25" s="1"/>
      <c r="Z25" s="1"/>
      <c r="AA25" s="1"/>
    </row>
    <row r="26" spans="1:100" ht="39.75" thickBot="1">
      <c r="B26" s="49"/>
      <c r="C26" s="62"/>
      <c r="D26" s="49"/>
      <c r="E26" s="67" t="str">
        <f>B7</f>
        <v>Адилханов Нурсултан</v>
      </c>
      <c r="F26" s="50" t="str">
        <f>E26</f>
        <v>Адилханов Нурсултан</v>
      </c>
      <c r="G26" s="50" t="str">
        <f t="shared" ref="G26:J26" si="0">F26</f>
        <v>Адилханов Нурсултан</v>
      </c>
      <c r="H26" s="50" t="str">
        <f t="shared" si="0"/>
        <v>Адилханов Нурсултан</v>
      </c>
      <c r="I26" s="50" t="str">
        <f t="shared" si="0"/>
        <v>Адилханов Нурсултан</v>
      </c>
      <c r="J26" s="50" t="str">
        <f t="shared" si="0"/>
        <v>Адилханов Нурсултан</v>
      </c>
      <c r="K26" s="68" t="str">
        <f>B8</f>
        <v>Байбосынова Санат</v>
      </c>
      <c r="L26" s="1" t="str">
        <f>K26</f>
        <v>Байбосынова Санат</v>
      </c>
      <c r="M26" s="1" t="str">
        <f t="shared" ref="M26:P26" si="1">L26</f>
        <v>Байбосынова Санат</v>
      </c>
      <c r="N26" s="1" t="str">
        <f t="shared" si="1"/>
        <v>Байбосынова Санат</v>
      </c>
      <c r="O26" s="1" t="str">
        <f t="shared" si="1"/>
        <v>Байбосынова Санат</v>
      </c>
      <c r="P26" s="63" t="str">
        <f t="shared" si="1"/>
        <v>Байбосынова Санат</v>
      </c>
      <c r="Q26" s="69" t="str">
        <f>B9</f>
        <v>Дуисенгалиева Гульшат</v>
      </c>
      <c r="R26" s="65" t="str">
        <f>Q26</f>
        <v>Дуисенгалиева Гульшат</v>
      </c>
      <c r="S26" s="65" t="str">
        <f t="shared" ref="S26:V26" si="2">R26</f>
        <v>Дуисенгалиева Гульшат</v>
      </c>
      <c r="T26" s="65" t="str">
        <f t="shared" si="2"/>
        <v>Дуисенгалиева Гульшат</v>
      </c>
      <c r="U26" s="65" t="str">
        <f t="shared" si="2"/>
        <v>Дуисенгалиева Гульшат</v>
      </c>
      <c r="V26" s="65" t="str">
        <f t="shared" si="2"/>
        <v>Дуисенгалиева Гульшат</v>
      </c>
      <c r="W26" s="70" t="str">
        <f>B10</f>
        <v>Жантумсова Нургуль</v>
      </c>
      <c r="X26" s="1" t="str">
        <f>W26</f>
        <v>Жантумсова Нургуль</v>
      </c>
      <c r="Y26" s="1" t="str">
        <f t="shared" ref="Y26:AB26" si="3">X26</f>
        <v>Жантумсова Нургуль</v>
      </c>
      <c r="Z26" s="1" t="str">
        <f t="shared" si="3"/>
        <v>Жантумсова Нургуль</v>
      </c>
      <c r="AA26" s="1" t="str">
        <f t="shared" si="3"/>
        <v>Жантумсова Нургуль</v>
      </c>
      <c r="AB26" s="1" t="str">
        <f t="shared" si="3"/>
        <v>Жантумсова Нургуль</v>
      </c>
      <c r="AC26" s="70" t="str">
        <f>B11</f>
        <v>Искакова Айымгуль</v>
      </c>
      <c r="AD26" s="66" t="str">
        <f>AC26</f>
        <v>Искакова Айымгуль</v>
      </c>
      <c r="AE26" s="66" t="str">
        <f>AD26</f>
        <v>Искакова Айымгуль</v>
      </c>
      <c r="AF26" s="66" t="str">
        <f>AE26</f>
        <v>Искакова Айымгуль</v>
      </c>
      <c r="AG26" s="66" t="str">
        <f>AF26</f>
        <v>Искакова Айымгуль</v>
      </c>
      <c r="AH26" s="66" t="str">
        <f>AG26</f>
        <v>Искакова Айымгуль</v>
      </c>
      <c r="AI26" s="70" t="str">
        <f>B12</f>
        <v>Канылбаев Эльдар</v>
      </c>
      <c r="AJ26" s="66" t="str">
        <f>AI26</f>
        <v>Канылбаев Эльдар</v>
      </c>
      <c r="AK26" s="66" t="str">
        <f t="shared" ref="AK26:AN26" si="4">AJ26</f>
        <v>Канылбаев Эльдар</v>
      </c>
      <c r="AL26" s="66" t="str">
        <f t="shared" si="4"/>
        <v>Канылбаев Эльдар</v>
      </c>
      <c r="AM26" s="66" t="str">
        <f t="shared" si="4"/>
        <v>Канылбаев Эльдар</v>
      </c>
      <c r="AN26" s="66" t="str">
        <f t="shared" si="4"/>
        <v>Канылбаев Эльдар</v>
      </c>
      <c r="AO26" s="70" t="str">
        <f>B13</f>
        <v>Нурабаева Жансая</v>
      </c>
      <c r="AP26" s="66" t="str">
        <f>AO26</f>
        <v>Нурабаева Жансая</v>
      </c>
      <c r="AQ26" s="66" t="str">
        <f t="shared" ref="AQ26:AT26" si="5">AP26</f>
        <v>Нурабаева Жансая</v>
      </c>
      <c r="AR26" s="66" t="str">
        <f t="shared" si="5"/>
        <v>Нурабаева Жансая</v>
      </c>
      <c r="AS26" s="66" t="str">
        <f t="shared" si="5"/>
        <v>Нурабаева Жансая</v>
      </c>
      <c r="AT26" s="66" t="str">
        <f t="shared" si="5"/>
        <v>Нурабаева Жансая</v>
      </c>
      <c r="AU26" s="70" t="str">
        <f>B14</f>
        <v>Сариева Сивиля</v>
      </c>
      <c r="AV26" s="96" t="str">
        <f>AU26</f>
        <v>Сариева Сивиля</v>
      </c>
      <c r="AW26" s="96" t="str">
        <f t="shared" ref="AW26:AZ26" si="6">AV26</f>
        <v>Сариева Сивиля</v>
      </c>
      <c r="AX26" s="96" t="str">
        <f t="shared" si="6"/>
        <v>Сариева Сивиля</v>
      </c>
      <c r="AY26" s="96" t="str">
        <f t="shared" si="6"/>
        <v>Сариева Сивиля</v>
      </c>
      <c r="AZ26" s="96" t="str">
        <f t="shared" si="6"/>
        <v>Сариева Сивиля</v>
      </c>
      <c r="BA26" s="70" t="str">
        <f>B15</f>
        <v>Тамабаева Динара</v>
      </c>
      <c r="BB26" s="96" t="str">
        <f>BA26</f>
        <v>Тамабаева Динара</v>
      </c>
      <c r="BC26" s="96" t="str">
        <f t="shared" ref="BC26:BF26" si="7">BB26</f>
        <v>Тамабаева Динара</v>
      </c>
      <c r="BD26" s="96" t="str">
        <f t="shared" si="7"/>
        <v>Тамабаева Динара</v>
      </c>
      <c r="BE26" s="96" t="str">
        <f t="shared" si="7"/>
        <v>Тамабаева Динара</v>
      </c>
      <c r="BF26" s="96" t="str">
        <f t="shared" si="7"/>
        <v>Тамабаева Динара</v>
      </c>
      <c r="BG26" s="70" t="str">
        <f>B16</f>
        <v>Усеинов Рифат</v>
      </c>
      <c r="BH26" s="96" t="str">
        <f>BG26</f>
        <v>Усеинов Рифат</v>
      </c>
      <c r="BI26" s="96" t="str">
        <f t="shared" ref="BI26:BL26" si="8">BH26</f>
        <v>Усеинов Рифат</v>
      </c>
      <c r="BJ26" s="96" t="str">
        <f t="shared" si="8"/>
        <v>Усеинов Рифат</v>
      </c>
      <c r="BK26" s="96" t="str">
        <f t="shared" si="8"/>
        <v>Усеинов Рифат</v>
      </c>
      <c r="BL26" s="96" t="str">
        <f t="shared" si="8"/>
        <v>Усеинов Рифат</v>
      </c>
      <c r="BM26">
        <f>B17</f>
        <v>0</v>
      </c>
      <c r="BS26">
        <f>B18</f>
        <v>0</v>
      </c>
    </row>
    <row r="27" spans="1:100" ht="27" thickBot="1">
      <c r="B27" s="4" t="s">
        <v>58</v>
      </c>
      <c r="C27" s="7" t="s">
        <v>112</v>
      </c>
      <c r="D27" s="8" t="s">
        <v>51</v>
      </c>
      <c r="E27" s="3" t="s">
        <v>1</v>
      </c>
      <c r="F27" s="3" t="s">
        <v>2</v>
      </c>
      <c r="G27" s="3" t="s">
        <v>3</v>
      </c>
      <c r="H27" s="3" t="s">
        <v>4</v>
      </c>
      <c r="I27" s="3" t="s">
        <v>5</v>
      </c>
      <c r="J27" s="3" t="s">
        <v>6</v>
      </c>
      <c r="K27" s="3" t="s">
        <v>59</v>
      </c>
      <c r="L27" s="3" t="s">
        <v>184</v>
      </c>
      <c r="M27" s="3" t="s">
        <v>60</v>
      </c>
      <c r="N27" s="3" t="s">
        <v>61</v>
      </c>
      <c r="O27" s="3" t="s">
        <v>62</v>
      </c>
      <c r="P27" s="3" t="s">
        <v>63</v>
      </c>
      <c r="Q27" s="56" t="s">
        <v>64</v>
      </c>
      <c r="R27" s="65" t="s">
        <v>181</v>
      </c>
      <c r="S27" s="3" t="s">
        <v>65</v>
      </c>
      <c r="T27" s="3" t="s">
        <v>66</v>
      </c>
      <c r="U27" s="3" t="s">
        <v>67</v>
      </c>
      <c r="V27" s="3" t="s">
        <v>68</v>
      </c>
      <c r="W27" s="3" t="s">
        <v>69</v>
      </c>
      <c r="X27" s="3" t="s">
        <v>70</v>
      </c>
      <c r="Y27" s="3" t="s">
        <v>71</v>
      </c>
      <c r="Z27" s="3" t="s">
        <v>72</v>
      </c>
      <c r="AA27" s="3" t="s">
        <v>73</v>
      </c>
      <c r="AB27" s="3" t="s">
        <v>74</v>
      </c>
      <c r="AC27" s="3" t="s">
        <v>75</v>
      </c>
      <c r="AD27" s="3" t="s">
        <v>76</v>
      </c>
      <c r="AE27" s="3" t="s">
        <v>77</v>
      </c>
      <c r="AF27" s="3" t="s">
        <v>78</v>
      </c>
      <c r="AG27" s="3" t="s">
        <v>79</v>
      </c>
      <c r="AH27" s="3" t="s">
        <v>80</v>
      </c>
      <c r="AI27" s="3" t="s">
        <v>81</v>
      </c>
      <c r="AJ27" s="3" t="s">
        <v>82</v>
      </c>
      <c r="AK27" s="3" t="s">
        <v>83</v>
      </c>
      <c r="AL27" s="3" t="s">
        <v>84</v>
      </c>
      <c r="AM27" s="3" t="s">
        <v>85</v>
      </c>
      <c r="AN27" s="3" t="s">
        <v>86</v>
      </c>
      <c r="AO27" s="3" t="s">
        <v>87</v>
      </c>
      <c r="AP27" s="66" t="s">
        <v>182</v>
      </c>
      <c r="AQ27" s="3" t="s">
        <v>88</v>
      </c>
      <c r="AR27" s="3" t="s">
        <v>89</v>
      </c>
      <c r="AS27" s="3" t="s">
        <v>90</v>
      </c>
      <c r="AT27" s="3" t="s">
        <v>91</v>
      </c>
      <c r="AU27" s="3" t="s">
        <v>92</v>
      </c>
      <c r="AV27" s="3" t="s">
        <v>93</v>
      </c>
      <c r="AW27" s="3" t="s">
        <v>94</v>
      </c>
      <c r="AX27" s="3" t="s">
        <v>95</v>
      </c>
      <c r="AY27" s="3" t="s">
        <v>96</v>
      </c>
      <c r="AZ27" s="3" t="s">
        <v>97</v>
      </c>
      <c r="BA27" s="3" t="s">
        <v>98</v>
      </c>
      <c r="BB27" s="3" t="s">
        <v>99</v>
      </c>
      <c r="BC27" s="3" t="s">
        <v>100</v>
      </c>
      <c r="BD27" s="3" t="s">
        <v>101</v>
      </c>
      <c r="BE27" s="3" t="s">
        <v>102</v>
      </c>
      <c r="BF27" s="3" t="s">
        <v>103</v>
      </c>
      <c r="BG27" s="3" t="s">
        <v>104</v>
      </c>
      <c r="BH27" s="3" t="s">
        <v>105</v>
      </c>
      <c r="BI27" s="3" t="s">
        <v>106</v>
      </c>
      <c r="BJ27" s="3" t="s">
        <v>107</v>
      </c>
      <c r="BK27" s="3" t="s">
        <v>108</v>
      </c>
      <c r="BL27" s="3" t="s">
        <v>109</v>
      </c>
      <c r="BM27" s="3" t="s">
        <v>1</v>
      </c>
      <c r="BN27" s="3" t="s">
        <v>2</v>
      </c>
      <c r="BO27" s="3" t="s">
        <v>3</v>
      </c>
      <c r="BP27" s="3" t="s">
        <v>4</v>
      </c>
      <c r="BQ27" s="3" t="s">
        <v>5</v>
      </c>
      <c r="BR27" s="3" t="s">
        <v>6</v>
      </c>
      <c r="BS27" s="3" t="s">
        <v>1</v>
      </c>
      <c r="BT27" s="3" t="s">
        <v>2</v>
      </c>
      <c r="BU27" s="3" t="s">
        <v>3</v>
      </c>
      <c r="BV27" s="3" t="s">
        <v>4</v>
      </c>
      <c r="BW27" s="3" t="s">
        <v>5</v>
      </c>
      <c r="BX27" s="3" t="s">
        <v>6</v>
      </c>
      <c r="BY27" s="3" t="s">
        <v>1</v>
      </c>
      <c r="BZ27" s="3" t="s">
        <v>2</v>
      </c>
      <c r="CA27" s="3" t="s">
        <v>3</v>
      </c>
      <c r="CB27" s="3" t="s">
        <v>4</v>
      </c>
      <c r="CC27" s="3" t="s">
        <v>5</v>
      </c>
      <c r="CD27" s="3" t="s">
        <v>6</v>
      </c>
      <c r="CE27" s="3" t="s">
        <v>1</v>
      </c>
      <c r="CF27" s="3" t="s">
        <v>2</v>
      </c>
      <c r="CG27" s="3" t="s">
        <v>3</v>
      </c>
      <c r="CH27" s="3" t="s">
        <v>4</v>
      </c>
      <c r="CI27" s="3" t="s">
        <v>5</v>
      </c>
      <c r="CJ27" s="3" t="s">
        <v>6</v>
      </c>
      <c r="CK27" s="3" t="s">
        <v>1</v>
      </c>
      <c r="CL27" s="3" t="s">
        <v>2</v>
      </c>
      <c r="CM27" s="3" t="s">
        <v>3</v>
      </c>
      <c r="CN27" s="3" t="s">
        <v>4</v>
      </c>
      <c r="CO27" s="3" t="s">
        <v>5</v>
      </c>
      <c r="CP27" s="3" t="s">
        <v>6</v>
      </c>
      <c r="CQ27" s="3" t="s">
        <v>1</v>
      </c>
      <c r="CR27" s="3" t="s">
        <v>2</v>
      </c>
      <c r="CS27" s="3" t="s">
        <v>3</v>
      </c>
      <c r="CT27" s="3" t="s">
        <v>4</v>
      </c>
      <c r="CU27" s="3" t="s">
        <v>5</v>
      </c>
      <c r="CV27" s="3" t="s">
        <v>6</v>
      </c>
    </row>
    <row r="28" spans="1:100" ht="15.75" thickBot="1">
      <c r="B28" s="1">
        <v>1</v>
      </c>
      <c r="C28" s="9">
        <v>0.35416666666666669</v>
      </c>
      <c r="D28" s="9">
        <v>0.38541666666666669</v>
      </c>
      <c r="E28" s="6" t="e">
        <f ca="1">frame(СВ[[#This Row],[49]],СВ[[#This Row],[Столбец1]],C7,C21)</f>
        <v>#NAME?</v>
      </c>
      <c r="F28" s="6">
        <f>IF(AND(frame($C28,$D28,D$7),NOT(frame($C28,$D28,VLOOKUP(VLOOKUP(F$26,FT[],9),Teachers[],MOD(COLUMN(B28),6)+1)))),1,0)</f>
        <v>0</v>
      </c>
      <c r="G28" s="6">
        <f>IF(AND(frame($C28,$D28,E$7),NOT(frame($C28,$D28,VLOOKUP(VLOOKUP(G$26,FT[],9),Teachers[],MOD(COLUMN(C28),6)+1)))),1,0)</f>
        <v>0</v>
      </c>
      <c r="H28" s="6">
        <f>IF(AND(frame($C28,$D28,F$7),NOT(frame($C28,$D28,VLOOKUP(VLOOKUP(H$26,FT[],9),Teachers[],MOD(COLUMN(D28),6)+1)))),1,0)</f>
        <v>0</v>
      </c>
      <c r="I28" s="6" t="e">
        <f ca="1">IF(AND(frame($C28,$D28,G$7),NOT(frame($C28,$D28,VLOOKUP(VLOOKUP(I$26,FT[],9),Teachers[],MOD(COLUMN(E28),6)+1)))),1,0)</f>
        <v>#NAME?</v>
      </c>
      <c r="J28" s="6">
        <f>IF(AND(frame($C28,$D28,H$7),NOT(frame($C28,$D28,VLOOKUP(VLOOKUP(J$26,FT[],9),Teachers[],MOD(COLUMN(F28),6)+1)))),1,0)</f>
        <v>0</v>
      </c>
      <c r="K28" s="6">
        <f>IF(AND(frame($C28,$D28,I$8),NOT(frame($C28,$D28,VLOOKUP(VLOOKUP(K$26,FT[],9),Teachers[],MOD(COLUMN(H28),6)+1)))),1,0)</f>
        <v>0</v>
      </c>
      <c r="L28" s="1">
        <f t="shared" ref="L28:L76" si="9">K28</f>
        <v>0</v>
      </c>
      <c r="M28" s="6">
        <f>IF(AND(frame($C28,$D28,K$8),NOT(frame($C28,$D28,VLOOKUP(VLOOKUP(M$26,FT[],9),Teachers[],MOD(COLUMN(J28),6)+1)))),1,0)</f>
        <v>0</v>
      </c>
      <c r="N28" s="6">
        <f>IF(AND(frame($C28,$D28,L$8),NOT(frame($C28,$D28,VLOOKUP(VLOOKUP(N$26,FT[],9),Teachers[],MOD(COLUMN(K28),6)+1)))),1,0)</f>
        <v>0</v>
      </c>
      <c r="O28" s="6">
        <f>IF(AND(frame($C28,$D28,M$8),NOT(frame($C28,$D28,VLOOKUP(VLOOKUP(O$26,FT[],9),Teachers[],MOD(COLUMN(L28),6)+1)))),1,0)</f>
        <v>0</v>
      </c>
      <c r="P28" s="6">
        <f>IF(AND(frame($C28,$D28,N$8),NOT(frame($C28,$D28,VLOOKUP(VLOOKUP(P$26,FT[],9),Teachers[],MOD(COLUMN(M28),6)+1)))),1,0)</f>
        <v>0</v>
      </c>
      <c r="Q28" s="6">
        <f>IF(AND(frame($C28,$D28,O$8),NOT(frame($C28,$D28,VLOOKUP(VLOOKUP(Q$26,FT[],9),Teachers[],MOD(COLUMN(N28),6)+1)))),1,0)</f>
        <v>0</v>
      </c>
      <c r="R28" s="65">
        <f t="shared" ref="R28:R76" si="10">Q28</f>
        <v>0</v>
      </c>
      <c r="S28" s="6">
        <f>IF(AND(frame($C28,$D28,Q$8),NOT(frame($C28,$D28,VLOOKUP(VLOOKUP(S$26,FT[],9),Teachers[],MOD(COLUMN(P28),6)+1)))),1,0)</f>
        <v>0</v>
      </c>
      <c r="T28" s="6">
        <f>IF(AND(frame($C28,$D28,R$8),NOT(frame($C28,$D28,VLOOKUP(VLOOKUP(T$26,FT[],9),Teachers[],MOD(COLUMN(Q28),6)+1)))),1,0)</f>
        <v>0</v>
      </c>
      <c r="U28" s="6">
        <f>IF(AND(frame($C28,$D28,S$8),NOT(frame($C28,$D28,VLOOKUP(VLOOKUP(U$26,FT[],9),Teachers[],MOD(COLUMN(R28),6)+1)))),1,0)</f>
        <v>0</v>
      </c>
      <c r="V28" s="6">
        <f>IF(AND(frame($C28,$D28,T$8),NOT(frame($C28,$D28,VLOOKUP(VLOOKUP(V$26,FT[],9),Teachers[],MOD(COLUMN(S28),6)+1)))),1,0)</f>
        <v>0</v>
      </c>
      <c r="W28" s="6">
        <f>IF(AND(frame($C28,$D28,U$8),NOT(frame($C28,$D28,VLOOKUP(VLOOKUP(W$26,FT[],9),Teachers[],MOD(COLUMN(T28),6)+1)))),1,0)</f>
        <v>0</v>
      </c>
      <c r="X28" s="6">
        <f>IF(AND(frame($C28,$D28,V$8),NOT(frame($C28,$D28,VLOOKUP(VLOOKUP(X$26,FT[],9),Teachers[],MOD(COLUMN(U28),6)+1)))),1,0)</f>
        <v>0</v>
      </c>
      <c r="Y28" s="6">
        <f>IF(AND(frame($C28,$D28,W$8),NOT(frame($C28,$D28,VLOOKUP(VLOOKUP(Y$26,FT[],9),Teachers[],MOD(COLUMN(V28),6)+1)))),1,0)</f>
        <v>0</v>
      </c>
      <c r="Z28" s="6">
        <f>IF(AND(frame($C28,$D28,X$8),NOT(frame($C28,$D28,VLOOKUP(VLOOKUP(Z$26,FT[],9),Teachers[],MOD(COLUMN(W28),6)+1)))),1,0)</f>
        <v>0</v>
      </c>
      <c r="AA28" s="6">
        <f>IF(AND(frame($C28,$D28,Y$8),NOT(frame($C28,$D28,VLOOKUP(VLOOKUP(AA$26,FT[],9),Teachers[],MOD(COLUMN(X28),6)+1)))),1,0)</f>
        <v>0</v>
      </c>
      <c r="AB28" s="6">
        <f>IF(AND(frame($C28,$D28,Z$8),NOT(frame($C28,$D28,VLOOKUP(VLOOKUP(AB$26,FT[],9),Teachers[],MOD(COLUMN(Y28),6)+1)))),1,0)</f>
        <v>0</v>
      </c>
      <c r="AC28" s="6">
        <f>IF(AND(frame($C28,$D28,AA$8),NOT(frame($C28,$D28,VLOOKUP(VLOOKUP(AC$26,FT[],9),Teachers[],MOD(COLUMN(Z28),6)+1)))),1,0)</f>
        <v>0</v>
      </c>
      <c r="AD28" s="6">
        <f>IF(AND(frame($C28,$D28,AB$8),NOT(frame($C28,$D28,VLOOKUP(VLOOKUP(AD$26,FT[],9),Teachers[],MOD(COLUMN(AA28),6)+1)))),1,0)</f>
        <v>0</v>
      </c>
      <c r="AE28" s="6">
        <f>IF(AND(frame($C28,$D28,AC$8),NOT(frame($C28,$D28,VLOOKUP(VLOOKUP(AE$26,FT[],9),Teachers[],MOD(COLUMN(AB28),6)+1)))),1,0)</f>
        <v>0</v>
      </c>
      <c r="AF28" s="6">
        <f>IF(AND(frame($C28,$D28,AD$8),NOT(frame($C28,$D28,VLOOKUP(VLOOKUP(AF$26,FT[],9),Teachers[],MOD(COLUMN(AC28),6)+1)))),1,0)</f>
        <v>0</v>
      </c>
      <c r="AG28" s="6">
        <f>IF(AND(frame($C28,$D28,AE$8),NOT(frame($C28,$D28,VLOOKUP(VLOOKUP(AG$26,FT[],9),Teachers[],MOD(COLUMN(AD28),6)+1)))),1,0)</f>
        <v>0</v>
      </c>
      <c r="AH28" s="6">
        <f>IF(AND(frame($C28,$D28,AF$8),NOT(frame($C28,$D28,VLOOKUP(VLOOKUP(AH$26,FT[],9),Teachers[],MOD(COLUMN(AE28),6)+1)))),1,0)</f>
        <v>0</v>
      </c>
      <c r="AI28" s="6">
        <f>IF(AND(frame($C28,$D28,AG$8),NOT(frame($C28,$D28,VLOOKUP(VLOOKUP(AI$26,FT[],9),Teachers[],MOD(COLUMN(AF28),6)+1)))),1,0)</f>
        <v>0</v>
      </c>
      <c r="AJ28" s="6">
        <f>IF(AND(frame($C28,$D28,AH$8),NOT(frame($C28,$D28,VLOOKUP(VLOOKUP(AJ$26,FT[],9),Teachers[],MOD(COLUMN(AG28),6)+1)))),1,0)</f>
        <v>0</v>
      </c>
      <c r="AK28" s="6">
        <f>IF(AND(frame($C28,$D28,AI$8),NOT(frame($C28,$D28,VLOOKUP(VLOOKUP(AK$26,FT[],9),Teachers[],MOD(COLUMN(AH28),6)+1)))),1,0)</f>
        <v>0</v>
      </c>
      <c r="AL28" s="6">
        <f>IF(AND(frame($C28,$D28,AJ$8),NOT(frame($C28,$D28,VLOOKUP(VLOOKUP(AL$26,FT[],9),Teachers[],MOD(COLUMN(AI28),6)+1)))),1,0)</f>
        <v>0</v>
      </c>
      <c r="AM28" s="6">
        <f>IF(AND(frame($C28,$D28,AK$8),NOT(frame($C28,$D28,VLOOKUP(VLOOKUP(AM$26,FT[],9),Teachers[],MOD(COLUMN(AJ28),6)+1)))),1,0)</f>
        <v>0</v>
      </c>
      <c r="AN28" s="6">
        <f>IF(AND(frame($C28,$D28,AL$8),NOT(frame($C28,$D28,VLOOKUP(VLOOKUP(AN$26,FT[],9),Teachers[],MOD(COLUMN(AK28),6)+1)))),1,0)</f>
        <v>0</v>
      </c>
      <c r="AO28" s="6">
        <f>IF(AND(frame($C28,$D28,AM$8),NOT(frame($C28,$D28,VLOOKUP(VLOOKUP(AO$26,FT[],9),Teachers[],MOD(COLUMN(AL28),6)+1)))),1,0)</f>
        <v>0</v>
      </c>
      <c r="AP28" s="66">
        <f t="shared" ref="AP28:AP76" si="11">AO28</f>
        <v>0</v>
      </c>
      <c r="AQ28" s="6">
        <f>IF(AND(frame($C28,$D28,AO$8),NOT(frame($C28,$D28,VLOOKUP(VLOOKUP(AQ$26,FT[],9),Teachers[],MOD(COLUMN(AN28),6)+1)))),1,0)</f>
        <v>0</v>
      </c>
      <c r="AR28" s="6">
        <f>IF(AND(frame($C28,$D28,AP$8),NOT(frame($C28,$D28,VLOOKUP(VLOOKUP(AR$26,FT[],9),Teachers[],MOD(COLUMN(AO28),6)+1)))),1,0)</f>
        <v>0</v>
      </c>
      <c r="AS28" s="6">
        <f>IF(AND(frame($C28,$D28,AQ$8),NOT(frame($C28,$D28,VLOOKUP(VLOOKUP(AS$26,FT[],9),Teachers[],MOD(COLUMN(AP28),6)+1)))),1,0)</f>
        <v>0</v>
      </c>
      <c r="AT28" s="6">
        <f>IF(AND(frame($C28,$D28,AR$8),NOT(frame($C28,$D28,VLOOKUP(VLOOKUP(AT$26,FT[],9),Teachers[],MOD(COLUMN(AQ28),6)+1)))),1,0)</f>
        <v>0</v>
      </c>
      <c r="AU28" s="6">
        <f>IF(AND(frame($C28,$D28,AS$8),NOT(frame($C28,$D28,VLOOKUP(VLOOKUP(AU$26,FT[],9),Teachers[],MOD(COLUMN(AR28),6)+1)))),1,0)</f>
        <v>0</v>
      </c>
      <c r="AV28" s="6">
        <f>IF(AND(frame($C28,$D28,AT$8),NOT(frame($C28,$D28,VLOOKUP(VLOOKUP(AV$26,FT[],9),Teachers[],MOD(COLUMN(AS28),6)+1)))),1,0)</f>
        <v>0</v>
      </c>
      <c r="AW28" s="6">
        <f>IF(AND(frame($C28,$D28,AU$8),NOT(frame($C28,$D28,VLOOKUP(VLOOKUP(AW$26,FT[],9),Teachers[],MOD(COLUMN(AT28),6)+1)))),1,0)</f>
        <v>0</v>
      </c>
      <c r="AX28" s="6">
        <f>IF(AND(frame($C28,$D28,AV$8),NOT(frame($C28,$D28,VLOOKUP(VLOOKUP(AX$26,FT[],9),Teachers[],MOD(COLUMN(AU28),6)+1)))),1,0)</f>
        <v>0</v>
      </c>
      <c r="AY28" s="6">
        <f>IF(AND(frame($C28,$D28,AW$8),NOT(frame($C28,$D28,VLOOKUP(VLOOKUP(AY$26,FT[],9),Teachers[],MOD(COLUMN(AV28),6)+1)))),1,0)</f>
        <v>0</v>
      </c>
      <c r="AZ28" s="6">
        <f>IF(AND(frame($C28,$D28,AX$8),NOT(frame($C28,$D28,VLOOKUP(VLOOKUP(AZ$26,FT[],9),Teachers[],MOD(COLUMN(AW28),6)+1)))),1,0)</f>
        <v>0</v>
      </c>
      <c r="BA28" s="6">
        <f>IF(AND(frame($C28,$D28,AY$8),NOT(frame($C28,$D28,VLOOKUP(VLOOKUP(BA$26,FT[],9),Teachers[],MOD(COLUMN(AX28),6)+1)))),1,0)</f>
        <v>0</v>
      </c>
      <c r="BB28" s="6">
        <f>IF(AND(frame($C28,$D28,AZ$8),NOT(frame($C28,$D28,VLOOKUP(VLOOKUP(BB$26,FT[],9),Teachers[],MOD(COLUMN(AY28),6)+1)))),1,0)</f>
        <v>0</v>
      </c>
      <c r="BC28" s="6">
        <f>IF(AND(frame($C28,$D28,BA$8),NOT(frame($C28,$D28,VLOOKUP(VLOOKUP(BC$26,FT[],9),Teachers[],MOD(COLUMN(AZ28),6)+1)))),1,0)</f>
        <v>0</v>
      </c>
      <c r="BD28" s="6">
        <f>IF(AND(frame($C28,$D28,BB$8),NOT(frame($C28,$D28,VLOOKUP(VLOOKUP(BD$26,FT[],9),Teachers[],MOD(COLUMN(BA28),6)+1)))),1,0)</f>
        <v>0</v>
      </c>
      <c r="BE28" s="6">
        <f>IF(AND(frame($C28,$D28,BC$8),NOT(frame($C28,$D28,VLOOKUP(VLOOKUP(BE$26,FT[],9),Teachers[],MOD(COLUMN(BB28),6)+1)))),1,0)</f>
        <v>0</v>
      </c>
      <c r="BF28" s="6">
        <f>IF(AND(frame($C28,$D28,BD$8),NOT(frame($C28,$D28,VLOOKUP(VLOOKUP(BF$26,FT[],9),Teachers[],MOD(COLUMN(BC28),6)+1)))),1,0)</f>
        <v>0</v>
      </c>
      <c r="BG28" s="6">
        <f>IF(AND(frame($C28,$D28,BE$8),NOT(frame($C28,$D28,VLOOKUP(VLOOKUP(BG$26,FT[],9),Teachers[],MOD(COLUMN(BD28),6)+1)))),1,0)</f>
        <v>0</v>
      </c>
      <c r="BH28" s="6">
        <f>IF(AND(frame($C28,$D28,BF$8),NOT(frame($C28,$D28,VLOOKUP(VLOOKUP(BH$26,FT[],9),Teachers[],MOD(COLUMN(BE28),6)+1)))),1,0)</f>
        <v>0</v>
      </c>
      <c r="BI28" s="6">
        <f>IF(AND(frame($C28,$D28,BG$8),NOT(frame($C28,$D28,VLOOKUP(VLOOKUP(BI$26,FT[],9),Teachers[],MOD(COLUMN(BF28),6)+1)))),1,0)</f>
        <v>0</v>
      </c>
      <c r="BJ28" s="6">
        <f>IF(AND(frame($C28,$D28,BH$8),NOT(frame($C28,$D28,VLOOKUP(VLOOKUP(BJ$26,FT[],9),Teachers[],MOD(COLUMN(BG28),6)+1)))),1,0)</f>
        <v>0</v>
      </c>
      <c r="BK28" s="6">
        <f>IF(AND(frame($C28,$D28,BI$8),NOT(frame($C28,$D28,VLOOKUP(VLOOKUP(BK$26,FT[],9),Teachers[],MOD(COLUMN(BH28),6)+1)))),1,0)</f>
        <v>0</v>
      </c>
      <c r="BL28" s="6">
        <f>IF(AND(frame($C28,$D28,BJ$8),NOT(frame($C28,$D28,VLOOKUP(VLOOKUP(BL$26,FT[],9),Teachers[],MOD(COLUMN(BI28),6)+1)))),1,0)</f>
        <v>0</v>
      </c>
    </row>
    <row r="29" spans="1:100" ht="15.75" thickBot="1">
      <c r="B29" s="1">
        <v>2</v>
      </c>
      <c r="C29" s="9">
        <v>0.35416666666666669</v>
      </c>
      <c r="D29" s="9">
        <v>0.39583333333333331</v>
      </c>
      <c r="E29" s="6" t="e">
        <f ca="1">frame(СВ[[#This Row],[49]],СВ[[#This Row],[Столбец1]],C8,C22)</f>
        <v>#NAME?</v>
      </c>
      <c r="F29" s="6">
        <f>IF(AND(frame($C29,$D29,D$7),NOT(frame($C29,$D29,VLOOKUP(VLOOKUP(F$26,FT[],9),Teachers[],MOD(COLUMN(B29),6)+1)))),1,0)</f>
        <v>0</v>
      </c>
      <c r="G29" s="6">
        <f>IF(AND(frame($C29,$D29,E$7),NOT(frame($C29,$D29,VLOOKUP(VLOOKUP(G$26,FT[],9),Teachers[],MOD(COLUMN(C29),6)+1)))),1,0)</f>
        <v>0</v>
      </c>
      <c r="H29" s="6">
        <f>IF(AND(frame($C29,$D29,F$7),NOT(frame($C29,$D29,VLOOKUP(VLOOKUP(H$26,FT[],9),Teachers[],MOD(COLUMN(D29),6)+1)))),1,0)</f>
        <v>0</v>
      </c>
      <c r="I29" s="6" t="e">
        <f ca="1">IF(AND(frame($C29,$D29,G$7),NOT(frame($C29,$D29,VLOOKUP(VLOOKUP(I$26,FT[],9),Teachers[],MOD(COLUMN(E29),6)+1)))),1,0)</f>
        <v>#NAME?</v>
      </c>
      <c r="J29" s="6">
        <f>IF(AND(frame($C29,$D29,H$7),NOT(frame($C29,$D29,VLOOKUP(VLOOKUP(J$26,FT[],9),Teachers[],MOD(COLUMN(F29),6)+1)))),1,0)</f>
        <v>0</v>
      </c>
      <c r="K29" s="6">
        <f>IF(AND(frame($C29,$D29,I$8),NOT(frame($C29,$D29,VLOOKUP(VLOOKUP(K$26,FT[],9),Teachers[],MOD(COLUMN(H29),6)+1)))),1,0)</f>
        <v>0</v>
      </c>
      <c r="L29" s="1">
        <f t="shared" si="9"/>
        <v>0</v>
      </c>
      <c r="M29" s="6">
        <f>IF(AND(frame($C29,$D29,K$8),NOT(frame($C29,$D29,VLOOKUP(VLOOKUP(M$26,FT[],9),Teachers[],MOD(COLUMN(J29),6)+1)))),1,0)</f>
        <v>0</v>
      </c>
      <c r="N29" s="6">
        <f>IF(AND(frame($C29,$D29,L$8),NOT(frame($C29,$D29,VLOOKUP(VLOOKUP(N$26,FT[],9),Teachers[],MOD(COLUMN(K29),6)+1)))),1,0)</f>
        <v>0</v>
      </c>
      <c r="O29" s="6">
        <f>IF(AND(frame($C29,$D29,M$8),NOT(frame($C29,$D29,VLOOKUP(VLOOKUP(O$26,FT[],9),Teachers[],MOD(COLUMN(L29),6)+1)))),1,0)</f>
        <v>0</v>
      </c>
      <c r="P29" s="6">
        <f>IF(AND(frame($C29,$D29,N$8),NOT(frame($C29,$D29,VLOOKUP(VLOOKUP(P$26,FT[],9),Teachers[],MOD(COLUMN(M29),6)+1)))),1,0)</f>
        <v>0</v>
      </c>
      <c r="Q29" s="6">
        <f>IF(AND(frame($C29,$D29,O$8),NOT(frame($C29,$D29,VLOOKUP(VLOOKUP(Q$26,FT[],9),Teachers[],MOD(COLUMN(N29),6)+1)))),1,0)</f>
        <v>0</v>
      </c>
      <c r="R29" s="65">
        <f t="shared" si="10"/>
        <v>0</v>
      </c>
      <c r="S29" s="6">
        <f>IF(AND(frame($C29,$D29,Q$8),NOT(frame($C29,$D29,VLOOKUP(VLOOKUP(S$26,FT[],9),Teachers[],MOD(COLUMN(P29),6)+1)))),1,0)</f>
        <v>0</v>
      </c>
      <c r="T29" s="6">
        <f>IF(AND(frame($C29,$D29,R$8),NOT(frame($C29,$D29,VLOOKUP(VLOOKUP(T$26,FT[],9),Teachers[],MOD(COLUMN(Q29),6)+1)))),1,0)</f>
        <v>0</v>
      </c>
      <c r="U29" s="6">
        <f>IF(AND(frame($C29,$D29,S$8),NOT(frame($C29,$D29,VLOOKUP(VLOOKUP(U$26,FT[],9),Teachers[],MOD(COLUMN(R29),6)+1)))),1,0)</f>
        <v>0</v>
      </c>
      <c r="V29" s="6">
        <f>IF(AND(frame($C29,$D29,T$8),NOT(frame($C29,$D29,VLOOKUP(VLOOKUP(V$26,FT[],9),Teachers[],MOD(COLUMN(S29),6)+1)))),1,0)</f>
        <v>0</v>
      </c>
      <c r="W29" s="6">
        <f>IF(AND(frame($C29,$D29,U$8),NOT(frame($C29,$D29,VLOOKUP(VLOOKUP(W$26,FT[],9),Teachers[],MOD(COLUMN(T29),6)+1)))),1,0)</f>
        <v>0</v>
      </c>
      <c r="X29" s="6">
        <f>IF(AND(frame($C29,$D29,V$8),NOT(frame($C29,$D29,VLOOKUP(VLOOKUP(X$26,FT[],9),Teachers[],MOD(COLUMN(U29),6)+1)))),1,0)</f>
        <v>0</v>
      </c>
      <c r="Y29" s="6">
        <f>IF(AND(frame($C29,$D29,W$8),NOT(frame($C29,$D29,VLOOKUP(VLOOKUP(Y$26,FT[],9),Teachers[],MOD(COLUMN(V29),6)+1)))),1,0)</f>
        <v>0</v>
      </c>
      <c r="Z29" s="6">
        <f>IF(AND(frame($C29,$D29,X$8),NOT(frame($C29,$D29,VLOOKUP(VLOOKUP(Z$26,FT[],9),Teachers[],MOD(COLUMN(W29),6)+1)))),1,0)</f>
        <v>0</v>
      </c>
      <c r="AA29" s="6">
        <f>IF(AND(frame($C29,$D29,Y$8),NOT(frame($C29,$D29,VLOOKUP(VLOOKUP(AA$26,FT[],9),Teachers[],MOD(COLUMN(X29),6)+1)))),1,0)</f>
        <v>0</v>
      </c>
      <c r="AB29" s="6">
        <f>IF(AND(frame($C29,$D29,Z$8),NOT(frame($C29,$D29,VLOOKUP(VLOOKUP(AB$26,FT[],9),Teachers[],MOD(COLUMN(Y29),6)+1)))),1,0)</f>
        <v>0</v>
      </c>
      <c r="AC29" s="6">
        <f>IF(AND(frame($C29,$D29,AA$8),NOT(frame($C29,$D29,VLOOKUP(VLOOKUP(AC$26,FT[],9),Teachers[],MOD(COLUMN(Z29),6)+1)))),1,0)</f>
        <v>0</v>
      </c>
      <c r="AD29" s="6">
        <f>IF(AND(frame($C29,$D29,AB$8),NOT(frame($C29,$D29,VLOOKUP(VLOOKUP(AD$26,FT[],9),Teachers[],MOD(COLUMN(AA29),6)+1)))),1,0)</f>
        <v>0</v>
      </c>
      <c r="AE29" s="6">
        <f>IF(AND(frame($C29,$D29,AC$8),NOT(frame($C29,$D29,VLOOKUP(VLOOKUP(AE$26,FT[],9),Teachers[],MOD(COLUMN(AB29),6)+1)))),1,0)</f>
        <v>0</v>
      </c>
      <c r="AF29" s="6">
        <f>IF(AND(frame($C29,$D29,AD$8),NOT(frame($C29,$D29,VLOOKUP(VLOOKUP(AF$26,FT[],9),Teachers[],MOD(COLUMN(AC29),6)+1)))),1,0)</f>
        <v>0</v>
      </c>
      <c r="AG29" s="6">
        <f>IF(AND(frame($C29,$D29,AE$8),NOT(frame($C29,$D29,VLOOKUP(VLOOKUP(AG$26,FT[],9),Teachers[],MOD(COLUMN(AD29),6)+1)))),1,0)</f>
        <v>0</v>
      </c>
      <c r="AH29" s="6">
        <f>IF(AND(frame($C29,$D29,AF$8),NOT(frame($C29,$D29,VLOOKUP(VLOOKUP(AH$26,FT[],9),Teachers[],MOD(COLUMN(AE29),6)+1)))),1,0)</f>
        <v>0</v>
      </c>
      <c r="AI29" s="6">
        <f>IF(AND(frame($C29,$D29,AG$8),NOT(frame($C29,$D29,VLOOKUP(VLOOKUP(AI$26,FT[],9),Teachers[],MOD(COLUMN(AF29),6)+1)))),1,0)</f>
        <v>0</v>
      </c>
      <c r="AJ29" s="6">
        <f>IF(AND(frame($C29,$D29,AH$8),NOT(frame($C29,$D29,VLOOKUP(VLOOKUP(AJ$26,FT[],9),Teachers[],MOD(COLUMN(AG29),6)+1)))),1,0)</f>
        <v>0</v>
      </c>
      <c r="AK29" s="6">
        <f>IF(AND(frame($C29,$D29,AI$8),NOT(frame($C29,$D29,VLOOKUP(VLOOKUP(AK$26,FT[],9),Teachers[],MOD(COLUMN(AH29),6)+1)))),1,0)</f>
        <v>0</v>
      </c>
      <c r="AL29" s="6">
        <f>IF(AND(frame($C29,$D29,AJ$8),NOT(frame($C29,$D29,VLOOKUP(VLOOKUP(AL$26,FT[],9),Teachers[],MOD(COLUMN(AI29),6)+1)))),1,0)</f>
        <v>0</v>
      </c>
      <c r="AM29" s="6">
        <f>IF(AND(frame($C29,$D29,AK$8),NOT(frame($C29,$D29,VLOOKUP(VLOOKUP(AM$26,FT[],9),Teachers[],MOD(COLUMN(AJ29),6)+1)))),1,0)</f>
        <v>0</v>
      </c>
      <c r="AN29" s="6">
        <f>IF(AND(frame($C29,$D29,AL$8),NOT(frame($C29,$D29,VLOOKUP(VLOOKUP(AN$26,FT[],9),Teachers[],MOD(COLUMN(AK29),6)+1)))),1,0)</f>
        <v>0</v>
      </c>
      <c r="AO29" s="6">
        <f>IF(AND(frame($C29,$D29,AM$8),NOT(frame($C29,$D29,VLOOKUP(VLOOKUP(AO$26,FT[],9),Teachers[],MOD(COLUMN(AL29),6)+1)))),1,0)</f>
        <v>0</v>
      </c>
      <c r="AP29" s="66">
        <f t="shared" si="11"/>
        <v>0</v>
      </c>
      <c r="AQ29" s="6">
        <f>IF(AND(frame($C29,$D29,AO$8),NOT(frame($C29,$D29,VLOOKUP(VLOOKUP(AQ$26,FT[],9),Teachers[],MOD(COLUMN(AN29),6)+1)))),1,0)</f>
        <v>0</v>
      </c>
      <c r="AR29" s="6">
        <f>IF(AND(frame($C29,$D29,AP$8),NOT(frame($C29,$D29,VLOOKUP(VLOOKUP(AR$26,FT[],9),Teachers[],MOD(COLUMN(AO29),6)+1)))),1,0)</f>
        <v>0</v>
      </c>
      <c r="AS29" s="6">
        <f>IF(AND(frame($C29,$D29,AQ$8),NOT(frame($C29,$D29,VLOOKUP(VLOOKUP(AS$26,FT[],9),Teachers[],MOD(COLUMN(AP29),6)+1)))),1,0)</f>
        <v>0</v>
      </c>
      <c r="AT29" s="6">
        <f>IF(AND(frame($C29,$D29,AR$8),NOT(frame($C29,$D29,VLOOKUP(VLOOKUP(AT$26,FT[],9),Teachers[],MOD(COLUMN(AQ29),6)+1)))),1,0)</f>
        <v>0</v>
      </c>
      <c r="AU29" s="6">
        <f>IF(AND(frame($C29,$D29,AS$8),NOT(frame($C29,$D29,VLOOKUP(VLOOKUP(AU$26,FT[],9),Teachers[],MOD(COLUMN(AR29),6)+1)))),1,0)</f>
        <v>0</v>
      </c>
      <c r="AV29" s="6">
        <f>IF(AND(frame($C29,$D29,AT$8),NOT(frame($C29,$D29,VLOOKUP(VLOOKUP(AV$26,FT[],9),Teachers[],MOD(COLUMN(AS29),6)+1)))),1,0)</f>
        <v>0</v>
      </c>
      <c r="AW29" s="6">
        <f>IF(AND(frame($C29,$D29,AU$8),NOT(frame($C29,$D29,VLOOKUP(VLOOKUP(AW$26,FT[],9),Teachers[],MOD(COLUMN(AT29),6)+1)))),1,0)</f>
        <v>0</v>
      </c>
      <c r="AX29" s="6">
        <f>IF(AND(frame($C29,$D29,AV$8),NOT(frame($C29,$D29,VLOOKUP(VLOOKUP(AX$26,FT[],9),Teachers[],MOD(COLUMN(AU29),6)+1)))),1,0)</f>
        <v>0</v>
      </c>
      <c r="AY29" s="6">
        <f>IF(AND(frame($C29,$D29,AW$8),NOT(frame($C29,$D29,VLOOKUP(VLOOKUP(AY$26,FT[],9),Teachers[],MOD(COLUMN(AV29),6)+1)))),1,0)</f>
        <v>0</v>
      </c>
      <c r="AZ29" s="6">
        <f>IF(AND(frame($C29,$D29,AX$8),NOT(frame($C29,$D29,VLOOKUP(VLOOKUP(AZ$26,FT[],9),Teachers[],MOD(COLUMN(AW29),6)+1)))),1,0)</f>
        <v>0</v>
      </c>
      <c r="BA29" s="6">
        <f>IF(AND(frame($C29,$D29,AY$8),NOT(frame($C29,$D29,VLOOKUP(VLOOKUP(BA$26,FT[],9),Teachers[],MOD(COLUMN(AX29),6)+1)))),1,0)</f>
        <v>0</v>
      </c>
      <c r="BB29" s="6">
        <f>IF(AND(frame($C29,$D29,AZ$8),NOT(frame($C29,$D29,VLOOKUP(VLOOKUP(BB$26,FT[],9),Teachers[],MOD(COLUMN(AY29),6)+1)))),1,0)</f>
        <v>0</v>
      </c>
      <c r="BC29" s="6">
        <f>IF(AND(frame($C29,$D29,BA$8),NOT(frame($C29,$D29,VLOOKUP(VLOOKUP(BC$26,FT[],9),Teachers[],MOD(COLUMN(AZ29),6)+1)))),1,0)</f>
        <v>0</v>
      </c>
      <c r="BD29" s="6">
        <f>IF(AND(frame($C29,$D29,BB$8),NOT(frame($C29,$D29,VLOOKUP(VLOOKUP(BD$26,FT[],9),Teachers[],MOD(COLUMN(BA29),6)+1)))),1,0)</f>
        <v>0</v>
      </c>
      <c r="BE29" s="6">
        <f>IF(AND(frame($C29,$D29,BC$8),NOT(frame($C29,$D29,VLOOKUP(VLOOKUP(BE$26,FT[],9),Teachers[],MOD(COLUMN(BB29),6)+1)))),1,0)</f>
        <v>0</v>
      </c>
      <c r="BF29" s="6">
        <f>IF(AND(frame($C29,$D29,BD$8),NOT(frame($C29,$D29,VLOOKUP(VLOOKUP(BF$26,FT[],9),Teachers[],MOD(COLUMN(BC29),6)+1)))),1,0)</f>
        <v>0</v>
      </c>
      <c r="BG29" s="6">
        <f>IF(AND(frame($C29,$D29,BE$8),NOT(frame($C29,$D29,VLOOKUP(VLOOKUP(BG$26,FT[],9),Teachers[],MOD(COLUMN(BD29),6)+1)))),1,0)</f>
        <v>0</v>
      </c>
      <c r="BH29" s="6">
        <f>IF(AND(frame($C29,$D29,BF$8),NOT(frame($C29,$D29,VLOOKUP(VLOOKUP(BH$26,FT[],9),Teachers[],MOD(COLUMN(BE29),6)+1)))),1,0)</f>
        <v>0</v>
      </c>
      <c r="BI29" s="6">
        <f>IF(AND(frame($C29,$D29,BG$8),NOT(frame($C29,$D29,VLOOKUP(VLOOKUP(BI$26,FT[],9),Teachers[],MOD(COLUMN(BF29),6)+1)))),1,0)</f>
        <v>0</v>
      </c>
      <c r="BJ29" s="6">
        <f>IF(AND(frame($C29,$D29,BH$8),NOT(frame($C29,$D29,VLOOKUP(VLOOKUP(BJ$26,FT[],9),Teachers[],MOD(COLUMN(BG29),6)+1)))),1,0)</f>
        <v>0</v>
      </c>
      <c r="BK29" s="6">
        <f>IF(AND(frame($C29,$D29,BI$8),NOT(frame($C29,$D29,VLOOKUP(VLOOKUP(BK$26,FT[],9),Teachers[],MOD(COLUMN(BH29),6)+1)))),1,0)</f>
        <v>0</v>
      </c>
      <c r="BL29" s="6">
        <f>IF(AND(frame($C29,$D29,BJ$8),NOT(frame($C29,$D29,VLOOKUP(VLOOKUP(BL$26,FT[],9),Teachers[],MOD(COLUMN(BI29),6)+1)))),1,0)</f>
        <v>0</v>
      </c>
    </row>
    <row r="30" spans="1:100" ht="15.75" thickBot="1">
      <c r="B30" s="1">
        <v>3</v>
      </c>
      <c r="C30" s="9">
        <v>0.36458333333333331</v>
      </c>
      <c r="D30" s="9">
        <v>0.39583333333333331</v>
      </c>
      <c r="E30" s="6" t="e">
        <f ca="1">frame(СВ[[#This Row],[49]],СВ[[#This Row],[Столбец1]],C9,C23)</f>
        <v>#NAME?</v>
      </c>
      <c r="F30" s="6">
        <f>IF(AND(frame($C30,$D30,D$7),NOT(frame($C30,$D30,VLOOKUP(VLOOKUP(F$26,FT[],9),Teachers[],MOD(COLUMN(B30),6)+1)))),1,0)</f>
        <v>0</v>
      </c>
      <c r="G30" s="6">
        <f>IF(AND(frame($C30,$D30,E$7),NOT(frame($C30,$D30,VLOOKUP(VLOOKUP(G$26,FT[],9),Teachers[],MOD(COLUMN(C30),6)+1)))),1,0)</f>
        <v>0</v>
      </c>
      <c r="H30" s="6">
        <f>IF(AND(frame($C30,$D30,F$7),NOT(frame($C30,$D30,VLOOKUP(VLOOKUP(H$26,FT[],9),Teachers[],MOD(COLUMN(D30),6)+1)))),1,0)</f>
        <v>0</v>
      </c>
      <c r="I30" s="6" t="e">
        <f ca="1">IF(AND(frame($C30,$D30,G$7),NOT(frame($C30,$D30,VLOOKUP(VLOOKUP(I$26,FT[],9),Teachers[],MOD(COLUMN(E30),6)+1)))),1,0)</f>
        <v>#NAME?</v>
      </c>
      <c r="J30" s="6">
        <f>IF(AND(frame($C30,$D30,H$7),NOT(frame($C30,$D30,VLOOKUP(VLOOKUP(J$26,FT[],9),Teachers[],MOD(COLUMN(F30),6)+1)))),1,0)</f>
        <v>0</v>
      </c>
      <c r="K30" s="6">
        <f>IF(AND(frame($C30,$D30,I$8),NOT(frame($C30,$D30,VLOOKUP(VLOOKUP(K$26,FT[],9),Teachers[],MOD(COLUMN(H30),6)+1)))),1,0)</f>
        <v>0</v>
      </c>
      <c r="L30" s="1">
        <f t="shared" si="9"/>
        <v>0</v>
      </c>
      <c r="M30" s="6">
        <f>IF(AND(frame($C30,$D30,K$8),NOT(frame($C30,$D30,VLOOKUP(VLOOKUP(M$26,FT[],9),Teachers[],MOD(COLUMN(J30),6)+1)))),1,0)</f>
        <v>0</v>
      </c>
      <c r="N30" s="6">
        <f>IF(AND(frame($C30,$D30,L$8),NOT(frame($C30,$D30,VLOOKUP(VLOOKUP(N$26,FT[],9),Teachers[],MOD(COLUMN(K30),6)+1)))),1,0)</f>
        <v>0</v>
      </c>
      <c r="O30" s="6">
        <f>IF(AND(frame($C30,$D30,M$8),NOT(frame($C30,$D30,VLOOKUP(VLOOKUP(O$26,FT[],9),Teachers[],MOD(COLUMN(L30),6)+1)))),1,0)</f>
        <v>0</v>
      </c>
      <c r="P30" s="6">
        <f>IF(AND(frame($C30,$D30,N$8),NOT(frame($C30,$D30,VLOOKUP(VLOOKUP(P$26,FT[],9),Teachers[],MOD(COLUMN(M30),6)+1)))),1,0)</f>
        <v>0</v>
      </c>
      <c r="Q30" s="6">
        <f>IF(AND(frame($C30,$D30,O$8),NOT(frame($C30,$D30,VLOOKUP(VLOOKUP(Q$26,FT[],9),Teachers[],MOD(COLUMN(N30),6)+1)))),1,0)</f>
        <v>0</v>
      </c>
      <c r="R30" s="65">
        <f t="shared" si="10"/>
        <v>0</v>
      </c>
      <c r="S30" s="6">
        <f>IF(AND(frame($C30,$D30,Q$8),NOT(frame($C30,$D30,VLOOKUP(VLOOKUP(S$26,FT[],9),Teachers[],MOD(COLUMN(P30),6)+1)))),1,0)</f>
        <v>0</v>
      </c>
      <c r="T30" s="6">
        <f>IF(AND(frame($C30,$D30,R$8),NOT(frame($C30,$D30,VLOOKUP(VLOOKUP(T$26,FT[],9),Teachers[],MOD(COLUMN(Q30),6)+1)))),1,0)</f>
        <v>0</v>
      </c>
      <c r="U30" s="6">
        <f>IF(AND(frame($C30,$D30,S$8),NOT(frame($C30,$D30,VLOOKUP(VLOOKUP(U$26,FT[],9),Teachers[],MOD(COLUMN(R30),6)+1)))),1,0)</f>
        <v>0</v>
      </c>
      <c r="V30" s="6">
        <f>IF(AND(frame($C30,$D30,T$8),NOT(frame($C30,$D30,VLOOKUP(VLOOKUP(V$26,FT[],9),Teachers[],MOD(COLUMN(S30),6)+1)))),1,0)</f>
        <v>0</v>
      </c>
      <c r="W30" s="6">
        <f>IF(AND(frame($C30,$D30,U$8),NOT(frame($C30,$D30,VLOOKUP(VLOOKUP(W$26,FT[],9),Teachers[],MOD(COLUMN(T30),6)+1)))),1,0)</f>
        <v>0</v>
      </c>
      <c r="X30" s="6">
        <f>IF(AND(frame($C30,$D30,V$8),NOT(frame($C30,$D30,VLOOKUP(VLOOKUP(X$26,FT[],9),Teachers[],MOD(COLUMN(U30),6)+1)))),1,0)</f>
        <v>0</v>
      </c>
      <c r="Y30" s="6">
        <f>IF(AND(frame($C30,$D30,W$8),NOT(frame($C30,$D30,VLOOKUP(VLOOKUP(Y$26,FT[],9),Teachers[],MOD(COLUMN(V30),6)+1)))),1,0)</f>
        <v>0</v>
      </c>
      <c r="Z30" s="6">
        <f>IF(AND(frame($C30,$D30,X$8),NOT(frame($C30,$D30,VLOOKUP(VLOOKUP(Z$26,FT[],9),Teachers[],MOD(COLUMN(W30),6)+1)))),1,0)</f>
        <v>0</v>
      </c>
      <c r="AA30" s="6">
        <f>IF(AND(frame($C30,$D30,Y$8),NOT(frame($C30,$D30,VLOOKUP(VLOOKUP(AA$26,FT[],9),Teachers[],MOD(COLUMN(X30),6)+1)))),1,0)</f>
        <v>0</v>
      </c>
      <c r="AB30" s="6">
        <f>IF(AND(frame($C30,$D30,Z$8),NOT(frame($C30,$D30,VLOOKUP(VLOOKUP(AB$26,FT[],9),Teachers[],MOD(COLUMN(Y30),6)+1)))),1,0)</f>
        <v>0</v>
      </c>
      <c r="AC30" s="6">
        <f>IF(AND(frame($C30,$D30,AA$8),NOT(frame($C30,$D30,VLOOKUP(VLOOKUP(AC$26,FT[],9),Teachers[],MOD(COLUMN(Z30),6)+1)))),1,0)</f>
        <v>0</v>
      </c>
      <c r="AD30" s="6">
        <f>IF(AND(frame($C30,$D30,AB$8),NOT(frame($C30,$D30,VLOOKUP(VLOOKUP(AD$26,FT[],9),Teachers[],MOD(COLUMN(AA30),6)+1)))),1,0)</f>
        <v>0</v>
      </c>
      <c r="AE30" s="6">
        <f>IF(AND(frame($C30,$D30,AC$8),NOT(frame($C30,$D30,VLOOKUP(VLOOKUP(AE$26,FT[],9),Teachers[],MOD(COLUMN(AB30),6)+1)))),1,0)</f>
        <v>0</v>
      </c>
      <c r="AF30" s="6">
        <f>IF(AND(frame($C30,$D30,AD$8),NOT(frame($C30,$D30,VLOOKUP(VLOOKUP(AF$26,FT[],9),Teachers[],MOD(COLUMN(AC30),6)+1)))),1,0)</f>
        <v>0</v>
      </c>
      <c r="AG30" s="6">
        <f>IF(AND(frame($C30,$D30,AE$8),NOT(frame($C30,$D30,VLOOKUP(VLOOKUP(AG$26,FT[],9),Teachers[],MOD(COLUMN(AD30),6)+1)))),1,0)</f>
        <v>0</v>
      </c>
      <c r="AH30" s="6">
        <f>IF(AND(frame($C30,$D30,AF$8),NOT(frame($C30,$D30,VLOOKUP(VLOOKUP(AH$26,FT[],9),Teachers[],MOD(COLUMN(AE30),6)+1)))),1,0)</f>
        <v>0</v>
      </c>
      <c r="AI30" s="6">
        <f>IF(AND(frame($C30,$D30,AG$8),NOT(frame($C30,$D30,VLOOKUP(VLOOKUP(AI$26,FT[],9),Teachers[],MOD(COLUMN(AF30),6)+1)))),1,0)</f>
        <v>0</v>
      </c>
      <c r="AJ30" s="6">
        <f>IF(AND(frame($C30,$D30,AH$8),NOT(frame($C30,$D30,VLOOKUP(VLOOKUP(AJ$26,FT[],9),Teachers[],MOD(COLUMN(AG30),6)+1)))),1,0)</f>
        <v>0</v>
      </c>
      <c r="AK30" s="6">
        <f>IF(AND(frame($C30,$D30,AI$8),NOT(frame($C30,$D30,VLOOKUP(VLOOKUP(AK$26,FT[],9),Teachers[],MOD(COLUMN(AH30),6)+1)))),1,0)</f>
        <v>0</v>
      </c>
      <c r="AL30" s="6">
        <f>IF(AND(frame($C30,$D30,AJ$8),NOT(frame($C30,$D30,VLOOKUP(VLOOKUP(AL$26,FT[],9),Teachers[],MOD(COLUMN(AI30),6)+1)))),1,0)</f>
        <v>0</v>
      </c>
      <c r="AM30" s="6">
        <f>IF(AND(frame($C30,$D30,AK$8),NOT(frame($C30,$D30,VLOOKUP(VLOOKUP(AM$26,FT[],9),Teachers[],MOD(COLUMN(AJ30),6)+1)))),1,0)</f>
        <v>0</v>
      </c>
      <c r="AN30" s="6">
        <f>IF(AND(frame($C30,$D30,AL$8),NOT(frame($C30,$D30,VLOOKUP(VLOOKUP(AN$26,FT[],9),Teachers[],MOD(COLUMN(AK30),6)+1)))),1,0)</f>
        <v>0</v>
      </c>
      <c r="AO30" s="6">
        <f>IF(AND(frame($C30,$D30,AM$8),NOT(frame($C30,$D30,VLOOKUP(VLOOKUP(AO$26,FT[],9),Teachers[],MOD(COLUMN(AL30),6)+1)))),1,0)</f>
        <v>0</v>
      </c>
      <c r="AP30" s="66">
        <f t="shared" si="11"/>
        <v>0</v>
      </c>
      <c r="AQ30" s="6">
        <f>IF(AND(frame($C30,$D30,AO$8),NOT(frame($C30,$D30,VLOOKUP(VLOOKUP(AQ$26,FT[],9),Teachers[],MOD(COLUMN(AN30),6)+1)))),1,0)</f>
        <v>0</v>
      </c>
      <c r="AR30" s="6">
        <f>IF(AND(frame($C30,$D30,AP$8),NOT(frame($C30,$D30,VLOOKUP(VLOOKUP(AR$26,FT[],9),Teachers[],MOD(COLUMN(AO30),6)+1)))),1,0)</f>
        <v>0</v>
      </c>
      <c r="AS30" s="6">
        <f>IF(AND(frame($C30,$D30,AQ$8),NOT(frame($C30,$D30,VLOOKUP(VLOOKUP(AS$26,FT[],9),Teachers[],MOD(COLUMN(AP30),6)+1)))),1,0)</f>
        <v>0</v>
      </c>
      <c r="AT30" s="6">
        <f>IF(AND(frame($C30,$D30,AR$8),NOT(frame($C30,$D30,VLOOKUP(VLOOKUP(AT$26,FT[],9),Teachers[],MOD(COLUMN(AQ30),6)+1)))),1,0)</f>
        <v>0</v>
      </c>
      <c r="AU30" s="6">
        <f>IF(AND(frame($C30,$D30,AS$8),NOT(frame($C30,$D30,VLOOKUP(VLOOKUP(AU$26,FT[],9),Teachers[],MOD(COLUMN(AR30),6)+1)))),1,0)</f>
        <v>0</v>
      </c>
      <c r="AV30" s="6">
        <f>IF(AND(frame($C30,$D30,AT$8),NOT(frame($C30,$D30,VLOOKUP(VLOOKUP(AV$26,FT[],9),Teachers[],MOD(COLUMN(AS30),6)+1)))),1,0)</f>
        <v>0</v>
      </c>
      <c r="AW30" s="6">
        <f>IF(AND(frame($C30,$D30,AU$8),NOT(frame($C30,$D30,VLOOKUP(VLOOKUP(AW$26,FT[],9),Teachers[],MOD(COLUMN(AT30),6)+1)))),1,0)</f>
        <v>0</v>
      </c>
      <c r="AX30" s="6">
        <f>IF(AND(frame($C30,$D30,AV$8),NOT(frame($C30,$D30,VLOOKUP(VLOOKUP(AX$26,FT[],9),Teachers[],MOD(COLUMN(AU30),6)+1)))),1,0)</f>
        <v>0</v>
      </c>
      <c r="AY30" s="6">
        <f>IF(AND(frame($C30,$D30,AW$8),NOT(frame($C30,$D30,VLOOKUP(VLOOKUP(AY$26,FT[],9),Teachers[],MOD(COLUMN(AV30),6)+1)))),1,0)</f>
        <v>0</v>
      </c>
      <c r="AZ30" s="6">
        <f>IF(AND(frame($C30,$D30,AX$8),NOT(frame($C30,$D30,VLOOKUP(VLOOKUP(AZ$26,FT[],9),Teachers[],MOD(COLUMN(AW30),6)+1)))),1,0)</f>
        <v>0</v>
      </c>
      <c r="BA30" s="6">
        <f>IF(AND(frame($C30,$D30,AY$8),NOT(frame($C30,$D30,VLOOKUP(VLOOKUP(BA$26,FT[],9),Teachers[],MOD(COLUMN(AX30),6)+1)))),1,0)</f>
        <v>0</v>
      </c>
      <c r="BB30" s="6">
        <f>IF(AND(frame($C30,$D30,AZ$8),NOT(frame($C30,$D30,VLOOKUP(VLOOKUP(BB$26,FT[],9),Teachers[],MOD(COLUMN(AY30),6)+1)))),1,0)</f>
        <v>0</v>
      </c>
      <c r="BC30" s="6">
        <f>IF(AND(frame($C30,$D30,BA$8),NOT(frame($C30,$D30,VLOOKUP(VLOOKUP(BC$26,FT[],9),Teachers[],MOD(COLUMN(AZ30),6)+1)))),1,0)</f>
        <v>0</v>
      </c>
      <c r="BD30" s="6">
        <f>IF(AND(frame($C30,$D30,BB$8),NOT(frame($C30,$D30,VLOOKUP(VLOOKUP(BD$26,FT[],9),Teachers[],MOD(COLUMN(BA30),6)+1)))),1,0)</f>
        <v>0</v>
      </c>
      <c r="BE30" s="6">
        <f>IF(AND(frame($C30,$D30,BC$8),NOT(frame($C30,$D30,VLOOKUP(VLOOKUP(BE$26,FT[],9),Teachers[],MOD(COLUMN(BB30),6)+1)))),1,0)</f>
        <v>0</v>
      </c>
      <c r="BF30" s="6">
        <f>IF(AND(frame($C30,$D30,BD$8),NOT(frame($C30,$D30,VLOOKUP(VLOOKUP(BF$26,FT[],9),Teachers[],MOD(COLUMN(BC30),6)+1)))),1,0)</f>
        <v>0</v>
      </c>
      <c r="BG30" s="6">
        <f>IF(AND(frame($C30,$D30,BE$8),NOT(frame($C30,$D30,VLOOKUP(VLOOKUP(BG$26,FT[],9),Teachers[],MOD(COLUMN(BD30),6)+1)))),1,0)</f>
        <v>0</v>
      </c>
      <c r="BH30" s="6">
        <f>IF(AND(frame($C30,$D30,BF$8),NOT(frame($C30,$D30,VLOOKUP(VLOOKUP(BH$26,FT[],9),Teachers[],MOD(COLUMN(BE30),6)+1)))),1,0)</f>
        <v>0</v>
      </c>
      <c r="BI30" s="6">
        <f>IF(AND(frame($C30,$D30,BG$8),NOT(frame($C30,$D30,VLOOKUP(VLOOKUP(BI$26,FT[],9),Teachers[],MOD(COLUMN(BF30),6)+1)))),1,0)</f>
        <v>0</v>
      </c>
      <c r="BJ30" s="6">
        <f>IF(AND(frame($C30,$D30,BH$8),NOT(frame($C30,$D30,VLOOKUP(VLOOKUP(BJ$26,FT[],9),Teachers[],MOD(COLUMN(BG30),6)+1)))),1,0)</f>
        <v>0</v>
      </c>
      <c r="BK30" s="6">
        <f>IF(AND(frame($C30,$D30,BI$8),NOT(frame($C30,$D30,VLOOKUP(VLOOKUP(BK$26,FT[],9),Teachers[],MOD(COLUMN(BH30),6)+1)))),1,0)</f>
        <v>0</v>
      </c>
      <c r="BL30" s="6">
        <f>IF(AND(frame($C30,$D30,BJ$8),NOT(frame($C30,$D30,VLOOKUP(VLOOKUP(BL$26,FT[],9),Teachers[],MOD(COLUMN(BI30),6)+1)))),1,0)</f>
        <v>0</v>
      </c>
    </row>
    <row r="31" spans="1:100" ht="15.75" thickBot="1">
      <c r="B31" s="1">
        <v>4</v>
      </c>
      <c r="C31" s="9">
        <v>0.375</v>
      </c>
      <c r="D31" s="9">
        <v>0.40625</v>
      </c>
      <c r="E31" s="6" t="e">
        <f ca="1">frame(СВ[[#This Row],[49]],СВ[[#This Row],[Столбец1]],C10,C24)</f>
        <v>#NAME?</v>
      </c>
      <c r="F31" s="6">
        <f>IF(AND(frame($C31,$D31,D$7),NOT(frame($C31,$D31,VLOOKUP(VLOOKUP(F$26,FT[],9),Teachers[],MOD(COLUMN(B31),6)+1)))),1,0)</f>
        <v>0</v>
      </c>
      <c r="G31" s="6">
        <f>IF(AND(frame($C31,$D31,E$7),NOT(frame($C31,$D31,VLOOKUP(VLOOKUP(G$26,FT[],9),Teachers[],MOD(COLUMN(C31),6)+1)))),1,0)</f>
        <v>0</v>
      </c>
      <c r="H31" s="6">
        <f>IF(AND(frame($C31,$D31,F$7),NOT(frame($C31,$D31,VLOOKUP(VLOOKUP(H$26,FT[],9),Teachers[],MOD(COLUMN(D31),6)+1)))),1,0)</f>
        <v>0</v>
      </c>
      <c r="I31" s="6" t="e">
        <f ca="1">IF(AND(frame($C31,$D31,G$7),NOT(frame($C31,$D31,VLOOKUP(VLOOKUP(I$26,FT[],9),Teachers[],MOD(COLUMN(E31),6)+1)))),1,0)</f>
        <v>#NAME?</v>
      </c>
      <c r="J31" s="6">
        <f>IF(AND(frame($C31,$D31,H$7),NOT(frame($C31,$D31,VLOOKUP(VLOOKUP(J$26,FT[],9),Teachers[],MOD(COLUMN(F31),6)+1)))),1,0)</f>
        <v>0</v>
      </c>
      <c r="K31" s="6">
        <f>IF(AND(frame($C31,$D31,I$8),NOT(frame($C31,$D31,VLOOKUP(VLOOKUP(K$26,FT[],9),Teachers[],MOD(COLUMN(H31),6)+1)))),1,0)</f>
        <v>0</v>
      </c>
      <c r="L31" s="1">
        <f t="shared" si="9"/>
        <v>0</v>
      </c>
      <c r="M31" s="6">
        <f>IF(AND(frame($C31,$D31,K$8),NOT(frame($C31,$D31,VLOOKUP(VLOOKUP(M$26,FT[],9),Teachers[],MOD(COLUMN(J31),6)+1)))),1,0)</f>
        <v>0</v>
      </c>
      <c r="N31" s="6">
        <f>IF(AND(frame($C31,$D31,L$8),NOT(frame($C31,$D31,VLOOKUP(VLOOKUP(N$26,FT[],9),Teachers[],MOD(COLUMN(K31),6)+1)))),1,0)</f>
        <v>0</v>
      </c>
      <c r="O31" s="6">
        <f>IF(AND(frame($C31,$D31,M$8),NOT(frame($C31,$D31,VLOOKUP(VLOOKUP(O$26,FT[],9),Teachers[],MOD(COLUMN(L31),6)+1)))),1,0)</f>
        <v>0</v>
      </c>
      <c r="P31" s="6">
        <f>IF(AND(frame($C31,$D31,N$8),NOT(frame($C31,$D31,VLOOKUP(VLOOKUP(P$26,FT[],9),Teachers[],MOD(COLUMN(M31),6)+1)))),1,0)</f>
        <v>0</v>
      </c>
      <c r="Q31" s="6">
        <f>IF(AND(frame($C31,$D31,O$8),NOT(frame($C31,$D31,VLOOKUP(VLOOKUP(Q$26,FT[],9),Teachers[],MOD(COLUMN(N31),6)+1)))),1,0)</f>
        <v>0</v>
      </c>
      <c r="R31" s="65">
        <f t="shared" si="10"/>
        <v>0</v>
      </c>
      <c r="S31" s="6">
        <f>IF(AND(frame($C31,$D31,Q$8),NOT(frame($C31,$D31,VLOOKUP(VLOOKUP(S$26,FT[],9),Teachers[],MOD(COLUMN(P31),6)+1)))),1,0)</f>
        <v>0</v>
      </c>
      <c r="T31" s="6">
        <f>IF(AND(frame($C31,$D31,R$8),NOT(frame($C31,$D31,VLOOKUP(VLOOKUP(T$26,FT[],9),Teachers[],MOD(COLUMN(Q31),6)+1)))),1,0)</f>
        <v>0</v>
      </c>
      <c r="U31" s="6">
        <f>IF(AND(frame($C31,$D31,S$8),NOT(frame($C31,$D31,VLOOKUP(VLOOKUP(U$26,FT[],9),Teachers[],MOD(COLUMN(R31),6)+1)))),1,0)</f>
        <v>0</v>
      </c>
      <c r="V31" s="6">
        <f>IF(AND(frame($C31,$D31,T$8),NOT(frame($C31,$D31,VLOOKUP(VLOOKUP(V$26,FT[],9),Teachers[],MOD(COLUMN(S31),6)+1)))),1,0)</f>
        <v>0</v>
      </c>
      <c r="W31" s="6">
        <f>IF(AND(frame($C31,$D31,U$8),NOT(frame($C31,$D31,VLOOKUP(VLOOKUP(W$26,FT[],9),Teachers[],MOD(COLUMN(T31),6)+1)))),1,0)</f>
        <v>0</v>
      </c>
      <c r="X31" s="6">
        <f>IF(AND(frame($C31,$D31,V$8),NOT(frame($C31,$D31,VLOOKUP(VLOOKUP(X$26,FT[],9),Teachers[],MOD(COLUMN(U31),6)+1)))),1,0)</f>
        <v>0</v>
      </c>
      <c r="Y31" s="6">
        <f>IF(AND(frame($C31,$D31,W$8),NOT(frame($C31,$D31,VLOOKUP(VLOOKUP(Y$26,FT[],9),Teachers[],MOD(COLUMN(V31),6)+1)))),1,0)</f>
        <v>0</v>
      </c>
      <c r="Z31" s="6">
        <f>IF(AND(frame($C31,$D31,X$8),NOT(frame($C31,$D31,VLOOKUP(VLOOKUP(Z$26,FT[],9),Teachers[],MOD(COLUMN(W31),6)+1)))),1,0)</f>
        <v>0</v>
      </c>
      <c r="AA31" s="6">
        <f>IF(AND(frame($C31,$D31,Y$8),NOT(frame($C31,$D31,VLOOKUP(VLOOKUP(AA$26,FT[],9),Teachers[],MOD(COLUMN(X31),6)+1)))),1,0)</f>
        <v>0</v>
      </c>
      <c r="AB31" s="6">
        <f>IF(AND(frame($C31,$D31,Z$8),NOT(frame($C31,$D31,VLOOKUP(VLOOKUP(AB$26,FT[],9),Teachers[],MOD(COLUMN(Y31),6)+1)))),1,0)</f>
        <v>0</v>
      </c>
      <c r="AC31" s="6">
        <f>IF(AND(frame($C31,$D31,AA$8),NOT(frame($C31,$D31,VLOOKUP(VLOOKUP(AC$26,FT[],9),Teachers[],MOD(COLUMN(Z31),6)+1)))),1,0)</f>
        <v>0</v>
      </c>
      <c r="AD31" s="6">
        <f>IF(AND(frame($C31,$D31,AB$8),NOT(frame($C31,$D31,VLOOKUP(VLOOKUP(AD$26,FT[],9),Teachers[],MOD(COLUMN(AA31),6)+1)))),1,0)</f>
        <v>0</v>
      </c>
      <c r="AE31" s="6">
        <f>IF(AND(frame($C31,$D31,AC$8),NOT(frame($C31,$D31,VLOOKUP(VLOOKUP(AE$26,FT[],9),Teachers[],MOD(COLUMN(AB31),6)+1)))),1,0)</f>
        <v>0</v>
      </c>
      <c r="AF31" s="6">
        <f>IF(AND(frame($C31,$D31,AD$8),NOT(frame($C31,$D31,VLOOKUP(VLOOKUP(AF$26,FT[],9),Teachers[],MOD(COLUMN(AC31),6)+1)))),1,0)</f>
        <v>0</v>
      </c>
      <c r="AG31" s="6">
        <f>IF(AND(frame($C31,$D31,AE$8),NOT(frame($C31,$D31,VLOOKUP(VLOOKUP(AG$26,FT[],9),Teachers[],MOD(COLUMN(AD31),6)+1)))),1,0)</f>
        <v>0</v>
      </c>
      <c r="AH31" s="6">
        <f>IF(AND(frame($C31,$D31,AF$8),NOT(frame($C31,$D31,VLOOKUP(VLOOKUP(AH$26,FT[],9),Teachers[],MOD(COLUMN(AE31),6)+1)))),1,0)</f>
        <v>0</v>
      </c>
      <c r="AI31" s="6">
        <f>IF(AND(frame($C31,$D31,AG$8),NOT(frame($C31,$D31,VLOOKUP(VLOOKUP(AI$26,FT[],9),Teachers[],MOD(COLUMN(AF31),6)+1)))),1,0)</f>
        <v>0</v>
      </c>
      <c r="AJ31" s="6">
        <f>IF(AND(frame($C31,$D31,AH$8),NOT(frame($C31,$D31,VLOOKUP(VLOOKUP(AJ$26,FT[],9),Teachers[],MOD(COLUMN(AG31),6)+1)))),1,0)</f>
        <v>0</v>
      </c>
      <c r="AK31" s="6">
        <f>IF(AND(frame($C31,$D31,AI$8),NOT(frame($C31,$D31,VLOOKUP(VLOOKUP(AK$26,FT[],9),Teachers[],MOD(COLUMN(AH31),6)+1)))),1,0)</f>
        <v>0</v>
      </c>
      <c r="AL31" s="6">
        <f>IF(AND(frame($C31,$D31,AJ$8),NOT(frame($C31,$D31,VLOOKUP(VLOOKUP(AL$26,FT[],9),Teachers[],MOD(COLUMN(AI31),6)+1)))),1,0)</f>
        <v>0</v>
      </c>
      <c r="AM31" s="6">
        <f>IF(AND(frame($C31,$D31,AK$8),NOT(frame($C31,$D31,VLOOKUP(VLOOKUP(AM$26,FT[],9),Teachers[],MOD(COLUMN(AJ31),6)+1)))),1,0)</f>
        <v>0</v>
      </c>
      <c r="AN31" s="6">
        <f>IF(AND(frame($C31,$D31,AL$8),NOT(frame($C31,$D31,VLOOKUP(VLOOKUP(AN$26,FT[],9),Teachers[],MOD(COLUMN(AK31),6)+1)))),1,0)</f>
        <v>0</v>
      </c>
      <c r="AO31" s="6">
        <f>IF(AND(frame($C31,$D31,AM$8),NOT(frame($C31,$D31,VLOOKUP(VLOOKUP(AO$26,FT[],9),Teachers[],MOD(COLUMN(AL31),6)+1)))),1,0)</f>
        <v>0</v>
      </c>
      <c r="AP31" s="66">
        <f t="shared" si="11"/>
        <v>0</v>
      </c>
      <c r="AQ31" s="6">
        <f>IF(AND(frame($C31,$D31,AO$8),NOT(frame($C31,$D31,VLOOKUP(VLOOKUP(AQ$26,FT[],9),Teachers[],MOD(COLUMN(AN31),6)+1)))),1,0)</f>
        <v>0</v>
      </c>
      <c r="AR31" s="6">
        <f>IF(AND(frame($C31,$D31,AP$8),NOT(frame($C31,$D31,VLOOKUP(VLOOKUP(AR$26,FT[],9),Teachers[],MOD(COLUMN(AO31),6)+1)))),1,0)</f>
        <v>0</v>
      </c>
      <c r="AS31" s="6">
        <f>IF(AND(frame($C31,$D31,AQ$8),NOT(frame($C31,$D31,VLOOKUP(VLOOKUP(AS$26,FT[],9),Teachers[],MOD(COLUMN(AP31),6)+1)))),1,0)</f>
        <v>0</v>
      </c>
      <c r="AT31" s="6">
        <f>IF(AND(frame($C31,$D31,AR$8),NOT(frame($C31,$D31,VLOOKUP(VLOOKUP(AT$26,FT[],9),Teachers[],MOD(COLUMN(AQ31),6)+1)))),1,0)</f>
        <v>0</v>
      </c>
      <c r="AU31" s="6">
        <f>IF(AND(frame($C31,$D31,AS$8),NOT(frame($C31,$D31,VLOOKUP(VLOOKUP(AU$26,FT[],9),Teachers[],MOD(COLUMN(AR31),6)+1)))),1,0)</f>
        <v>0</v>
      </c>
      <c r="AV31" s="6">
        <f>IF(AND(frame($C31,$D31,AT$8),NOT(frame($C31,$D31,VLOOKUP(VLOOKUP(AV$26,FT[],9),Teachers[],MOD(COLUMN(AS31),6)+1)))),1,0)</f>
        <v>0</v>
      </c>
      <c r="AW31" s="6">
        <f>IF(AND(frame($C31,$D31,AU$8),NOT(frame($C31,$D31,VLOOKUP(VLOOKUP(AW$26,FT[],9),Teachers[],MOD(COLUMN(AT31),6)+1)))),1,0)</f>
        <v>0</v>
      </c>
      <c r="AX31" s="6">
        <f>IF(AND(frame($C31,$D31,AV$8),NOT(frame($C31,$D31,VLOOKUP(VLOOKUP(AX$26,FT[],9),Teachers[],MOD(COLUMN(AU31),6)+1)))),1,0)</f>
        <v>0</v>
      </c>
      <c r="AY31" s="6">
        <f>IF(AND(frame($C31,$D31,AW$8),NOT(frame($C31,$D31,VLOOKUP(VLOOKUP(AY$26,FT[],9),Teachers[],MOD(COLUMN(AV31),6)+1)))),1,0)</f>
        <v>0</v>
      </c>
      <c r="AZ31" s="6">
        <f>IF(AND(frame($C31,$D31,AX$8),NOT(frame($C31,$D31,VLOOKUP(VLOOKUP(AZ$26,FT[],9),Teachers[],MOD(COLUMN(AW31),6)+1)))),1,0)</f>
        <v>0</v>
      </c>
      <c r="BA31" s="6">
        <f>IF(AND(frame($C31,$D31,AY$8),NOT(frame($C31,$D31,VLOOKUP(VLOOKUP(BA$26,FT[],9),Teachers[],MOD(COLUMN(AX31),6)+1)))),1,0)</f>
        <v>0</v>
      </c>
      <c r="BB31" s="6">
        <f>IF(AND(frame($C31,$D31,AZ$8),NOT(frame($C31,$D31,VLOOKUP(VLOOKUP(BB$26,FT[],9),Teachers[],MOD(COLUMN(AY31),6)+1)))),1,0)</f>
        <v>0</v>
      </c>
      <c r="BC31" s="6">
        <f>IF(AND(frame($C31,$D31,BA$8),NOT(frame($C31,$D31,VLOOKUP(VLOOKUP(BC$26,FT[],9),Teachers[],MOD(COLUMN(AZ31),6)+1)))),1,0)</f>
        <v>0</v>
      </c>
      <c r="BD31" s="6">
        <f>IF(AND(frame($C31,$D31,BB$8),NOT(frame($C31,$D31,VLOOKUP(VLOOKUP(BD$26,FT[],9),Teachers[],MOD(COLUMN(BA31),6)+1)))),1,0)</f>
        <v>0</v>
      </c>
      <c r="BE31" s="6">
        <f>IF(AND(frame($C31,$D31,BC$8),NOT(frame($C31,$D31,VLOOKUP(VLOOKUP(BE$26,FT[],9),Teachers[],MOD(COLUMN(BB31),6)+1)))),1,0)</f>
        <v>0</v>
      </c>
      <c r="BF31" s="6">
        <f>IF(AND(frame($C31,$D31,BD$8),NOT(frame($C31,$D31,VLOOKUP(VLOOKUP(BF$26,FT[],9),Teachers[],MOD(COLUMN(BC31),6)+1)))),1,0)</f>
        <v>0</v>
      </c>
      <c r="BG31" s="6">
        <f>IF(AND(frame($C31,$D31,BE$8),NOT(frame($C31,$D31,VLOOKUP(VLOOKUP(BG$26,FT[],9),Teachers[],MOD(COLUMN(BD31),6)+1)))),1,0)</f>
        <v>0</v>
      </c>
      <c r="BH31" s="6">
        <f>IF(AND(frame($C31,$D31,BF$8),NOT(frame($C31,$D31,VLOOKUP(VLOOKUP(BH$26,FT[],9),Teachers[],MOD(COLUMN(BE31),6)+1)))),1,0)</f>
        <v>0</v>
      </c>
      <c r="BI31" s="6">
        <f>IF(AND(frame($C31,$D31,BG$8),NOT(frame($C31,$D31,VLOOKUP(VLOOKUP(BI$26,FT[],9),Teachers[],MOD(COLUMN(BF31),6)+1)))),1,0)</f>
        <v>0</v>
      </c>
      <c r="BJ31" s="6">
        <f>IF(AND(frame($C31,$D31,BH$8),NOT(frame($C31,$D31,VLOOKUP(VLOOKUP(BJ$26,FT[],9),Teachers[],MOD(COLUMN(BG31),6)+1)))),1,0)</f>
        <v>0</v>
      </c>
      <c r="BK31" s="6">
        <f>IF(AND(frame($C31,$D31,BI$8),NOT(frame($C31,$D31,VLOOKUP(VLOOKUP(BK$26,FT[],9),Teachers[],MOD(COLUMN(BH31),6)+1)))),1,0)</f>
        <v>0</v>
      </c>
      <c r="BL31" s="6">
        <f>IF(AND(frame($C31,$D31,BJ$8),NOT(frame($C31,$D31,VLOOKUP(VLOOKUP(BL$26,FT[],9),Teachers[],MOD(COLUMN(BI31),6)+1)))),1,0)</f>
        <v>0</v>
      </c>
    </row>
    <row r="32" spans="1:100" ht="15.75" thickBot="1">
      <c r="B32" s="1">
        <v>5</v>
      </c>
      <c r="C32" s="9">
        <v>0.375</v>
      </c>
      <c r="D32" s="9">
        <v>0.41666666666666669</v>
      </c>
      <c r="E32" s="6" t="e">
        <f ca="1">frame(СВ[[#This Row],[49]],СВ[[#This Row],[Столбец1]],C11,C25)</f>
        <v>#NAME?</v>
      </c>
      <c r="F32" s="6">
        <f>IF(AND(frame($C32,$D32,D$7),NOT(frame($C32,$D32,VLOOKUP(VLOOKUP(F$26,FT[],9),Teachers[],MOD(COLUMN(B32),6)+1)))),1,0)</f>
        <v>0</v>
      </c>
      <c r="G32" s="6">
        <f>IF(AND(frame($C32,$D32,E$7),NOT(frame($C32,$D32,VLOOKUP(VLOOKUP(G$26,FT[],9),Teachers[],MOD(COLUMN(C32),6)+1)))),1,0)</f>
        <v>0</v>
      </c>
      <c r="H32" s="6">
        <f>IF(AND(frame($C32,$D32,F$7),NOT(frame($C32,$D32,VLOOKUP(VLOOKUP(H$26,FT[],9),Teachers[],MOD(COLUMN(D32),6)+1)))),1,0)</f>
        <v>0</v>
      </c>
      <c r="I32" s="6" t="e">
        <f ca="1">IF(AND(frame($C32,$D32,G$7),NOT(frame($C32,$D32,VLOOKUP(VLOOKUP(I$26,FT[],9),Teachers[],MOD(COLUMN(E32),6)+1)))),1,0)</f>
        <v>#NAME?</v>
      </c>
      <c r="J32" s="6">
        <f>IF(AND(frame($C32,$D32,H$7),NOT(frame($C32,$D32,VLOOKUP(VLOOKUP(J$26,FT[],9),Teachers[],MOD(COLUMN(F32),6)+1)))),1,0)</f>
        <v>0</v>
      </c>
      <c r="K32" s="6">
        <f>IF(AND(frame($C32,$D32,I$8),NOT(frame($C32,$D32,VLOOKUP(VLOOKUP(K$26,FT[],9),Teachers[],MOD(COLUMN(H32),6)+1)))),1,0)</f>
        <v>0</v>
      </c>
      <c r="L32" s="1">
        <f t="shared" si="9"/>
        <v>0</v>
      </c>
      <c r="M32" s="6">
        <f>IF(AND(frame($C32,$D32,K$8),NOT(frame($C32,$D32,VLOOKUP(VLOOKUP(M$26,FT[],9),Teachers[],MOD(COLUMN(J32),6)+1)))),1,0)</f>
        <v>0</v>
      </c>
      <c r="N32" s="6">
        <f>IF(AND(frame($C32,$D32,L$8),NOT(frame($C32,$D32,VLOOKUP(VLOOKUP(N$26,FT[],9),Teachers[],MOD(COLUMN(K32),6)+1)))),1,0)</f>
        <v>0</v>
      </c>
      <c r="O32" s="6">
        <f>IF(AND(frame($C32,$D32,M$8),NOT(frame($C32,$D32,VLOOKUP(VLOOKUP(O$26,FT[],9),Teachers[],MOD(COLUMN(L32),6)+1)))),1,0)</f>
        <v>0</v>
      </c>
      <c r="P32" s="6">
        <f>IF(AND(frame($C32,$D32,N$8),NOT(frame($C32,$D32,VLOOKUP(VLOOKUP(P$26,FT[],9),Teachers[],MOD(COLUMN(M32),6)+1)))),1,0)</f>
        <v>0</v>
      </c>
      <c r="Q32" s="6">
        <f>IF(AND(frame($C32,$D32,O$8),NOT(frame($C32,$D32,VLOOKUP(VLOOKUP(Q$26,FT[],9),Teachers[],MOD(COLUMN(N32),6)+1)))),1,0)</f>
        <v>0</v>
      </c>
      <c r="R32" s="65">
        <f t="shared" si="10"/>
        <v>0</v>
      </c>
      <c r="S32" s="6">
        <f>IF(AND(frame($C32,$D32,Q$8),NOT(frame($C32,$D32,VLOOKUP(VLOOKUP(S$26,FT[],9),Teachers[],MOD(COLUMN(P32),6)+1)))),1,0)</f>
        <v>0</v>
      </c>
      <c r="T32" s="6">
        <f>IF(AND(frame($C32,$D32,R$8),NOT(frame($C32,$D32,VLOOKUP(VLOOKUP(T$26,FT[],9),Teachers[],MOD(COLUMN(Q32),6)+1)))),1,0)</f>
        <v>0</v>
      </c>
      <c r="U32" s="6">
        <f>IF(AND(frame($C32,$D32,S$8),NOT(frame($C32,$D32,VLOOKUP(VLOOKUP(U$26,FT[],9),Teachers[],MOD(COLUMN(R32),6)+1)))),1,0)</f>
        <v>0</v>
      </c>
      <c r="V32" s="6">
        <f>IF(AND(frame($C32,$D32,T$8),NOT(frame($C32,$D32,VLOOKUP(VLOOKUP(V$26,FT[],9),Teachers[],MOD(COLUMN(S32),6)+1)))),1,0)</f>
        <v>0</v>
      </c>
      <c r="W32" s="6">
        <f>IF(AND(frame($C32,$D32,U$8),NOT(frame($C32,$D32,VLOOKUP(VLOOKUP(W$26,FT[],9),Teachers[],MOD(COLUMN(T32),6)+1)))),1,0)</f>
        <v>0</v>
      </c>
      <c r="X32" s="6">
        <f>IF(AND(frame($C32,$D32,V$8),NOT(frame($C32,$D32,VLOOKUP(VLOOKUP(X$26,FT[],9),Teachers[],MOD(COLUMN(U32),6)+1)))),1,0)</f>
        <v>0</v>
      </c>
      <c r="Y32" s="6">
        <f>IF(AND(frame($C32,$D32,W$8),NOT(frame($C32,$D32,VLOOKUP(VLOOKUP(Y$26,FT[],9),Teachers[],MOD(COLUMN(V32),6)+1)))),1,0)</f>
        <v>0</v>
      </c>
      <c r="Z32" s="6">
        <f>IF(AND(frame($C32,$D32,X$8),NOT(frame($C32,$D32,VLOOKUP(VLOOKUP(Z$26,FT[],9),Teachers[],MOD(COLUMN(W32),6)+1)))),1,0)</f>
        <v>0</v>
      </c>
      <c r="AA32" s="6">
        <f>IF(AND(frame($C32,$D32,Y$8),NOT(frame($C32,$D32,VLOOKUP(VLOOKUP(AA$26,FT[],9),Teachers[],MOD(COLUMN(X32),6)+1)))),1,0)</f>
        <v>0</v>
      </c>
      <c r="AB32" s="6">
        <f>IF(AND(frame($C32,$D32,Z$8),NOT(frame($C32,$D32,VLOOKUP(VLOOKUP(AB$26,FT[],9),Teachers[],MOD(COLUMN(Y32),6)+1)))),1,0)</f>
        <v>0</v>
      </c>
      <c r="AC32" s="6">
        <f>IF(AND(frame($C32,$D32,AA$8),NOT(frame($C32,$D32,VLOOKUP(VLOOKUP(AC$26,FT[],9),Teachers[],MOD(COLUMN(Z32),6)+1)))),1,0)</f>
        <v>0</v>
      </c>
      <c r="AD32" s="6">
        <f>IF(AND(frame($C32,$D32,AB$8),NOT(frame($C32,$D32,VLOOKUP(VLOOKUP(AD$26,FT[],9),Teachers[],MOD(COLUMN(AA32),6)+1)))),1,0)</f>
        <v>0</v>
      </c>
      <c r="AE32" s="6">
        <f>IF(AND(frame($C32,$D32,AC$8),NOT(frame($C32,$D32,VLOOKUP(VLOOKUP(AE$26,FT[],9),Teachers[],MOD(COLUMN(AB32),6)+1)))),1,0)</f>
        <v>0</v>
      </c>
      <c r="AF32" s="6">
        <f>IF(AND(frame($C32,$D32,AD$8),NOT(frame($C32,$D32,VLOOKUP(VLOOKUP(AF$26,FT[],9),Teachers[],MOD(COLUMN(AC32),6)+1)))),1,0)</f>
        <v>0</v>
      </c>
      <c r="AG32" s="6">
        <f>IF(AND(frame($C32,$D32,AE$8),NOT(frame($C32,$D32,VLOOKUP(VLOOKUP(AG$26,FT[],9),Teachers[],MOD(COLUMN(AD32),6)+1)))),1,0)</f>
        <v>0</v>
      </c>
      <c r="AH32" s="6">
        <f>IF(AND(frame($C32,$D32,AF$8),NOT(frame($C32,$D32,VLOOKUP(VLOOKUP(AH$26,FT[],9),Teachers[],MOD(COLUMN(AE32),6)+1)))),1,0)</f>
        <v>0</v>
      </c>
      <c r="AI32" s="6">
        <f>IF(AND(frame($C32,$D32,AG$8),NOT(frame($C32,$D32,VLOOKUP(VLOOKUP(AI$26,FT[],9),Teachers[],MOD(COLUMN(AF32),6)+1)))),1,0)</f>
        <v>0</v>
      </c>
      <c r="AJ32" s="6">
        <f>IF(AND(frame($C32,$D32,AH$8),NOT(frame($C32,$D32,VLOOKUP(VLOOKUP(AJ$26,FT[],9),Teachers[],MOD(COLUMN(AG32),6)+1)))),1,0)</f>
        <v>0</v>
      </c>
      <c r="AK32" s="6">
        <f>IF(AND(frame($C32,$D32,AI$8),NOT(frame($C32,$D32,VLOOKUP(VLOOKUP(AK$26,FT[],9),Teachers[],MOD(COLUMN(AH32),6)+1)))),1,0)</f>
        <v>0</v>
      </c>
      <c r="AL32" s="6">
        <f>IF(AND(frame($C32,$D32,AJ$8),NOT(frame($C32,$D32,VLOOKUP(VLOOKUP(AL$26,FT[],9),Teachers[],MOD(COLUMN(AI32),6)+1)))),1,0)</f>
        <v>0</v>
      </c>
      <c r="AM32" s="6">
        <f>IF(AND(frame($C32,$D32,AK$8),NOT(frame($C32,$D32,VLOOKUP(VLOOKUP(AM$26,FT[],9),Teachers[],MOD(COLUMN(AJ32),6)+1)))),1,0)</f>
        <v>0</v>
      </c>
      <c r="AN32" s="6">
        <f>IF(AND(frame($C32,$D32,AL$8),NOT(frame($C32,$D32,VLOOKUP(VLOOKUP(AN$26,FT[],9),Teachers[],MOD(COLUMN(AK32),6)+1)))),1,0)</f>
        <v>0</v>
      </c>
      <c r="AO32" s="6">
        <f>IF(AND(frame($C32,$D32,AM$8),NOT(frame($C32,$D32,VLOOKUP(VLOOKUP(AO$26,FT[],9),Teachers[],MOD(COLUMN(AL32),6)+1)))),1,0)</f>
        <v>0</v>
      </c>
      <c r="AP32" s="66">
        <f t="shared" si="11"/>
        <v>0</v>
      </c>
      <c r="AQ32" s="6">
        <f>IF(AND(frame($C32,$D32,AO$8),NOT(frame($C32,$D32,VLOOKUP(VLOOKUP(AQ$26,FT[],9),Teachers[],MOD(COLUMN(AN32),6)+1)))),1,0)</f>
        <v>0</v>
      </c>
      <c r="AR32" s="6">
        <f>IF(AND(frame($C32,$D32,AP$8),NOT(frame($C32,$D32,VLOOKUP(VLOOKUP(AR$26,FT[],9),Teachers[],MOD(COLUMN(AO32),6)+1)))),1,0)</f>
        <v>0</v>
      </c>
      <c r="AS32" s="6">
        <f>IF(AND(frame($C32,$D32,AQ$8),NOT(frame($C32,$D32,VLOOKUP(VLOOKUP(AS$26,FT[],9),Teachers[],MOD(COLUMN(AP32),6)+1)))),1,0)</f>
        <v>0</v>
      </c>
      <c r="AT32" s="6">
        <f>IF(AND(frame($C32,$D32,AR$8),NOT(frame($C32,$D32,VLOOKUP(VLOOKUP(AT$26,FT[],9),Teachers[],MOD(COLUMN(AQ32),6)+1)))),1,0)</f>
        <v>0</v>
      </c>
      <c r="AU32" s="6">
        <f>IF(AND(frame($C32,$D32,AS$8),NOT(frame($C32,$D32,VLOOKUP(VLOOKUP(AU$26,FT[],9),Teachers[],MOD(COLUMN(AR32),6)+1)))),1,0)</f>
        <v>0</v>
      </c>
      <c r="AV32" s="6">
        <f>IF(AND(frame($C32,$D32,AT$8),NOT(frame($C32,$D32,VLOOKUP(VLOOKUP(AV$26,FT[],9),Teachers[],MOD(COLUMN(AS32),6)+1)))),1,0)</f>
        <v>0</v>
      </c>
      <c r="AW32" s="6">
        <f>IF(AND(frame($C32,$D32,AU$8),NOT(frame($C32,$D32,VLOOKUP(VLOOKUP(AW$26,FT[],9),Teachers[],MOD(COLUMN(AT32),6)+1)))),1,0)</f>
        <v>0</v>
      </c>
      <c r="AX32" s="6">
        <f>IF(AND(frame($C32,$D32,AV$8),NOT(frame($C32,$D32,VLOOKUP(VLOOKUP(AX$26,FT[],9),Teachers[],MOD(COLUMN(AU32),6)+1)))),1,0)</f>
        <v>0</v>
      </c>
      <c r="AY32" s="6">
        <f>IF(AND(frame($C32,$D32,AW$8),NOT(frame($C32,$D32,VLOOKUP(VLOOKUP(AY$26,FT[],9),Teachers[],MOD(COLUMN(AV32),6)+1)))),1,0)</f>
        <v>0</v>
      </c>
      <c r="AZ32" s="6">
        <f>IF(AND(frame($C32,$D32,AX$8),NOT(frame($C32,$D32,VLOOKUP(VLOOKUP(AZ$26,FT[],9),Teachers[],MOD(COLUMN(AW32),6)+1)))),1,0)</f>
        <v>0</v>
      </c>
      <c r="BA32" s="6">
        <f>IF(AND(frame($C32,$D32,AY$8),NOT(frame($C32,$D32,VLOOKUP(VLOOKUP(BA$26,FT[],9),Teachers[],MOD(COLUMN(AX32),6)+1)))),1,0)</f>
        <v>0</v>
      </c>
      <c r="BB32" s="6">
        <f>IF(AND(frame($C32,$D32,AZ$8),NOT(frame($C32,$D32,VLOOKUP(VLOOKUP(BB$26,FT[],9),Teachers[],MOD(COLUMN(AY32),6)+1)))),1,0)</f>
        <v>0</v>
      </c>
      <c r="BC32" s="6">
        <f>IF(AND(frame($C32,$D32,BA$8),NOT(frame($C32,$D32,VLOOKUP(VLOOKUP(BC$26,FT[],9),Teachers[],MOD(COLUMN(AZ32),6)+1)))),1,0)</f>
        <v>0</v>
      </c>
      <c r="BD32" s="6">
        <f>IF(AND(frame($C32,$D32,BB$8),NOT(frame($C32,$D32,VLOOKUP(VLOOKUP(BD$26,FT[],9),Teachers[],MOD(COLUMN(BA32),6)+1)))),1,0)</f>
        <v>0</v>
      </c>
      <c r="BE32" s="6">
        <f>IF(AND(frame($C32,$D32,BC$8),NOT(frame($C32,$D32,VLOOKUP(VLOOKUP(BE$26,FT[],9),Teachers[],MOD(COLUMN(BB32),6)+1)))),1,0)</f>
        <v>0</v>
      </c>
      <c r="BF32" s="6">
        <f>IF(AND(frame($C32,$D32,BD$8),NOT(frame($C32,$D32,VLOOKUP(VLOOKUP(BF$26,FT[],9),Teachers[],MOD(COLUMN(BC32),6)+1)))),1,0)</f>
        <v>0</v>
      </c>
      <c r="BG32" s="6">
        <f>IF(AND(frame($C32,$D32,BE$8),NOT(frame($C32,$D32,VLOOKUP(VLOOKUP(BG$26,FT[],9),Teachers[],MOD(COLUMN(BD32),6)+1)))),1,0)</f>
        <v>0</v>
      </c>
      <c r="BH32" s="6">
        <f>IF(AND(frame($C32,$D32,BF$8),NOT(frame($C32,$D32,VLOOKUP(VLOOKUP(BH$26,FT[],9),Teachers[],MOD(COLUMN(BE32),6)+1)))),1,0)</f>
        <v>0</v>
      </c>
      <c r="BI32" s="6">
        <f>IF(AND(frame($C32,$D32,BG$8),NOT(frame($C32,$D32,VLOOKUP(VLOOKUP(BI$26,FT[],9),Teachers[],MOD(COLUMN(BF32),6)+1)))),1,0)</f>
        <v>0</v>
      </c>
      <c r="BJ32" s="6">
        <f>IF(AND(frame($C32,$D32,BH$8),NOT(frame($C32,$D32,VLOOKUP(VLOOKUP(BJ$26,FT[],9),Teachers[],MOD(COLUMN(BG32),6)+1)))),1,0)</f>
        <v>0</v>
      </c>
      <c r="BK32" s="6">
        <f>IF(AND(frame($C32,$D32,BI$8),NOT(frame($C32,$D32,VLOOKUP(VLOOKUP(BK$26,FT[],9),Teachers[],MOD(COLUMN(BH32),6)+1)))),1,0)</f>
        <v>0</v>
      </c>
      <c r="BL32" s="6">
        <f>IF(AND(frame($C32,$D32,BJ$8),NOT(frame($C32,$D32,VLOOKUP(VLOOKUP(BL$26,FT[],9),Teachers[],MOD(COLUMN(BI32),6)+1)))),1,0)</f>
        <v>0</v>
      </c>
    </row>
    <row r="33" spans="2:64" ht="15.75" thickBot="1">
      <c r="B33" s="1">
        <v>6</v>
      </c>
      <c r="C33" s="9">
        <v>0.38541666666666669</v>
      </c>
      <c r="D33" s="9">
        <v>0.41666666666666669</v>
      </c>
      <c r="E33" s="6" t="e">
        <f ca="1">frame(СВ[[#This Row],[49]],СВ[[#This Row],[Столбец1]],C12,C26)</f>
        <v>#NAME?</v>
      </c>
      <c r="F33" s="6">
        <f>IF(AND(frame($C33,$D33,D$7),NOT(frame($C33,$D33,VLOOKUP(VLOOKUP(F$26,FT[],9),Teachers[],MOD(COLUMN(B33),6)+1)))),1,0)</f>
        <v>0</v>
      </c>
      <c r="G33" s="6">
        <f>IF(AND(frame($C33,$D33,E$7),NOT(frame($C33,$D33,VLOOKUP(VLOOKUP(G$26,FT[],9),Teachers[],MOD(COLUMN(C33),6)+1)))),1,0)</f>
        <v>0</v>
      </c>
      <c r="H33" s="6">
        <f>IF(AND(frame($C33,$D33,F$7),NOT(frame($C33,$D33,VLOOKUP(VLOOKUP(H$26,FT[],9),Teachers[],MOD(COLUMN(D33),6)+1)))),1,0)</f>
        <v>0</v>
      </c>
      <c r="I33" s="6" t="e">
        <f ca="1">IF(AND(frame($C33,$D33,G$7),NOT(frame($C33,$D33,VLOOKUP(VLOOKUP(I$26,FT[],9),Teachers[],MOD(COLUMN(E33),6)+1)))),1,0)</f>
        <v>#NAME?</v>
      </c>
      <c r="J33" s="6">
        <f>IF(AND(frame($C33,$D33,H$7),NOT(frame($C33,$D33,VLOOKUP(VLOOKUP(J$26,FT[],9),Teachers[],MOD(COLUMN(F33),6)+1)))),1,0)</f>
        <v>0</v>
      </c>
      <c r="K33" s="6">
        <f>IF(AND(frame($C33,$D33,I$8),NOT(frame($C33,$D33,VLOOKUP(VLOOKUP(K$26,FT[],9),Teachers[],MOD(COLUMN(H33),6)+1)))),1,0)</f>
        <v>0</v>
      </c>
      <c r="L33" s="1">
        <f t="shared" si="9"/>
        <v>0</v>
      </c>
      <c r="M33" s="6">
        <f>IF(AND(frame($C33,$D33,K$8),NOT(frame($C33,$D33,VLOOKUP(VLOOKUP(M$26,FT[],9),Teachers[],MOD(COLUMN(J33),6)+1)))),1,0)</f>
        <v>0</v>
      </c>
      <c r="N33" s="6">
        <f>IF(AND(frame($C33,$D33,L$8),NOT(frame($C33,$D33,VLOOKUP(VLOOKUP(N$26,FT[],9),Teachers[],MOD(COLUMN(K33),6)+1)))),1,0)</f>
        <v>0</v>
      </c>
      <c r="O33" s="6">
        <f>IF(AND(frame($C33,$D33,M$8),NOT(frame($C33,$D33,VLOOKUP(VLOOKUP(O$26,FT[],9),Teachers[],MOD(COLUMN(L33),6)+1)))),1,0)</f>
        <v>0</v>
      </c>
      <c r="P33" s="6">
        <f>IF(AND(frame($C33,$D33,N$8),NOT(frame($C33,$D33,VLOOKUP(VLOOKUP(P$26,FT[],9),Teachers[],MOD(COLUMN(M33),6)+1)))),1,0)</f>
        <v>0</v>
      </c>
      <c r="Q33" s="6">
        <f>IF(AND(frame($C33,$D33,O$8),NOT(frame($C33,$D33,VLOOKUP(VLOOKUP(Q$26,FT[],9),Teachers[],MOD(COLUMN(N33),6)+1)))),1,0)</f>
        <v>0</v>
      </c>
      <c r="R33" s="65">
        <f t="shared" si="10"/>
        <v>0</v>
      </c>
      <c r="S33" s="6">
        <f>IF(AND(frame($C33,$D33,Q$8),NOT(frame($C33,$D33,VLOOKUP(VLOOKUP(S$26,FT[],9),Teachers[],MOD(COLUMN(P33),6)+1)))),1,0)</f>
        <v>0</v>
      </c>
      <c r="T33" s="6">
        <f>IF(AND(frame($C33,$D33,R$8),NOT(frame($C33,$D33,VLOOKUP(VLOOKUP(T$26,FT[],9),Teachers[],MOD(COLUMN(Q33),6)+1)))),1,0)</f>
        <v>0</v>
      </c>
      <c r="U33" s="6">
        <f>IF(AND(frame($C33,$D33,S$8),NOT(frame($C33,$D33,VLOOKUP(VLOOKUP(U$26,FT[],9),Teachers[],MOD(COLUMN(R33),6)+1)))),1,0)</f>
        <v>0</v>
      </c>
      <c r="V33" s="6">
        <f>IF(AND(frame($C33,$D33,T$8),NOT(frame($C33,$D33,VLOOKUP(VLOOKUP(V$26,FT[],9),Teachers[],MOD(COLUMN(S33),6)+1)))),1,0)</f>
        <v>0</v>
      </c>
      <c r="W33" s="6">
        <f>IF(AND(frame($C33,$D33,U$8),NOT(frame($C33,$D33,VLOOKUP(VLOOKUP(W$26,FT[],9),Teachers[],MOD(COLUMN(T33),6)+1)))),1,0)</f>
        <v>0</v>
      </c>
      <c r="X33" s="6">
        <f>IF(AND(frame($C33,$D33,V$8),NOT(frame($C33,$D33,VLOOKUP(VLOOKUP(X$26,FT[],9),Teachers[],MOD(COLUMN(U33),6)+1)))),1,0)</f>
        <v>0</v>
      </c>
      <c r="Y33" s="6">
        <f>IF(AND(frame($C33,$D33,W$8),NOT(frame($C33,$D33,VLOOKUP(VLOOKUP(Y$26,FT[],9),Teachers[],MOD(COLUMN(V33),6)+1)))),1,0)</f>
        <v>0</v>
      </c>
      <c r="Z33" s="6">
        <f>IF(AND(frame($C33,$D33,X$8),NOT(frame($C33,$D33,VLOOKUP(VLOOKUP(Z$26,FT[],9),Teachers[],MOD(COLUMN(W33),6)+1)))),1,0)</f>
        <v>0</v>
      </c>
      <c r="AA33" s="6">
        <f>IF(AND(frame($C33,$D33,Y$8),NOT(frame($C33,$D33,VLOOKUP(VLOOKUP(AA$26,FT[],9),Teachers[],MOD(COLUMN(X33),6)+1)))),1,0)</f>
        <v>0</v>
      </c>
      <c r="AB33" s="6">
        <f>IF(AND(frame($C33,$D33,Z$8),NOT(frame($C33,$D33,VLOOKUP(VLOOKUP(AB$26,FT[],9),Teachers[],MOD(COLUMN(Y33),6)+1)))),1,0)</f>
        <v>0</v>
      </c>
      <c r="AC33" s="6">
        <f>IF(AND(frame($C33,$D33,AA$8),NOT(frame($C33,$D33,VLOOKUP(VLOOKUP(AC$26,FT[],9),Teachers[],MOD(COLUMN(Z33),6)+1)))),1,0)</f>
        <v>0</v>
      </c>
      <c r="AD33" s="6">
        <f>IF(AND(frame($C33,$D33,AB$8),NOT(frame($C33,$D33,VLOOKUP(VLOOKUP(AD$26,FT[],9),Teachers[],MOD(COLUMN(AA33),6)+1)))),1,0)</f>
        <v>0</v>
      </c>
      <c r="AE33" s="6">
        <f>IF(AND(frame($C33,$D33,AC$8),NOT(frame($C33,$D33,VLOOKUP(VLOOKUP(AE$26,FT[],9),Teachers[],MOD(COLUMN(AB33),6)+1)))),1,0)</f>
        <v>0</v>
      </c>
      <c r="AF33" s="6">
        <f>IF(AND(frame($C33,$D33,AD$8),NOT(frame($C33,$D33,VLOOKUP(VLOOKUP(AF$26,FT[],9),Teachers[],MOD(COLUMN(AC33),6)+1)))),1,0)</f>
        <v>0</v>
      </c>
      <c r="AG33" s="6">
        <f>IF(AND(frame($C33,$D33,AE$8),NOT(frame($C33,$D33,VLOOKUP(VLOOKUP(AG$26,FT[],9),Teachers[],MOD(COLUMN(AD33),6)+1)))),1,0)</f>
        <v>0</v>
      </c>
      <c r="AH33" s="6">
        <f>IF(AND(frame($C33,$D33,AF$8),NOT(frame($C33,$D33,VLOOKUP(VLOOKUP(AH$26,FT[],9),Teachers[],MOD(COLUMN(AE33),6)+1)))),1,0)</f>
        <v>0</v>
      </c>
      <c r="AI33" s="6">
        <f>IF(AND(frame($C33,$D33,AG$8),NOT(frame($C33,$D33,VLOOKUP(VLOOKUP(AI$26,FT[],9),Teachers[],MOD(COLUMN(AF33),6)+1)))),1,0)</f>
        <v>0</v>
      </c>
      <c r="AJ33" s="6">
        <f>IF(AND(frame($C33,$D33,AH$8),NOT(frame($C33,$D33,VLOOKUP(VLOOKUP(AJ$26,FT[],9),Teachers[],MOD(COLUMN(AG33),6)+1)))),1,0)</f>
        <v>0</v>
      </c>
      <c r="AK33" s="6">
        <f>IF(AND(frame($C33,$D33,AI$8),NOT(frame($C33,$D33,VLOOKUP(VLOOKUP(AK$26,FT[],9),Teachers[],MOD(COLUMN(AH33),6)+1)))),1,0)</f>
        <v>0</v>
      </c>
      <c r="AL33" s="6">
        <f>IF(AND(frame($C33,$D33,AJ$8),NOT(frame($C33,$D33,VLOOKUP(VLOOKUP(AL$26,FT[],9),Teachers[],MOD(COLUMN(AI33),6)+1)))),1,0)</f>
        <v>0</v>
      </c>
      <c r="AM33" s="6">
        <f>IF(AND(frame($C33,$D33,AK$8),NOT(frame($C33,$D33,VLOOKUP(VLOOKUP(AM$26,FT[],9),Teachers[],MOD(COLUMN(AJ33),6)+1)))),1,0)</f>
        <v>0</v>
      </c>
      <c r="AN33" s="6">
        <f>IF(AND(frame($C33,$D33,AL$8),NOT(frame($C33,$D33,VLOOKUP(VLOOKUP(AN$26,FT[],9),Teachers[],MOD(COLUMN(AK33),6)+1)))),1,0)</f>
        <v>0</v>
      </c>
      <c r="AO33" s="6">
        <f>IF(AND(frame($C33,$D33,AM$8),NOT(frame($C33,$D33,VLOOKUP(VLOOKUP(AO$26,FT[],9),Teachers[],MOD(COLUMN(AL33),6)+1)))),1,0)</f>
        <v>0</v>
      </c>
      <c r="AP33" s="66">
        <f t="shared" si="11"/>
        <v>0</v>
      </c>
      <c r="AQ33" s="6">
        <f>IF(AND(frame($C33,$D33,AO$8),NOT(frame($C33,$D33,VLOOKUP(VLOOKUP(AQ$26,FT[],9),Teachers[],MOD(COLUMN(AN33),6)+1)))),1,0)</f>
        <v>0</v>
      </c>
      <c r="AR33" s="6">
        <f>IF(AND(frame($C33,$D33,AP$8),NOT(frame($C33,$D33,VLOOKUP(VLOOKUP(AR$26,FT[],9),Teachers[],MOD(COLUMN(AO33),6)+1)))),1,0)</f>
        <v>0</v>
      </c>
      <c r="AS33" s="6">
        <f>IF(AND(frame($C33,$D33,AQ$8),NOT(frame($C33,$D33,VLOOKUP(VLOOKUP(AS$26,FT[],9),Teachers[],MOD(COLUMN(AP33),6)+1)))),1,0)</f>
        <v>0</v>
      </c>
      <c r="AT33" s="6">
        <f>IF(AND(frame($C33,$D33,AR$8),NOT(frame($C33,$D33,VLOOKUP(VLOOKUP(AT$26,FT[],9),Teachers[],MOD(COLUMN(AQ33),6)+1)))),1,0)</f>
        <v>0</v>
      </c>
      <c r="AU33" s="6">
        <f>IF(AND(frame($C33,$D33,AS$8),NOT(frame($C33,$D33,VLOOKUP(VLOOKUP(AU$26,FT[],9),Teachers[],MOD(COLUMN(AR33),6)+1)))),1,0)</f>
        <v>0</v>
      </c>
      <c r="AV33" s="6">
        <f>IF(AND(frame($C33,$D33,AT$8),NOT(frame($C33,$D33,VLOOKUP(VLOOKUP(AV$26,FT[],9),Teachers[],MOD(COLUMN(AS33),6)+1)))),1,0)</f>
        <v>0</v>
      </c>
      <c r="AW33" s="6">
        <f>IF(AND(frame($C33,$D33,AU$8),NOT(frame($C33,$D33,VLOOKUP(VLOOKUP(AW$26,FT[],9),Teachers[],MOD(COLUMN(AT33),6)+1)))),1,0)</f>
        <v>0</v>
      </c>
      <c r="AX33" s="6">
        <f>IF(AND(frame($C33,$D33,AV$8),NOT(frame($C33,$D33,VLOOKUP(VLOOKUP(AX$26,FT[],9),Teachers[],MOD(COLUMN(AU33),6)+1)))),1,0)</f>
        <v>0</v>
      </c>
      <c r="AY33" s="6">
        <f>IF(AND(frame($C33,$D33,AW$8),NOT(frame($C33,$D33,VLOOKUP(VLOOKUP(AY$26,FT[],9),Teachers[],MOD(COLUMN(AV33),6)+1)))),1,0)</f>
        <v>0</v>
      </c>
      <c r="AZ33" s="6">
        <f>IF(AND(frame($C33,$D33,AX$8),NOT(frame($C33,$D33,VLOOKUP(VLOOKUP(AZ$26,FT[],9),Teachers[],MOD(COLUMN(AW33),6)+1)))),1,0)</f>
        <v>0</v>
      </c>
      <c r="BA33" s="6">
        <f>IF(AND(frame($C33,$D33,AY$8),NOT(frame($C33,$D33,VLOOKUP(VLOOKUP(BA$26,FT[],9),Teachers[],MOD(COLUMN(AX33),6)+1)))),1,0)</f>
        <v>0</v>
      </c>
      <c r="BB33" s="6">
        <f>IF(AND(frame($C33,$D33,AZ$8),NOT(frame($C33,$D33,VLOOKUP(VLOOKUP(BB$26,FT[],9),Teachers[],MOD(COLUMN(AY33),6)+1)))),1,0)</f>
        <v>0</v>
      </c>
      <c r="BC33" s="6">
        <f>IF(AND(frame($C33,$D33,BA$8),NOT(frame($C33,$D33,VLOOKUP(VLOOKUP(BC$26,FT[],9),Teachers[],MOD(COLUMN(AZ33),6)+1)))),1,0)</f>
        <v>0</v>
      </c>
      <c r="BD33" s="6">
        <f>IF(AND(frame($C33,$D33,BB$8),NOT(frame($C33,$D33,VLOOKUP(VLOOKUP(BD$26,FT[],9),Teachers[],MOD(COLUMN(BA33),6)+1)))),1,0)</f>
        <v>0</v>
      </c>
      <c r="BE33" s="6">
        <f>IF(AND(frame($C33,$D33,BC$8),NOT(frame($C33,$D33,VLOOKUP(VLOOKUP(BE$26,FT[],9),Teachers[],MOD(COLUMN(BB33),6)+1)))),1,0)</f>
        <v>0</v>
      </c>
      <c r="BF33" s="6">
        <f>IF(AND(frame($C33,$D33,BD$8),NOT(frame($C33,$D33,VLOOKUP(VLOOKUP(BF$26,FT[],9),Teachers[],MOD(COLUMN(BC33),6)+1)))),1,0)</f>
        <v>0</v>
      </c>
      <c r="BG33" s="6">
        <f>IF(AND(frame($C33,$D33,BE$8),NOT(frame($C33,$D33,VLOOKUP(VLOOKUP(BG$26,FT[],9),Teachers[],MOD(COLUMN(BD33),6)+1)))),1,0)</f>
        <v>0</v>
      </c>
      <c r="BH33" s="6">
        <f>IF(AND(frame($C33,$D33,BF$8),NOT(frame($C33,$D33,VLOOKUP(VLOOKUP(BH$26,FT[],9),Teachers[],MOD(COLUMN(BE33),6)+1)))),1,0)</f>
        <v>0</v>
      </c>
      <c r="BI33" s="6">
        <f>IF(AND(frame($C33,$D33,BG$8),NOT(frame($C33,$D33,VLOOKUP(VLOOKUP(BI$26,FT[],9),Teachers[],MOD(COLUMN(BF33),6)+1)))),1,0)</f>
        <v>0</v>
      </c>
      <c r="BJ33" s="6">
        <f>IF(AND(frame($C33,$D33,BH$8),NOT(frame($C33,$D33,VLOOKUP(VLOOKUP(BJ$26,FT[],9),Teachers[],MOD(COLUMN(BG33),6)+1)))),1,0)</f>
        <v>0</v>
      </c>
      <c r="BK33" s="6">
        <f>IF(AND(frame($C33,$D33,BI$8),NOT(frame($C33,$D33,VLOOKUP(VLOOKUP(BK$26,FT[],9),Teachers[],MOD(COLUMN(BH33),6)+1)))),1,0)</f>
        <v>0</v>
      </c>
      <c r="BL33" s="6">
        <f>IF(AND(frame($C33,$D33,BJ$8),NOT(frame($C33,$D33,VLOOKUP(VLOOKUP(BL$26,FT[],9),Teachers[],MOD(COLUMN(BI33),6)+1)))),1,0)</f>
        <v>0</v>
      </c>
    </row>
    <row r="34" spans="2:64" ht="15.75" thickBot="1">
      <c r="B34" s="1">
        <v>7</v>
      </c>
      <c r="C34" s="9">
        <v>0.39583333333333331</v>
      </c>
      <c r="D34" s="9">
        <v>0.42708333333333331</v>
      </c>
      <c r="E34" s="6" t="e">
        <f ca="1">frame(СВ[[#This Row],[49]],СВ[[#This Row],[Столбец1]],C13,C27)</f>
        <v>#NAME?</v>
      </c>
      <c r="F34" s="6">
        <f>IF(AND(frame($C34,$D34,D$7),NOT(frame($C34,$D34,VLOOKUP(VLOOKUP(F$26,FT[],9),Teachers[],MOD(COLUMN(B34),6)+1)))),1,0)</f>
        <v>0</v>
      </c>
      <c r="G34" s="6">
        <f>IF(AND(frame($C34,$D34,E$7),NOT(frame($C34,$D34,VLOOKUP(VLOOKUP(G$26,FT[],9),Teachers[],MOD(COLUMN(C34),6)+1)))),1,0)</f>
        <v>0</v>
      </c>
      <c r="H34" s="6">
        <f>IF(AND(frame($C34,$D34,F$7),NOT(frame($C34,$D34,VLOOKUP(VLOOKUP(H$26,FT[],9),Teachers[],MOD(COLUMN(D34),6)+1)))),1,0)</f>
        <v>0</v>
      </c>
      <c r="I34" s="6" t="e">
        <f ca="1">IF(AND(frame($C34,$D34,G$7),NOT(frame($C34,$D34,VLOOKUP(VLOOKUP(I$26,FT[],9),Teachers[],MOD(COLUMN(E34),6)+1)))),1,0)</f>
        <v>#NAME?</v>
      </c>
      <c r="J34" s="6">
        <f>IF(AND(frame($C34,$D34,H$7),NOT(frame($C34,$D34,VLOOKUP(VLOOKUP(J$26,FT[],9),Teachers[],MOD(COLUMN(F34),6)+1)))),1,0)</f>
        <v>0</v>
      </c>
      <c r="K34" s="6">
        <f>IF(AND(frame($C34,$D34,I$8),NOT(frame($C34,$D34,VLOOKUP(VLOOKUP(K$26,FT[],9),Teachers[],MOD(COLUMN(H34),6)+1)))),1,0)</f>
        <v>0</v>
      </c>
      <c r="L34" s="1">
        <f t="shared" si="9"/>
        <v>0</v>
      </c>
      <c r="M34" s="6">
        <f>IF(AND(frame($C34,$D34,K$8),NOT(frame($C34,$D34,VLOOKUP(VLOOKUP(M$26,FT[],9),Teachers[],MOD(COLUMN(J34),6)+1)))),1,0)</f>
        <v>0</v>
      </c>
      <c r="N34" s="6">
        <f>IF(AND(frame($C34,$D34,L$8),NOT(frame($C34,$D34,VLOOKUP(VLOOKUP(N$26,FT[],9),Teachers[],MOD(COLUMN(K34),6)+1)))),1,0)</f>
        <v>0</v>
      </c>
      <c r="O34" s="6">
        <f>IF(AND(frame($C34,$D34,M$8),NOT(frame($C34,$D34,VLOOKUP(VLOOKUP(O$26,FT[],9),Teachers[],MOD(COLUMN(L34),6)+1)))),1,0)</f>
        <v>0</v>
      </c>
      <c r="P34" s="6">
        <f>IF(AND(frame($C34,$D34,N$8),NOT(frame($C34,$D34,VLOOKUP(VLOOKUP(P$26,FT[],9),Teachers[],MOD(COLUMN(M34),6)+1)))),1,0)</f>
        <v>0</v>
      </c>
      <c r="Q34" s="6">
        <f>IF(AND(frame($C34,$D34,O$8),NOT(frame($C34,$D34,VLOOKUP(VLOOKUP(Q$26,FT[],9),Teachers[],MOD(COLUMN(N34),6)+1)))),1,0)</f>
        <v>0</v>
      </c>
      <c r="R34" s="65">
        <f t="shared" si="10"/>
        <v>0</v>
      </c>
      <c r="S34" s="6">
        <f>IF(AND(frame($C34,$D34,Q$8),NOT(frame($C34,$D34,VLOOKUP(VLOOKUP(S$26,FT[],9),Teachers[],MOD(COLUMN(P34),6)+1)))),1,0)</f>
        <v>0</v>
      </c>
      <c r="T34" s="6">
        <f>IF(AND(frame($C34,$D34,R$8),NOT(frame($C34,$D34,VLOOKUP(VLOOKUP(T$26,FT[],9),Teachers[],MOD(COLUMN(Q34),6)+1)))),1,0)</f>
        <v>0</v>
      </c>
      <c r="U34" s="6">
        <f>IF(AND(frame($C34,$D34,S$8),NOT(frame($C34,$D34,VLOOKUP(VLOOKUP(U$26,FT[],9),Teachers[],MOD(COLUMN(R34),6)+1)))),1,0)</f>
        <v>0</v>
      </c>
      <c r="V34" s="6">
        <f>IF(AND(frame($C34,$D34,T$8),NOT(frame($C34,$D34,VLOOKUP(VLOOKUP(V$26,FT[],9),Teachers[],MOD(COLUMN(S34),6)+1)))),1,0)</f>
        <v>0</v>
      </c>
      <c r="W34" s="6">
        <f>IF(AND(frame($C34,$D34,U$8),NOT(frame($C34,$D34,VLOOKUP(VLOOKUP(W$26,FT[],9),Teachers[],MOD(COLUMN(T34),6)+1)))),1,0)</f>
        <v>0</v>
      </c>
      <c r="X34" s="6">
        <f>IF(AND(frame($C34,$D34,V$8),NOT(frame($C34,$D34,VLOOKUP(VLOOKUP(X$26,FT[],9),Teachers[],MOD(COLUMN(U34),6)+1)))),1,0)</f>
        <v>0</v>
      </c>
      <c r="Y34" s="6">
        <f>IF(AND(frame($C34,$D34,W$8),NOT(frame($C34,$D34,VLOOKUP(VLOOKUP(Y$26,FT[],9),Teachers[],MOD(COLUMN(V34),6)+1)))),1,0)</f>
        <v>0</v>
      </c>
      <c r="Z34" s="6">
        <f>IF(AND(frame($C34,$D34,X$8),NOT(frame($C34,$D34,VLOOKUP(VLOOKUP(Z$26,FT[],9),Teachers[],MOD(COLUMN(W34),6)+1)))),1,0)</f>
        <v>0</v>
      </c>
      <c r="AA34" s="6">
        <f>IF(AND(frame($C34,$D34,Y$8),NOT(frame($C34,$D34,VLOOKUP(VLOOKUP(AA$26,FT[],9),Teachers[],MOD(COLUMN(X34),6)+1)))),1,0)</f>
        <v>0</v>
      </c>
      <c r="AB34" s="6">
        <f>IF(AND(frame($C34,$D34,Z$8),NOT(frame($C34,$D34,VLOOKUP(VLOOKUP(AB$26,FT[],9),Teachers[],MOD(COLUMN(Y34),6)+1)))),1,0)</f>
        <v>0</v>
      </c>
      <c r="AC34" s="6">
        <f>IF(AND(frame($C34,$D34,AA$8),NOT(frame($C34,$D34,VLOOKUP(VLOOKUP(AC$26,FT[],9),Teachers[],MOD(COLUMN(Z34),6)+1)))),1,0)</f>
        <v>0</v>
      </c>
      <c r="AD34" s="6">
        <f>IF(AND(frame($C34,$D34,AB$8),NOT(frame($C34,$D34,VLOOKUP(VLOOKUP(AD$26,FT[],9),Teachers[],MOD(COLUMN(AA34),6)+1)))),1,0)</f>
        <v>0</v>
      </c>
      <c r="AE34" s="6">
        <f>IF(AND(frame($C34,$D34,AC$8),NOT(frame($C34,$D34,VLOOKUP(VLOOKUP(AE$26,FT[],9),Teachers[],MOD(COLUMN(AB34),6)+1)))),1,0)</f>
        <v>0</v>
      </c>
      <c r="AF34" s="6">
        <f>IF(AND(frame($C34,$D34,AD$8),NOT(frame($C34,$D34,VLOOKUP(VLOOKUP(AF$26,FT[],9),Teachers[],MOD(COLUMN(AC34),6)+1)))),1,0)</f>
        <v>0</v>
      </c>
      <c r="AG34" s="6">
        <f>IF(AND(frame($C34,$D34,AE$8),NOT(frame($C34,$D34,VLOOKUP(VLOOKUP(AG$26,FT[],9),Teachers[],MOD(COLUMN(AD34),6)+1)))),1,0)</f>
        <v>0</v>
      </c>
      <c r="AH34" s="6">
        <f>IF(AND(frame($C34,$D34,AF$8),NOT(frame($C34,$D34,VLOOKUP(VLOOKUP(AH$26,FT[],9),Teachers[],MOD(COLUMN(AE34),6)+1)))),1,0)</f>
        <v>0</v>
      </c>
      <c r="AI34" s="6">
        <f>IF(AND(frame($C34,$D34,AG$8),NOT(frame($C34,$D34,VLOOKUP(VLOOKUP(AI$26,FT[],9),Teachers[],MOD(COLUMN(AF34),6)+1)))),1,0)</f>
        <v>0</v>
      </c>
      <c r="AJ34" s="6">
        <f>IF(AND(frame($C34,$D34,AH$8),NOT(frame($C34,$D34,VLOOKUP(VLOOKUP(AJ$26,FT[],9),Teachers[],MOD(COLUMN(AG34),6)+1)))),1,0)</f>
        <v>0</v>
      </c>
      <c r="AK34" s="6">
        <f>IF(AND(frame($C34,$D34,AI$8),NOT(frame($C34,$D34,VLOOKUP(VLOOKUP(AK$26,FT[],9),Teachers[],MOD(COLUMN(AH34),6)+1)))),1,0)</f>
        <v>0</v>
      </c>
      <c r="AL34" s="6">
        <f>IF(AND(frame($C34,$D34,AJ$8),NOT(frame($C34,$D34,VLOOKUP(VLOOKUP(AL$26,FT[],9),Teachers[],MOD(COLUMN(AI34),6)+1)))),1,0)</f>
        <v>0</v>
      </c>
      <c r="AM34" s="6">
        <f>IF(AND(frame($C34,$D34,AK$8),NOT(frame($C34,$D34,VLOOKUP(VLOOKUP(AM$26,FT[],9),Teachers[],MOD(COLUMN(AJ34),6)+1)))),1,0)</f>
        <v>0</v>
      </c>
      <c r="AN34" s="6">
        <f>IF(AND(frame($C34,$D34,AL$8),NOT(frame($C34,$D34,VLOOKUP(VLOOKUP(AN$26,FT[],9),Teachers[],MOD(COLUMN(AK34),6)+1)))),1,0)</f>
        <v>0</v>
      </c>
      <c r="AO34" s="6">
        <f>IF(AND(frame($C34,$D34,AM$8),NOT(frame($C34,$D34,VLOOKUP(VLOOKUP(AO$26,FT[],9),Teachers[],MOD(COLUMN(AL34),6)+1)))),1,0)</f>
        <v>0</v>
      </c>
      <c r="AP34" s="66">
        <f t="shared" si="11"/>
        <v>0</v>
      </c>
      <c r="AQ34" s="6">
        <f>IF(AND(frame($C34,$D34,AO$8),NOT(frame($C34,$D34,VLOOKUP(VLOOKUP(AQ$26,FT[],9),Teachers[],MOD(COLUMN(AN34),6)+1)))),1,0)</f>
        <v>0</v>
      </c>
      <c r="AR34" s="6">
        <f>IF(AND(frame($C34,$D34,AP$8),NOT(frame($C34,$D34,VLOOKUP(VLOOKUP(AR$26,FT[],9),Teachers[],MOD(COLUMN(AO34),6)+1)))),1,0)</f>
        <v>0</v>
      </c>
      <c r="AS34" s="6">
        <f>IF(AND(frame($C34,$D34,AQ$8),NOT(frame($C34,$D34,VLOOKUP(VLOOKUP(AS$26,FT[],9),Teachers[],MOD(COLUMN(AP34),6)+1)))),1,0)</f>
        <v>0</v>
      </c>
      <c r="AT34" s="6">
        <f>IF(AND(frame($C34,$D34,AR$8),NOT(frame($C34,$D34,VLOOKUP(VLOOKUP(AT$26,FT[],9),Teachers[],MOD(COLUMN(AQ34),6)+1)))),1,0)</f>
        <v>0</v>
      </c>
      <c r="AU34" s="6">
        <f>IF(AND(frame($C34,$D34,AS$8),NOT(frame($C34,$D34,VLOOKUP(VLOOKUP(AU$26,FT[],9),Teachers[],MOD(COLUMN(AR34),6)+1)))),1,0)</f>
        <v>0</v>
      </c>
      <c r="AV34" s="6">
        <f>IF(AND(frame($C34,$D34,AT$8),NOT(frame($C34,$D34,VLOOKUP(VLOOKUP(AV$26,FT[],9),Teachers[],MOD(COLUMN(AS34),6)+1)))),1,0)</f>
        <v>0</v>
      </c>
      <c r="AW34" s="6">
        <f>IF(AND(frame($C34,$D34,AU$8),NOT(frame($C34,$D34,VLOOKUP(VLOOKUP(AW$26,FT[],9),Teachers[],MOD(COLUMN(AT34),6)+1)))),1,0)</f>
        <v>0</v>
      </c>
      <c r="AX34" s="6">
        <f>IF(AND(frame($C34,$D34,AV$8),NOT(frame($C34,$D34,VLOOKUP(VLOOKUP(AX$26,FT[],9),Teachers[],MOD(COLUMN(AU34),6)+1)))),1,0)</f>
        <v>0</v>
      </c>
      <c r="AY34" s="6">
        <f>IF(AND(frame($C34,$D34,AW$8),NOT(frame($C34,$D34,VLOOKUP(VLOOKUP(AY$26,FT[],9),Teachers[],MOD(COLUMN(AV34),6)+1)))),1,0)</f>
        <v>0</v>
      </c>
      <c r="AZ34" s="6">
        <f>IF(AND(frame($C34,$D34,AX$8),NOT(frame($C34,$D34,VLOOKUP(VLOOKUP(AZ$26,FT[],9),Teachers[],MOD(COLUMN(AW34),6)+1)))),1,0)</f>
        <v>0</v>
      </c>
      <c r="BA34" s="6">
        <f>IF(AND(frame($C34,$D34,AY$8),NOT(frame($C34,$D34,VLOOKUP(VLOOKUP(BA$26,FT[],9),Teachers[],MOD(COLUMN(AX34),6)+1)))),1,0)</f>
        <v>0</v>
      </c>
      <c r="BB34" s="6">
        <f>IF(AND(frame($C34,$D34,AZ$8),NOT(frame($C34,$D34,VLOOKUP(VLOOKUP(BB$26,FT[],9),Teachers[],MOD(COLUMN(AY34),6)+1)))),1,0)</f>
        <v>0</v>
      </c>
      <c r="BC34" s="6">
        <f>IF(AND(frame($C34,$D34,BA$8),NOT(frame($C34,$D34,VLOOKUP(VLOOKUP(BC$26,FT[],9),Teachers[],MOD(COLUMN(AZ34),6)+1)))),1,0)</f>
        <v>0</v>
      </c>
      <c r="BD34" s="6">
        <f>IF(AND(frame($C34,$D34,BB$8),NOT(frame($C34,$D34,VLOOKUP(VLOOKUP(BD$26,FT[],9),Teachers[],MOD(COLUMN(BA34),6)+1)))),1,0)</f>
        <v>0</v>
      </c>
      <c r="BE34" s="6">
        <f>IF(AND(frame($C34,$D34,BC$8),NOT(frame($C34,$D34,VLOOKUP(VLOOKUP(BE$26,FT[],9),Teachers[],MOD(COLUMN(BB34),6)+1)))),1,0)</f>
        <v>0</v>
      </c>
      <c r="BF34" s="6">
        <f>IF(AND(frame($C34,$D34,BD$8),NOT(frame($C34,$D34,VLOOKUP(VLOOKUP(BF$26,FT[],9),Teachers[],MOD(COLUMN(BC34),6)+1)))),1,0)</f>
        <v>0</v>
      </c>
      <c r="BG34" s="6">
        <f>IF(AND(frame($C34,$D34,BE$8),NOT(frame($C34,$D34,VLOOKUP(VLOOKUP(BG$26,FT[],9),Teachers[],MOD(COLUMN(BD34),6)+1)))),1,0)</f>
        <v>0</v>
      </c>
      <c r="BH34" s="6">
        <f>IF(AND(frame($C34,$D34,BF$8),NOT(frame($C34,$D34,VLOOKUP(VLOOKUP(BH$26,FT[],9),Teachers[],MOD(COLUMN(BE34),6)+1)))),1,0)</f>
        <v>0</v>
      </c>
      <c r="BI34" s="6">
        <f>IF(AND(frame($C34,$D34,BG$8),NOT(frame($C34,$D34,VLOOKUP(VLOOKUP(BI$26,FT[],9),Teachers[],MOD(COLUMN(BF34),6)+1)))),1,0)</f>
        <v>0</v>
      </c>
      <c r="BJ34" s="6">
        <f>IF(AND(frame($C34,$D34,BH$8),NOT(frame($C34,$D34,VLOOKUP(VLOOKUP(BJ$26,FT[],9),Teachers[],MOD(COLUMN(BG34),6)+1)))),1,0)</f>
        <v>0</v>
      </c>
      <c r="BK34" s="6">
        <f>IF(AND(frame($C34,$D34,BI$8),NOT(frame($C34,$D34,VLOOKUP(VLOOKUP(BK$26,FT[],9),Teachers[],MOD(COLUMN(BH34),6)+1)))),1,0)</f>
        <v>0</v>
      </c>
      <c r="BL34" s="6">
        <f>IF(AND(frame($C34,$D34,BJ$8),NOT(frame($C34,$D34,VLOOKUP(VLOOKUP(BL$26,FT[],9),Teachers[],MOD(COLUMN(BI34),6)+1)))),1,0)</f>
        <v>0</v>
      </c>
    </row>
    <row r="35" spans="2:64" ht="15.75" thickBot="1">
      <c r="B35" s="1">
        <v>8</v>
      </c>
      <c r="C35" s="9">
        <v>0.40625</v>
      </c>
      <c r="D35" s="9">
        <v>0.4375</v>
      </c>
      <c r="E35" s="6" t="e">
        <f ca="1">frame(СВ[[#This Row],[49]],СВ[[#This Row],[Столбец1]],C14,C28)</f>
        <v>#NAME?</v>
      </c>
      <c r="F35" s="6">
        <f>IF(AND(frame($C35,$D35,D$7),NOT(frame($C35,$D35,VLOOKUP(VLOOKUP(F$26,FT[],9),Teachers[],MOD(COLUMN(B35),6)+1)))),1,0)</f>
        <v>0</v>
      </c>
      <c r="G35" s="6">
        <f>IF(AND(frame($C35,$D35,E$7),NOT(frame($C35,$D35,VLOOKUP(VLOOKUP(G$26,FT[],9),Teachers[],MOD(COLUMN(C35),6)+1)))),1,0)</f>
        <v>0</v>
      </c>
      <c r="H35" s="6">
        <f>IF(AND(frame($C35,$D35,F$7),NOT(frame($C35,$D35,VLOOKUP(VLOOKUP(H$26,FT[],9),Teachers[],MOD(COLUMN(D35),6)+1)))),1,0)</f>
        <v>0</v>
      </c>
      <c r="I35" s="6" t="e">
        <f ca="1">IF(AND(frame($C35,$D35,G$7),NOT(frame($C35,$D35,VLOOKUP(VLOOKUP(I$26,FT[],9),Teachers[],MOD(COLUMN(E35),6)+1)))),1,0)</f>
        <v>#NAME?</v>
      </c>
      <c r="J35" s="6">
        <f>IF(AND(frame($C35,$D35,H$7),NOT(frame($C35,$D35,VLOOKUP(VLOOKUP(J$26,FT[],9),Teachers[],MOD(COLUMN(F35),6)+1)))),1,0)</f>
        <v>0</v>
      </c>
      <c r="K35" s="6">
        <f>IF(AND(frame($C35,$D35,I$8),NOT(frame($C35,$D35,VLOOKUP(VLOOKUP(K$26,FT[],9),Teachers[],MOD(COLUMN(H35),6)+1)))),1,0)</f>
        <v>0</v>
      </c>
      <c r="L35" s="1">
        <f t="shared" si="9"/>
        <v>0</v>
      </c>
      <c r="M35" s="6">
        <f>IF(AND(frame($C35,$D35,K$8),NOT(frame($C35,$D35,VLOOKUP(VLOOKUP(M$26,FT[],9),Teachers[],MOD(COLUMN(J35),6)+1)))),1,0)</f>
        <v>0</v>
      </c>
      <c r="N35" s="6">
        <f>IF(AND(frame($C35,$D35,L$8),NOT(frame($C35,$D35,VLOOKUP(VLOOKUP(N$26,FT[],9),Teachers[],MOD(COLUMN(K35),6)+1)))),1,0)</f>
        <v>0</v>
      </c>
      <c r="O35" s="6">
        <f>IF(AND(frame($C35,$D35,M$8),NOT(frame($C35,$D35,VLOOKUP(VLOOKUP(O$26,FT[],9),Teachers[],MOD(COLUMN(L35),6)+1)))),1,0)</f>
        <v>0</v>
      </c>
      <c r="P35" s="6">
        <f>IF(AND(frame($C35,$D35,N$8),NOT(frame($C35,$D35,VLOOKUP(VLOOKUP(P$26,FT[],9),Teachers[],MOD(COLUMN(M35),6)+1)))),1,0)</f>
        <v>0</v>
      </c>
      <c r="Q35" s="6">
        <f>IF(AND(frame($C35,$D35,O$8),NOT(frame($C35,$D35,VLOOKUP(VLOOKUP(Q$26,FT[],9),Teachers[],MOD(COLUMN(N35),6)+1)))),1,0)</f>
        <v>0</v>
      </c>
      <c r="R35" s="65">
        <f t="shared" si="10"/>
        <v>0</v>
      </c>
      <c r="S35" s="6">
        <f>IF(AND(frame($C35,$D35,Q$8),NOT(frame($C35,$D35,VLOOKUP(VLOOKUP(S$26,FT[],9),Teachers[],MOD(COLUMN(P35),6)+1)))),1,0)</f>
        <v>0</v>
      </c>
      <c r="T35" s="6">
        <f>IF(AND(frame($C35,$D35,R$8),NOT(frame($C35,$D35,VLOOKUP(VLOOKUP(T$26,FT[],9),Teachers[],MOD(COLUMN(Q35),6)+1)))),1,0)</f>
        <v>0</v>
      </c>
      <c r="U35" s="6">
        <f>IF(AND(frame($C35,$D35,S$8),NOT(frame($C35,$D35,VLOOKUP(VLOOKUP(U$26,FT[],9),Teachers[],MOD(COLUMN(R35),6)+1)))),1,0)</f>
        <v>0</v>
      </c>
      <c r="V35" s="6">
        <f>IF(AND(frame($C35,$D35,T$8),NOT(frame($C35,$D35,VLOOKUP(VLOOKUP(V$26,FT[],9),Teachers[],MOD(COLUMN(S35),6)+1)))),1,0)</f>
        <v>0</v>
      </c>
      <c r="W35" s="6">
        <f>IF(AND(frame($C35,$D35,U$8),NOT(frame($C35,$D35,VLOOKUP(VLOOKUP(W$26,FT[],9),Teachers[],MOD(COLUMN(T35),6)+1)))),1,0)</f>
        <v>0</v>
      </c>
      <c r="X35" s="6">
        <f>IF(AND(frame($C35,$D35,V$8),NOT(frame($C35,$D35,VLOOKUP(VLOOKUP(X$26,FT[],9),Teachers[],MOD(COLUMN(U35),6)+1)))),1,0)</f>
        <v>0</v>
      </c>
      <c r="Y35" s="6">
        <f>IF(AND(frame($C35,$D35,W$8),NOT(frame($C35,$D35,VLOOKUP(VLOOKUP(Y$26,FT[],9),Teachers[],MOD(COLUMN(V35),6)+1)))),1,0)</f>
        <v>0</v>
      </c>
      <c r="Z35" s="6">
        <f>IF(AND(frame($C35,$D35,X$8),NOT(frame($C35,$D35,VLOOKUP(VLOOKUP(Z$26,FT[],9),Teachers[],MOD(COLUMN(W35),6)+1)))),1,0)</f>
        <v>0</v>
      </c>
      <c r="AA35" s="6">
        <f>IF(AND(frame($C35,$D35,Y$8),NOT(frame($C35,$D35,VLOOKUP(VLOOKUP(AA$26,FT[],9),Teachers[],MOD(COLUMN(X35),6)+1)))),1,0)</f>
        <v>0</v>
      </c>
      <c r="AB35" s="6">
        <f>IF(AND(frame($C35,$D35,Z$8),NOT(frame($C35,$D35,VLOOKUP(VLOOKUP(AB$26,FT[],9),Teachers[],MOD(COLUMN(Y35),6)+1)))),1,0)</f>
        <v>0</v>
      </c>
      <c r="AC35" s="6">
        <f>IF(AND(frame($C35,$D35,AA$8),NOT(frame($C35,$D35,VLOOKUP(VLOOKUP(AC$26,FT[],9),Teachers[],MOD(COLUMN(Z35),6)+1)))),1,0)</f>
        <v>0</v>
      </c>
      <c r="AD35" s="6">
        <f>IF(AND(frame($C35,$D35,AB$8),NOT(frame($C35,$D35,VLOOKUP(VLOOKUP(AD$26,FT[],9),Teachers[],MOD(COLUMN(AA35),6)+1)))),1,0)</f>
        <v>0</v>
      </c>
      <c r="AE35" s="6">
        <f>IF(AND(frame($C35,$D35,AC$8),NOT(frame($C35,$D35,VLOOKUP(VLOOKUP(AE$26,FT[],9),Teachers[],MOD(COLUMN(AB35),6)+1)))),1,0)</f>
        <v>0</v>
      </c>
      <c r="AF35" s="6">
        <f>IF(AND(frame($C35,$D35,AD$8),NOT(frame($C35,$D35,VLOOKUP(VLOOKUP(AF$26,FT[],9),Teachers[],MOD(COLUMN(AC35),6)+1)))),1,0)</f>
        <v>0</v>
      </c>
      <c r="AG35" s="6">
        <f>IF(AND(frame($C35,$D35,AE$8),NOT(frame($C35,$D35,VLOOKUP(VLOOKUP(AG$26,FT[],9),Teachers[],MOD(COLUMN(AD35),6)+1)))),1,0)</f>
        <v>0</v>
      </c>
      <c r="AH35" s="6">
        <f>IF(AND(frame($C35,$D35,AF$8),NOT(frame($C35,$D35,VLOOKUP(VLOOKUP(AH$26,FT[],9),Teachers[],MOD(COLUMN(AE35),6)+1)))),1,0)</f>
        <v>0</v>
      </c>
      <c r="AI35" s="6">
        <f>IF(AND(frame($C35,$D35,AG$8),NOT(frame($C35,$D35,VLOOKUP(VLOOKUP(AI$26,FT[],9),Teachers[],MOD(COLUMN(AF35),6)+1)))),1,0)</f>
        <v>0</v>
      </c>
      <c r="AJ35" s="6">
        <f>IF(AND(frame($C35,$D35,AH$8),NOT(frame($C35,$D35,VLOOKUP(VLOOKUP(AJ$26,FT[],9),Teachers[],MOD(COLUMN(AG35),6)+1)))),1,0)</f>
        <v>0</v>
      </c>
      <c r="AK35" s="6">
        <f>IF(AND(frame($C35,$D35,AI$8),NOT(frame($C35,$D35,VLOOKUP(VLOOKUP(AK$26,FT[],9),Teachers[],MOD(COLUMN(AH35),6)+1)))),1,0)</f>
        <v>0</v>
      </c>
      <c r="AL35" s="6">
        <f>IF(AND(frame($C35,$D35,AJ$8),NOT(frame($C35,$D35,VLOOKUP(VLOOKUP(AL$26,FT[],9),Teachers[],MOD(COLUMN(AI35),6)+1)))),1,0)</f>
        <v>0</v>
      </c>
      <c r="AM35" s="6">
        <f>IF(AND(frame($C35,$D35,AK$8),NOT(frame($C35,$D35,VLOOKUP(VLOOKUP(AM$26,FT[],9),Teachers[],MOD(COLUMN(AJ35),6)+1)))),1,0)</f>
        <v>0</v>
      </c>
      <c r="AN35" s="6">
        <f>IF(AND(frame($C35,$D35,AL$8),NOT(frame($C35,$D35,VLOOKUP(VLOOKUP(AN$26,FT[],9),Teachers[],MOD(COLUMN(AK35),6)+1)))),1,0)</f>
        <v>0</v>
      </c>
      <c r="AO35" s="6">
        <f>IF(AND(frame($C35,$D35,AM$8),NOT(frame($C35,$D35,VLOOKUP(VLOOKUP(AO$26,FT[],9),Teachers[],MOD(COLUMN(AL35),6)+1)))),1,0)</f>
        <v>0</v>
      </c>
      <c r="AP35" s="66">
        <f t="shared" si="11"/>
        <v>0</v>
      </c>
      <c r="AQ35" s="6">
        <f>IF(AND(frame($C35,$D35,AO$8),NOT(frame($C35,$D35,VLOOKUP(VLOOKUP(AQ$26,FT[],9),Teachers[],MOD(COLUMN(AN35),6)+1)))),1,0)</f>
        <v>0</v>
      </c>
      <c r="AR35" s="6">
        <f>IF(AND(frame($C35,$D35,AP$8),NOT(frame($C35,$D35,VLOOKUP(VLOOKUP(AR$26,FT[],9),Teachers[],MOD(COLUMN(AO35),6)+1)))),1,0)</f>
        <v>0</v>
      </c>
      <c r="AS35" s="6">
        <f>IF(AND(frame($C35,$D35,AQ$8),NOT(frame($C35,$D35,VLOOKUP(VLOOKUP(AS$26,FT[],9),Teachers[],MOD(COLUMN(AP35),6)+1)))),1,0)</f>
        <v>0</v>
      </c>
      <c r="AT35" s="6">
        <f>IF(AND(frame($C35,$D35,AR$8),NOT(frame($C35,$D35,VLOOKUP(VLOOKUP(AT$26,FT[],9),Teachers[],MOD(COLUMN(AQ35),6)+1)))),1,0)</f>
        <v>0</v>
      </c>
      <c r="AU35" s="6">
        <f>IF(AND(frame($C35,$D35,AS$8),NOT(frame($C35,$D35,VLOOKUP(VLOOKUP(AU$26,FT[],9),Teachers[],MOD(COLUMN(AR35),6)+1)))),1,0)</f>
        <v>0</v>
      </c>
      <c r="AV35" s="6">
        <f>IF(AND(frame($C35,$D35,AT$8),NOT(frame($C35,$D35,VLOOKUP(VLOOKUP(AV$26,FT[],9),Teachers[],MOD(COLUMN(AS35),6)+1)))),1,0)</f>
        <v>0</v>
      </c>
      <c r="AW35" s="6">
        <f>IF(AND(frame($C35,$D35,AU$8),NOT(frame($C35,$D35,VLOOKUP(VLOOKUP(AW$26,FT[],9),Teachers[],MOD(COLUMN(AT35),6)+1)))),1,0)</f>
        <v>0</v>
      </c>
      <c r="AX35" s="6">
        <f>IF(AND(frame($C35,$D35,AV$8),NOT(frame($C35,$D35,VLOOKUP(VLOOKUP(AX$26,FT[],9),Teachers[],MOD(COLUMN(AU35),6)+1)))),1,0)</f>
        <v>0</v>
      </c>
      <c r="AY35" s="6">
        <f>IF(AND(frame($C35,$D35,AW$8),NOT(frame($C35,$D35,VLOOKUP(VLOOKUP(AY$26,FT[],9),Teachers[],MOD(COLUMN(AV35),6)+1)))),1,0)</f>
        <v>0</v>
      </c>
      <c r="AZ35" s="6">
        <f>IF(AND(frame($C35,$D35,AX$8),NOT(frame($C35,$D35,VLOOKUP(VLOOKUP(AZ$26,FT[],9),Teachers[],MOD(COLUMN(AW35),6)+1)))),1,0)</f>
        <v>0</v>
      </c>
      <c r="BA35" s="6">
        <f>IF(AND(frame($C35,$D35,AY$8),NOT(frame($C35,$D35,VLOOKUP(VLOOKUP(BA$26,FT[],9),Teachers[],MOD(COLUMN(AX35),6)+1)))),1,0)</f>
        <v>0</v>
      </c>
      <c r="BB35" s="6">
        <f>IF(AND(frame($C35,$D35,AZ$8),NOT(frame($C35,$D35,VLOOKUP(VLOOKUP(BB$26,FT[],9),Teachers[],MOD(COLUMN(AY35),6)+1)))),1,0)</f>
        <v>0</v>
      </c>
      <c r="BC35" s="6">
        <f>IF(AND(frame($C35,$D35,BA$8),NOT(frame($C35,$D35,VLOOKUP(VLOOKUP(BC$26,FT[],9),Teachers[],MOD(COLUMN(AZ35),6)+1)))),1,0)</f>
        <v>0</v>
      </c>
      <c r="BD35" s="6">
        <f>IF(AND(frame($C35,$D35,BB$8),NOT(frame($C35,$D35,VLOOKUP(VLOOKUP(BD$26,FT[],9),Teachers[],MOD(COLUMN(BA35),6)+1)))),1,0)</f>
        <v>0</v>
      </c>
      <c r="BE35" s="6">
        <f>IF(AND(frame($C35,$D35,BC$8),NOT(frame($C35,$D35,VLOOKUP(VLOOKUP(BE$26,FT[],9),Teachers[],MOD(COLUMN(BB35),6)+1)))),1,0)</f>
        <v>0</v>
      </c>
      <c r="BF35" s="6">
        <f>IF(AND(frame($C35,$D35,BD$8),NOT(frame($C35,$D35,VLOOKUP(VLOOKUP(BF$26,FT[],9),Teachers[],MOD(COLUMN(BC35),6)+1)))),1,0)</f>
        <v>0</v>
      </c>
      <c r="BG35" s="6">
        <f>IF(AND(frame($C35,$D35,BE$8),NOT(frame($C35,$D35,VLOOKUP(VLOOKUP(BG$26,FT[],9),Teachers[],MOD(COLUMN(BD35),6)+1)))),1,0)</f>
        <v>0</v>
      </c>
      <c r="BH35" s="6">
        <f>IF(AND(frame($C35,$D35,BF$8),NOT(frame($C35,$D35,VLOOKUP(VLOOKUP(BH$26,FT[],9),Teachers[],MOD(COLUMN(BE35),6)+1)))),1,0)</f>
        <v>0</v>
      </c>
      <c r="BI35" s="6">
        <f>IF(AND(frame($C35,$D35,BG$8),NOT(frame($C35,$D35,VLOOKUP(VLOOKUP(BI$26,FT[],9),Teachers[],MOD(COLUMN(BF35),6)+1)))),1,0)</f>
        <v>0</v>
      </c>
      <c r="BJ35" s="6">
        <f>IF(AND(frame($C35,$D35,BH$8),NOT(frame($C35,$D35,VLOOKUP(VLOOKUP(BJ$26,FT[],9),Teachers[],MOD(COLUMN(BG35),6)+1)))),1,0)</f>
        <v>0</v>
      </c>
      <c r="BK35" s="6">
        <f>IF(AND(frame($C35,$D35,BI$8),NOT(frame($C35,$D35,VLOOKUP(VLOOKUP(BK$26,FT[],9),Teachers[],MOD(COLUMN(BH35),6)+1)))),1,0)</f>
        <v>0</v>
      </c>
      <c r="BL35" s="6">
        <f>IF(AND(frame($C35,$D35,BJ$8),NOT(frame($C35,$D35,VLOOKUP(VLOOKUP(BL$26,FT[],9),Teachers[],MOD(COLUMN(BI35),6)+1)))),1,0)</f>
        <v>0</v>
      </c>
    </row>
    <row r="36" spans="2:64" ht="15.75" thickBot="1">
      <c r="B36" s="1">
        <v>9</v>
      </c>
      <c r="C36" s="9">
        <v>0.41666666666666669</v>
      </c>
      <c r="D36" s="9">
        <v>0.44791666666666669</v>
      </c>
      <c r="E36" s="6" t="e">
        <f ca="1">frame(СВ[[#This Row],[49]],СВ[[#This Row],[Столбец1]],C15,C29)</f>
        <v>#NAME?</v>
      </c>
      <c r="F36" s="6">
        <f>IF(AND(frame($C36,$D36,D$7),NOT(frame($C36,$D36,VLOOKUP(VLOOKUP(F$26,FT[],9),Teachers[],MOD(COLUMN(B36),6)+1)))),1,0)</f>
        <v>0</v>
      </c>
      <c r="G36" s="6">
        <f>IF(AND(frame($C36,$D36,E$7),NOT(frame($C36,$D36,VLOOKUP(VLOOKUP(G$26,FT[],9),Teachers[],MOD(COLUMN(C36),6)+1)))),1,0)</f>
        <v>0</v>
      </c>
      <c r="H36" s="6">
        <f>IF(AND(frame($C36,$D36,F$7),NOT(frame($C36,$D36,VLOOKUP(VLOOKUP(H$26,FT[],9),Teachers[],MOD(COLUMN(D36),6)+1)))),1,0)</f>
        <v>0</v>
      </c>
      <c r="I36" s="6" t="e">
        <f ca="1">IF(AND(frame($C36,$D36,G$7),NOT(frame($C36,$D36,VLOOKUP(VLOOKUP(I$26,FT[],9),Teachers[],MOD(COLUMN(E36),6)+1)))),1,0)</f>
        <v>#NAME?</v>
      </c>
      <c r="J36" s="6">
        <f>IF(AND(frame($C36,$D36,H$7),NOT(frame($C36,$D36,VLOOKUP(VLOOKUP(J$26,FT[],9),Teachers[],MOD(COLUMN(F36),6)+1)))),1,0)</f>
        <v>0</v>
      </c>
      <c r="K36" s="6">
        <f>IF(AND(frame($C36,$D36,I$8),NOT(frame($C36,$D36,VLOOKUP(VLOOKUP(K$26,FT[],9),Teachers[],MOD(COLUMN(H36),6)+1)))),1,0)</f>
        <v>0</v>
      </c>
      <c r="L36" s="1">
        <f t="shared" si="9"/>
        <v>0</v>
      </c>
      <c r="M36" s="6">
        <f>IF(AND(frame($C36,$D36,K$8),NOT(frame($C36,$D36,VLOOKUP(VLOOKUP(M$26,FT[],9),Teachers[],MOD(COLUMN(J36),6)+1)))),1,0)</f>
        <v>0</v>
      </c>
      <c r="N36" s="6">
        <f>IF(AND(frame($C36,$D36,L$8),NOT(frame($C36,$D36,VLOOKUP(VLOOKUP(N$26,FT[],9),Teachers[],MOD(COLUMN(K36),6)+1)))),1,0)</f>
        <v>0</v>
      </c>
      <c r="O36" s="6">
        <f>IF(AND(frame($C36,$D36,M$8),NOT(frame($C36,$D36,VLOOKUP(VLOOKUP(O$26,FT[],9),Teachers[],MOD(COLUMN(L36),6)+1)))),1,0)</f>
        <v>0</v>
      </c>
      <c r="P36" s="6">
        <f>IF(AND(frame($C36,$D36,N$8),NOT(frame($C36,$D36,VLOOKUP(VLOOKUP(P$26,FT[],9),Teachers[],MOD(COLUMN(M36),6)+1)))),1,0)</f>
        <v>0</v>
      </c>
      <c r="Q36" s="6">
        <f>IF(AND(frame($C36,$D36,O$8),NOT(frame($C36,$D36,VLOOKUP(VLOOKUP(Q$26,FT[],9),Teachers[],MOD(COLUMN(N36),6)+1)))),1,0)</f>
        <v>0</v>
      </c>
      <c r="R36" s="65">
        <f t="shared" si="10"/>
        <v>0</v>
      </c>
      <c r="S36" s="6">
        <f>IF(AND(frame($C36,$D36,Q$8),NOT(frame($C36,$D36,VLOOKUP(VLOOKUP(S$26,FT[],9),Teachers[],MOD(COLUMN(P36),6)+1)))),1,0)</f>
        <v>0</v>
      </c>
      <c r="T36" s="6">
        <f>IF(AND(frame($C36,$D36,R$8),NOT(frame($C36,$D36,VLOOKUP(VLOOKUP(T$26,FT[],9),Teachers[],MOD(COLUMN(Q36),6)+1)))),1,0)</f>
        <v>0</v>
      </c>
      <c r="U36" s="6">
        <f>IF(AND(frame($C36,$D36,S$8),NOT(frame($C36,$D36,VLOOKUP(VLOOKUP(U$26,FT[],9),Teachers[],MOD(COLUMN(R36),6)+1)))),1,0)</f>
        <v>0</v>
      </c>
      <c r="V36" s="6">
        <f>IF(AND(frame($C36,$D36,T$8),NOT(frame($C36,$D36,VLOOKUP(VLOOKUP(V$26,FT[],9),Teachers[],MOD(COLUMN(S36),6)+1)))),1,0)</f>
        <v>0</v>
      </c>
      <c r="W36" s="6">
        <f>IF(AND(frame($C36,$D36,U$8),NOT(frame($C36,$D36,VLOOKUP(VLOOKUP(W$26,FT[],9),Teachers[],MOD(COLUMN(T36),6)+1)))),1,0)</f>
        <v>0</v>
      </c>
      <c r="X36" s="6">
        <f>IF(AND(frame($C36,$D36,V$8),NOT(frame($C36,$D36,VLOOKUP(VLOOKUP(X$26,FT[],9),Teachers[],MOD(COLUMN(U36),6)+1)))),1,0)</f>
        <v>0</v>
      </c>
      <c r="Y36" s="6">
        <f>IF(AND(frame($C36,$D36,W$8),NOT(frame($C36,$D36,VLOOKUP(VLOOKUP(Y$26,FT[],9),Teachers[],MOD(COLUMN(V36),6)+1)))),1,0)</f>
        <v>0</v>
      </c>
      <c r="Z36" s="6">
        <f>IF(AND(frame($C36,$D36,X$8),NOT(frame($C36,$D36,VLOOKUP(VLOOKUP(Z$26,FT[],9),Teachers[],MOD(COLUMN(W36),6)+1)))),1,0)</f>
        <v>0</v>
      </c>
      <c r="AA36" s="6">
        <f>IF(AND(frame($C36,$D36,Y$8),NOT(frame($C36,$D36,VLOOKUP(VLOOKUP(AA$26,FT[],9),Teachers[],MOD(COLUMN(X36),6)+1)))),1,0)</f>
        <v>0</v>
      </c>
      <c r="AB36" s="6">
        <f>IF(AND(frame($C36,$D36,Z$8),NOT(frame($C36,$D36,VLOOKUP(VLOOKUP(AB$26,FT[],9),Teachers[],MOD(COLUMN(Y36),6)+1)))),1,0)</f>
        <v>0</v>
      </c>
      <c r="AC36" s="6">
        <f>IF(AND(frame($C36,$D36,AA$8),NOT(frame($C36,$D36,VLOOKUP(VLOOKUP(AC$26,FT[],9),Teachers[],MOD(COLUMN(Z36),6)+1)))),1,0)</f>
        <v>0</v>
      </c>
      <c r="AD36" s="6">
        <f>IF(AND(frame($C36,$D36,AB$8),NOT(frame($C36,$D36,VLOOKUP(VLOOKUP(AD$26,FT[],9),Teachers[],MOD(COLUMN(AA36),6)+1)))),1,0)</f>
        <v>0</v>
      </c>
      <c r="AE36" s="6">
        <f>IF(AND(frame($C36,$D36,AC$8),NOT(frame($C36,$D36,VLOOKUP(VLOOKUP(AE$26,FT[],9),Teachers[],MOD(COLUMN(AB36),6)+1)))),1,0)</f>
        <v>0</v>
      </c>
      <c r="AF36" s="6">
        <f>IF(AND(frame($C36,$D36,AD$8),NOT(frame($C36,$D36,VLOOKUP(VLOOKUP(AF$26,FT[],9),Teachers[],MOD(COLUMN(AC36),6)+1)))),1,0)</f>
        <v>0</v>
      </c>
      <c r="AG36" s="6">
        <f>IF(AND(frame($C36,$D36,AE$8),NOT(frame($C36,$D36,VLOOKUP(VLOOKUP(AG$26,FT[],9),Teachers[],MOD(COLUMN(AD36),6)+1)))),1,0)</f>
        <v>0</v>
      </c>
      <c r="AH36" s="6">
        <f>IF(AND(frame($C36,$D36,AF$8),NOT(frame($C36,$D36,VLOOKUP(VLOOKUP(AH$26,FT[],9),Teachers[],MOD(COLUMN(AE36),6)+1)))),1,0)</f>
        <v>0</v>
      </c>
      <c r="AI36" s="6">
        <f>IF(AND(frame($C36,$D36,AG$8),NOT(frame($C36,$D36,VLOOKUP(VLOOKUP(AI$26,FT[],9),Teachers[],MOD(COLUMN(AF36),6)+1)))),1,0)</f>
        <v>0</v>
      </c>
      <c r="AJ36" s="6">
        <f>IF(AND(frame($C36,$D36,AH$8),NOT(frame($C36,$D36,VLOOKUP(VLOOKUP(AJ$26,FT[],9),Teachers[],MOD(COLUMN(AG36),6)+1)))),1,0)</f>
        <v>0</v>
      </c>
      <c r="AK36" s="6">
        <f>IF(AND(frame($C36,$D36,AI$8),NOT(frame($C36,$D36,VLOOKUP(VLOOKUP(AK$26,FT[],9),Teachers[],MOD(COLUMN(AH36),6)+1)))),1,0)</f>
        <v>0</v>
      </c>
      <c r="AL36" s="6">
        <f>IF(AND(frame($C36,$D36,AJ$8),NOT(frame($C36,$D36,VLOOKUP(VLOOKUP(AL$26,FT[],9),Teachers[],MOD(COLUMN(AI36),6)+1)))),1,0)</f>
        <v>0</v>
      </c>
      <c r="AM36" s="6">
        <f>IF(AND(frame($C36,$D36,AK$8),NOT(frame($C36,$D36,VLOOKUP(VLOOKUP(AM$26,FT[],9),Teachers[],MOD(COLUMN(AJ36),6)+1)))),1,0)</f>
        <v>0</v>
      </c>
      <c r="AN36" s="6">
        <f>IF(AND(frame($C36,$D36,AL$8),NOT(frame($C36,$D36,VLOOKUP(VLOOKUP(AN$26,FT[],9),Teachers[],MOD(COLUMN(AK36),6)+1)))),1,0)</f>
        <v>0</v>
      </c>
      <c r="AO36" s="6">
        <f>IF(AND(frame($C36,$D36,AM$8),NOT(frame($C36,$D36,VLOOKUP(VLOOKUP(AO$26,FT[],9),Teachers[],MOD(COLUMN(AL36),6)+1)))),1,0)</f>
        <v>0</v>
      </c>
      <c r="AP36" s="66">
        <f t="shared" si="11"/>
        <v>0</v>
      </c>
      <c r="AQ36" s="6">
        <f>IF(AND(frame($C36,$D36,AO$8),NOT(frame($C36,$D36,VLOOKUP(VLOOKUP(AQ$26,FT[],9),Teachers[],MOD(COLUMN(AN36),6)+1)))),1,0)</f>
        <v>0</v>
      </c>
      <c r="AR36" s="6">
        <f>IF(AND(frame($C36,$D36,AP$8),NOT(frame($C36,$D36,VLOOKUP(VLOOKUP(AR$26,FT[],9),Teachers[],MOD(COLUMN(AO36),6)+1)))),1,0)</f>
        <v>0</v>
      </c>
      <c r="AS36" s="6">
        <f>IF(AND(frame($C36,$D36,AQ$8),NOT(frame($C36,$D36,VLOOKUP(VLOOKUP(AS$26,FT[],9),Teachers[],MOD(COLUMN(AP36),6)+1)))),1,0)</f>
        <v>0</v>
      </c>
      <c r="AT36" s="6">
        <f>IF(AND(frame($C36,$D36,AR$8),NOT(frame($C36,$D36,VLOOKUP(VLOOKUP(AT$26,FT[],9),Teachers[],MOD(COLUMN(AQ36),6)+1)))),1,0)</f>
        <v>0</v>
      </c>
      <c r="AU36" s="6">
        <f>IF(AND(frame($C36,$D36,AS$8),NOT(frame($C36,$D36,VLOOKUP(VLOOKUP(AU$26,FT[],9),Teachers[],MOD(COLUMN(AR36),6)+1)))),1,0)</f>
        <v>0</v>
      </c>
      <c r="AV36" s="6">
        <f>IF(AND(frame($C36,$D36,AT$8),NOT(frame($C36,$D36,VLOOKUP(VLOOKUP(AV$26,FT[],9),Teachers[],MOD(COLUMN(AS36),6)+1)))),1,0)</f>
        <v>0</v>
      </c>
      <c r="AW36" s="6">
        <f>IF(AND(frame($C36,$D36,AU$8),NOT(frame($C36,$D36,VLOOKUP(VLOOKUP(AW$26,FT[],9),Teachers[],MOD(COLUMN(AT36),6)+1)))),1,0)</f>
        <v>0</v>
      </c>
      <c r="AX36" s="6">
        <f>IF(AND(frame($C36,$D36,AV$8),NOT(frame($C36,$D36,VLOOKUP(VLOOKUP(AX$26,FT[],9),Teachers[],MOD(COLUMN(AU36),6)+1)))),1,0)</f>
        <v>0</v>
      </c>
      <c r="AY36" s="6">
        <f>IF(AND(frame($C36,$D36,AW$8),NOT(frame($C36,$D36,VLOOKUP(VLOOKUP(AY$26,FT[],9),Teachers[],MOD(COLUMN(AV36),6)+1)))),1,0)</f>
        <v>0</v>
      </c>
      <c r="AZ36" s="6">
        <f>IF(AND(frame($C36,$D36,AX$8),NOT(frame($C36,$D36,VLOOKUP(VLOOKUP(AZ$26,FT[],9),Teachers[],MOD(COLUMN(AW36),6)+1)))),1,0)</f>
        <v>0</v>
      </c>
      <c r="BA36" s="6">
        <f>IF(AND(frame($C36,$D36,AY$8),NOT(frame($C36,$D36,VLOOKUP(VLOOKUP(BA$26,FT[],9),Teachers[],MOD(COLUMN(AX36),6)+1)))),1,0)</f>
        <v>0</v>
      </c>
      <c r="BB36" s="6">
        <f>IF(AND(frame($C36,$D36,AZ$8),NOT(frame($C36,$D36,VLOOKUP(VLOOKUP(BB$26,FT[],9),Teachers[],MOD(COLUMN(AY36),6)+1)))),1,0)</f>
        <v>0</v>
      </c>
      <c r="BC36" s="6">
        <f>IF(AND(frame($C36,$D36,BA$8),NOT(frame($C36,$D36,VLOOKUP(VLOOKUP(BC$26,FT[],9),Teachers[],MOD(COLUMN(AZ36),6)+1)))),1,0)</f>
        <v>0</v>
      </c>
      <c r="BD36" s="6">
        <f>IF(AND(frame($C36,$D36,BB$8),NOT(frame($C36,$D36,VLOOKUP(VLOOKUP(BD$26,FT[],9),Teachers[],MOD(COLUMN(BA36),6)+1)))),1,0)</f>
        <v>0</v>
      </c>
      <c r="BE36" s="6">
        <f>IF(AND(frame($C36,$D36,BC$8),NOT(frame($C36,$D36,VLOOKUP(VLOOKUP(BE$26,FT[],9),Teachers[],MOD(COLUMN(BB36),6)+1)))),1,0)</f>
        <v>0</v>
      </c>
      <c r="BF36" s="6">
        <f>IF(AND(frame($C36,$D36,BD$8),NOT(frame($C36,$D36,VLOOKUP(VLOOKUP(BF$26,FT[],9),Teachers[],MOD(COLUMN(BC36),6)+1)))),1,0)</f>
        <v>0</v>
      </c>
      <c r="BG36" s="6">
        <f>IF(AND(frame($C36,$D36,BE$8),NOT(frame($C36,$D36,VLOOKUP(VLOOKUP(BG$26,FT[],9),Teachers[],MOD(COLUMN(BD36),6)+1)))),1,0)</f>
        <v>0</v>
      </c>
      <c r="BH36" s="6">
        <f>IF(AND(frame($C36,$D36,BF$8),NOT(frame($C36,$D36,VLOOKUP(VLOOKUP(BH$26,FT[],9),Teachers[],MOD(COLUMN(BE36),6)+1)))),1,0)</f>
        <v>0</v>
      </c>
      <c r="BI36" s="6">
        <f>IF(AND(frame($C36,$D36,BG$8),NOT(frame($C36,$D36,VLOOKUP(VLOOKUP(BI$26,FT[],9),Teachers[],MOD(COLUMN(BF36),6)+1)))),1,0)</f>
        <v>0</v>
      </c>
      <c r="BJ36" s="6">
        <f>IF(AND(frame($C36,$D36,BH$8),NOT(frame($C36,$D36,VLOOKUP(VLOOKUP(BJ$26,FT[],9),Teachers[],MOD(COLUMN(BG36),6)+1)))),1,0)</f>
        <v>0</v>
      </c>
      <c r="BK36" s="6">
        <f>IF(AND(frame($C36,$D36,BI$8),NOT(frame($C36,$D36,VLOOKUP(VLOOKUP(BK$26,FT[],9),Teachers[],MOD(COLUMN(BH36),6)+1)))),1,0)</f>
        <v>0</v>
      </c>
      <c r="BL36" s="6">
        <f>IF(AND(frame($C36,$D36,BJ$8),NOT(frame($C36,$D36,VLOOKUP(VLOOKUP(BL$26,FT[],9),Teachers[],MOD(COLUMN(BI36),6)+1)))),1,0)</f>
        <v>0</v>
      </c>
    </row>
    <row r="37" spans="2:64" ht="15.75" thickBot="1">
      <c r="B37" s="1">
        <v>10</v>
      </c>
      <c r="C37" s="9">
        <v>0.41666666666666669</v>
      </c>
      <c r="D37" s="9">
        <v>0.45833333333333331</v>
      </c>
      <c r="E37" s="6" t="e">
        <f ca="1">frame(СВ[[#This Row],[49]],СВ[[#This Row],[Столбец1]],C16,C30)</f>
        <v>#NAME?</v>
      </c>
      <c r="F37" s="6">
        <f>IF(AND(frame($C37,$D37,D$7),NOT(frame($C37,$D37,VLOOKUP(VLOOKUP(F$26,FT[],9),Teachers[],MOD(COLUMN(B37),6)+1)))),1,0)</f>
        <v>0</v>
      </c>
      <c r="G37" s="6">
        <f>IF(AND(frame($C37,$D37,E$7),NOT(frame($C37,$D37,VLOOKUP(VLOOKUP(G$26,FT[],9),Teachers[],MOD(COLUMN(C37),6)+1)))),1,0)</f>
        <v>0</v>
      </c>
      <c r="H37" s="6">
        <f>IF(AND(frame($C37,$D37,F$7),NOT(frame($C37,$D37,VLOOKUP(VLOOKUP(H$26,FT[],9),Teachers[],MOD(COLUMN(D37),6)+1)))),1,0)</f>
        <v>0</v>
      </c>
      <c r="I37" s="6" t="e">
        <f ca="1">IF(AND(frame($C37,$D37,G$7),NOT(frame($C37,$D37,VLOOKUP(VLOOKUP(I$26,FT[],9),Teachers[],MOD(COLUMN(E37),6)+1)))),1,0)</f>
        <v>#NAME?</v>
      </c>
      <c r="J37" s="6">
        <f>IF(AND(frame($C37,$D37,H$7),NOT(frame($C37,$D37,VLOOKUP(VLOOKUP(J$26,FT[],9),Teachers[],MOD(COLUMN(F37),6)+1)))),1,0)</f>
        <v>0</v>
      </c>
      <c r="K37" s="6">
        <f>IF(AND(frame($C37,$D37,I$8),NOT(frame($C37,$D37,VLOOKUP(VLOOKUP(K$26,FT[],9),Teachers[],MOD(COLUMN(H37),6)+1)))),1,0)</f>
        <v>0</v>
      </c>
      <c r="L37" s="1">
        <f t="shared" si="9"/>
        <v>0</v>
      </c>
      <c r="M37" s="6">
        <f>IF(AND(frame($C37,$D37,K$8),NOT(frame($C37,$D37,VLOOKUP(VLOOKUP(M$26,FT[],9),Teachers[],MOD(COLUMN(J37),6)+1)))),1,0)</f>
        <v>0</v>
      </c>
      <c r="N37" s="6">
        <f>IF(AND(frame($C37,$D37,L$8),NOT(frame($C37,$D37,VLOOKUP(VLOOKUP(N$26,FT[],9),Teachers[],MOD(COLUMN(K37),6)+1)))),1,0)</f>
        <v>0</v>
      </c>
      <c r="O37" s="6">
        <f>IF(AND(frame($C37,$D37,M$8),NOT(frame($C37,$D37,VLOOKUP(VLOOKUP(O$26,FT[],9),Teachers[],MOD(COLUMN(L37),6)+1)))),1,0)</f>
        <v>0</v>
      </c>
      <c r="P37" s="6">
        <f>IF(AND(frame($C37,$D37,N$8),NOT(frame($C37,$D37,VLOOKUP(VLOOKUP(P$26,FT[],9),Teachers[],MOD(COLUMN(M37),6)+1)))),1,0)</f>
        <v>0</v>
      </c>
      <c r="Q37" s="6">
        <f>IF(AND(frame($C37,$D37,O$8),NOT(frame($C37,$D37,VLOOKUP(VLOOKUP(Q$26,FT[],9),Teachers[],MOD(COLUMN(N37),6)+1)))),1,0)</f>
        <v>0</v>
      </c>
      <c r="R37" s="65">
        <f t="shared" si="10"/>
        <v>0</v>
      </c>
      <c r="S37" s="6">
        <f>IF(AND(frame($C37,$D37,Q$8),NOT(frame($C37,$D37,VLOOKUP(VLOOKUP(S$26,FT[],9),Teachers[],MOD(COLUMN(P37),6)+1)))),1,0)</f>
        <v>0</v>
      </c>
      <c r="T37" s="6">
        <f>IF(AND(frame($C37,$D37,R$8),NOT(frame($C37,$D37,VLOOKUP(VLOOKUP(T$26,FT[],9),Teachers[],MOD(COLUMN(Q37),6)+1)))),1,0)</f>
        <v>0</v>
      </c>
      <c r="U37" s="6">
        <f>IF(AND(frame($C37,$D37,S$8),NOT(frame($C37,$D37,VLOOKUP(VLOOKUP(U$26,FT[],9),Teachers[],MOD(COLUMN(R37),6)+1)))),1,0)</f>
        <v>0</v>
      </c>
      <c r="V37" s="6">
        <f>IF(AND(frame($C37,$D37,T$8),NOT(frame($C37,$D37,VLOOKUP(VLOOKUP(V$26,FT[],9),Teachers[],MOD(COLUMN(S37),6)+1)))),1,0)</f>
        <v>0</v>
      </c>
      <c r="W37" s="6">
        <f>IF(AND(frame($C37,$D37,U$8),NOT(frame($C37,$D37,VLOOKUP(VLOOKUP(W$26,FT[],9),Teachers[],MOD(COLUMN(T37),6)+1)))),1,0)</f>
        <v>0</v>
      </c>
      <c r="X37" s="6">
        <f>IF(AND(frame($C37,$D37,V$8),NOT(frame($C37,$D37,VLOOKUP(VLOOKUP(X$26,FT[],9),Teachers[],MOD(COLUMN(U37),6)+1)))),1,0)</f>
        <v>0</v>
      </c>
      <c r="Y37" s="6">
        <f>IF(AND(frame($C37,$D37,W$8),NOT(frame($C37,$D37,VLOOKUP(VLOOKUP(Y$26,FT[],9),Teachers[],MOD(COLUMN(V37),6)+1)))),1,0)</f>
        <v>0</v>
      </c>
      <c r="Z37" s="6">
        <f>IF(AND(frame($C37,$D37,X$8),NOT(frame($C37,$D37,VLOOKUP(VLOOKUP(Z$26,FT[],9),Teachers[],MOD(COLUMN(W37),6)+1)))),1,0)</f>
        <v>0</v>
      </c>
      <c r="AA37" s="6">
        <f>IF(AND(frame($C37,$D37,Y$8),NOT(frame($C37,$D37,VLOOKUP(VLOOKUP(AA$26,FT[],9),Teachers[],MOD(COLUMN(X37),6)+1)))),1,0)</f>
        <v>0</v>
      </c>
      <c r="AB37" s="6">
        <f>IF(AND(frame($C37,$D37,Z$8),NOT(frame($C37,$D37,VLOOKUP(VLOOKUP(AB$26,FT[],9),Teachers[],MOD(COLUMN(Y37),6)+1)))),1,0)</f>
        <v>0</v>
      </c>
      <c r="AC37" s="6">
        <f>IF(AND(frame($C37,$D37,AA$8),NOT(frame($C37,$D37,VLOOKUP(VLOOKUP(AC$26,FT[],9),Teachers[],MOD(COLUMN(Z37),6)+1)))),1,0)</f>
        <v>0</v>
      </c>
      <c r="AD37" s="6">
        <f>IF(AND(frame($C37,$D37,AB$8),NOT(frame($C37,$D37,VLOOKUP(VLOOKUP(AD$26,FT[],9),Teachers[],MOD(COLUMN(AA37),6)+1)))),1,0)</f>
        <v>0</v>
      </c>
      <c r="AE37" s="6">
        <f>IF(AND(frame($C37,$D37,AC$8),NOT(frame($C37,$D37,VLOOKUP(VLOOKUP(AE$26,FT[],9),Teachers[],MOD(COLUMN(AB37),6)+1)))),1,0)</f>
        <v>0</v>
      </c>
      <c r="AF37" s="6">
        <f>IF(AND(frame($C37,$D37,AD$8),NOT(frame($C37,$D37,VLOOKUP(VLOOKUP(AF$26,FT[],9),Teachers[],MOD(COLUMN(AC37),6)+1)))),1,0)</f>
        <v>0</v>
      </c>
      <c r="AG37" s="6">
        <f>IF(AND(frame($C37,$D37,AE$8),NOT(frame($C37,$D37,VLOOKUP(VLOOKUP(AG$26,FT[],9),Teachers[],MOD(COLUMN(AD37),6)+1)))),1,0)</f>
        <v>0</v>
      </c>
      <c r="AH37" s="6">
        <f>IF(AND(frame($C37,$D37,AF$8),NOT(frame($C37,$D37,VLOOKUP(VLOOKUP(AH$26,FT[],9),Teachers[],MOD(COLUMN(AE37),6)+1)))),1,0)</f>
        <v>0</v>
      </c>
      <c r="AI37" s="6">
        <f>IF(AND(frame($C37,$D37,AG$8),NOT(frame($C37,$D37,VLOOKUP(VLOOKUP(AI$26,FT[],9),Teachers[],MOD(COLUMN(AF37),6)+1)))),1,0)</f>
        <v>0</v>
      </c>
      <c r="AJ37" s="6">
        <f>IF(AND(frame($C37,$D37,AH$8),NOT(frame($C37,$D37,VLOOKUP(VLOOKUP(AJ$26,FT[],9),Teachers[],MOD(COLUMN(AG37),6)+1)))),1,0)</f>
        <v>0</v>
      </c>
      <c r="AK37" s="6">
        <f>IF(AND(frame($C37,$D37,AI$8),NOT(frame($C37,$D37,VLOOKUP(VLOOKUP(AK$26,FT[],9),Teachers[],MOD(COLUMN(AH37),6)+1)))),1,0)</f>
        <v>0</v>
      </c>
      <c r="AL37" s="6">
        <f>IF(AND(frame($C37,$D37,AJ$8),NOT(frame($C37,$D37,VLOOKUP(VLOOKUP(AL$26,FT[],9),Teachers[],MOD(COLUMN(AI37),6)+1)))),1,0)</f>
        <v>0</v>
      </c>
      <c r="AM37" s="6">
        <f>IF(AND(frame($C37,$D37,AK$8),NOT(frame($C37,$D37,VLOOKUP(VLOOKUP(AM$26,FT[],9),Teachers[],MOD(COLUMN(AJ37),6)+1)))),1,0)</f>
        <v>0</v>
      </c>
      <c r="AN37" s="6">
        <f>IF(AND(frame($C37,$D37,AL$8),NOT(frame($C37,$D37,VLOOKUP(VLOOKUP(AN$26,FT[],9),Teachers[],MOD(COLUMN(AK37),6)+1)))),1,0)</f>
        <v>0</v>
      </c>
      <c r="AO37" s="6">
        <f>IF(AND(frame($C37,$D37,AM$8),NOT(frame($C37,$D37,VLOOKUP(VLOOKUP(AO$26,FT[],9),Teachers[],MOD(COLUMN(AL37),6)+1)))),1,0)</f>
        <v>0</v>
      </c>
      <c r="AP37" s="66">
        <f t="shared" si="11"/>
        <v>0</v>
      </c>
      <c r="AQ37" s="6">
        <f>IF(AND(frame($C37,$D37,AO$8),NOT(frame($C37,$D37,VLOOKUP(VLOOKUP(AQ$26,FT[],9),Teachers[],MOD(COLUMN(AN37),6)+1)))),1,0)</f>
        <v>0</v>
      </c>
      <c r="AR37" s="6">
        <f>IF(AND(frame($C37,$D37,AP$8),NOT(frame($C37,$D37,VLOOKUP(VLOOKUP(AR$26,FT[],9),Teachers[],MOD(COLUMN(AO37),6)+1)))),1,0)</f>
        <v>0</v>
      </c>
      <c r="AS37" s="6">
        <f>IF(AND(frame($C37,$D37,AQ$8),NOT(frame($C37,$D37,VLOOKUP(VLOOKUP(AS$26,FT[],9),Teachers[],MOD(COLUMN(AP37),6)+1)))),1,0)</f>
        <v>0</v>
      </c>
      <c r="AT37" s="6">
        <f>IF(AND(frame($C37,$D37,AR$8),NOT(frame($C37,$D37,VLOOKUP(VLOOKUP(AT$26,FT[],9),Teachers[],MOD(COLUMN(AQ37),6)+1)))),1,0)</f>
        <v>0</v>
      </c>
      <c r="AU37" s="6">
        <f>IF(AND(frame($C37,$D37,AS$8),NOT(frame($C37,$D37,VLOOKUP(VLOOKUP(AU$26,FT[],9),Teachers[],MOD(COLUMN(AR37),6)+1)))),1,0)</f>
        <v>0</v>
      </c>
      <c r="AV37" s="6">
        <f>IF(AND(frame($C37,$D37,AT$8),NOT(frame($C37,$D37,VLOOKUP(VLOOKUP(AV$26,FT[],9),Teachers[],MOD(COLUMN(AS37),6)+1)))),1,0)</f>
        <v>0</v>
      </c>
      <c r="AW37" s="6">
        <f>IF(AND(frame($C37,$D37,AU$8),NOT(frame($C37,$D37,VLOOKUP(VLOOKUP(AW$26,FT[],9),Teachers[],MOD(COLUMN(AT37),6)+1)))),1,0)</f>
        <v>0</v>
      </c>
      <c r="AX37" s="6">
        <f>IF(AND(frame($C37,$D37,AV$8),NOT(frame($C37,$D37,VLOOKUP(VLOOKUP(AX$26,FT[],9),Teachers[],MOD(COLUMN(AU37),6)+1)))),1,0)</f>
        <v>0</v>
      </c>
      <c r="AY37" s="6">
        <f>IF(AND(frame($C37,$D37,AW$8),NOT(frame($C37,$D37,VLOOKUP(VLOOKUP(AY$26,FT[],9),Teachers[],MOD(COLUMN(AV37),6)+1)))),1,0)</f>
        <v>0</v>
      </c>
      <c r="AZ37" s="6">
        <f>IF(AND(frame($C37,$D37,AX$8),NOT(frame($C37,$D37,VLOOKUP(VLOOKUP(AZ$26,FT[],9),Teachers[],MOD(COLUMN(AW37),6)+1)))),1,0)</f>
        <v>0</v>
      </c>
      <c r="BA37" s="6">
        <f>IF(AND(frame($C37,$D37,AY$8),NOT(frame($C37,$D37,VLOOKUP(VLOOKUP(BA$26,FT[],9),Teachers[],MOD(COLUMN(AX37),6)+1)))),1,0)</f>
        <v>0</v>
      </c>
      <c r="BB37" s="6">
        <f>IF(AND(frame($C37,$D37,AZ$8),NOT(frame($C37,$D37,VLOOKUP(VLOOKUP(BB$26,FT[],9),Teachers[],MOD(COLUMN(AY37),6)+1)))),1,0)</f>
        <v>0</v>
      </c>
      <c r="BC37" s="6">
        <f>IF(AND(frame($C37,$D37,BA$8),NOT(frame($C37,$D37,VLOOKUP(VLOOKUP(BC$26,FT[],9),Teachers[],MOD(COLUMN(AZ37),6)+1)))),1,0)</f>
        <v>0</v>
      </c>
      <c r="BD37" s="6">
        <f>IF(AND(frame($C37,$D37,BB$8),NOT(frame($C37,$D37,VLOOKUP(VLOOKUP(BD$26,FT[],9),Teachers[],MOD(COLUMN(BA37),6)+1)))),1,0)</f>
        <v>0</v>
      </c>
      <c r="BE37" s="6">
        <f>IF(AND(frame($C37,$D37,BC$8),NOT(frame($C37,$D37,VLOOKUP(VLOOKUP(BE$26,FT[],9),Teachers[],MOD(COLUMN(BB37),6)+1)))),1,0)</f>
        <v>0</v>
      </c>
      <c r="BF37" s="6">
        <f>IF(AND(frame($C37,$D37,BD$8),NOT(frame($C37,$D37,VLOOKUP(VLOOKUP(BF$26,FT[],9),Teachers[],MOD(COLUMN(BC37),6)+1)))),1,0)</f>
        <v>0</v>
      </c>
      <c r="BG37" s="6">
        <f>IF(AND(frame($C37,$D37,BE$8),NOT(frame($C37,$D37,VLOOKUP(VLOOKUP(BG$26,FT[],9),Teachers[],MOD(COLUMN(BD37),6)+1)))),1,0)</f>
        <v>0</v>
      </c>
      <c r="BH37" s="6">
        <f>IF(AND(frame($C37,$D37,BF$8),NOT(frame($C37,$D37,VLOOKUP(VLOOKUP(BH$26,FT[],9),Teachers[],MOD(COLUMN(BE37),6)+1)))),1,0)</f>
        <v>0</v>
      </c>
      <c r="BI37" s="6">
        <f>IF(AND(frame($C37,$D37,BG$8),NOT(frame($C37,$D37,VLOOKUP(VLOOKUP(BI$26,FT[],9),Teachers[],MOD(COLUMN(BF37),6)+1)))),1,0)</f>
        <v>0</v>
      </c>
      <c r="BJ37" s="6">
        <f>IF(AND(frame($C37,$D37,BH$8),NOT(frame($C37,$D37,VLOOKUP(VLOOKUP(BJ$26,FT[],9),Teachers[],MOD(COLUMN(BG37),6)+1)))),1,0)</f>
        <v>0</v>
      </c>
      <c r="BK37" s="6">
        <f>IF(AND(frame($C37,$D37,BI$8),NOT(frame($C37,$D37,VLOOKUP(VLOOKUP(BK$26,FT[],9),Teachers[],MOD(COLUMN(BH37),6)+1)))),1,0)</f>
        <v>0</v>
      </c>
      <c r="BL37" s="6">
        <f>IF(AND(frame($C37,$D37,BJ$8),NOT(frame($C37,$D37,VLOOKUP(VLOOKUP(BL$26,FT[],9),Teachers[],MOD(COLUMN(BI37),6)+1)))),1,0)</f>
        <v>0</v>
      </c>
    </row>
    <row r="38" spans="2:64" ht="15.75" thickBot="1">
      <c r="B38" s="1">
        <v>11</v>
      </c>
      <c r="C38" s="9">
        <v>0.42708333333333331</v>
      </c>
      <c r="D38" s="9">
        <v>0.45833333333333331</v>
      </c>
      <c r="E38" s="6" t="e">
        <f ca="1">frame(СВ[[#This Row],[49]],СВ[[#This Row],[Столбец1]],C17,C31)</f>
        <v>#NAME?</v>
      </c>
      <c r="F38" s="6">
        <f>IF(AND(frame($C38,$D38,D$7),NOT(frame($C38,$D38,VLOOKUP(VLOOKUP(F$26,FT[],9),Teachers[],MOD(COLUMN(B38),6)+1)))),1,0)</f>
        <v>0</v>
      </c>
      <c r="G38" s="6">
        <f>IF(AND(frame($C38,$D38,E$7),NOT(frame($C38,$D38,VLOOKUP(VLOOKUP(G$26,FT[],9),Teachers[],MOD(COLUMN(C38),6)+1)))),1,0)</f>
        <v>0</v>
      </c>
      <c r="H38" s="6">
        <f>IF(AND(frame($C38,$D38,F$7),NOT(frame($C38,$D38,VLOOKUP(VLOOKUP(H$26,FT[],9),Teachers[],MOD(COLUMN(D38),6)+1)))),1,0)</f>
        <v>0</v>
      </c>
      <c r="I38" s="6" t="e">
        <f ca="1">IF(AND(frame($C38,$D38,G$7),NOT(frame($C38,$D38,VLOOKUP(VLOOKUP(I$26,FT[],9),Teachers[],MOD(COLUMN(E38),6)+1)))),1,0)</f>
        <v>#NAME?</v>
      </c>
      <c r="J38" s="6">
        <f>IF(AND(frame($C38,$D38,H$7),NOT(frame($C38,$D38,VLOOKUP(VLOOKUP(J$26,FT[],9),Teachers[],MOD(COLUMN(F38),6)+1)))),1,0)</f>
        <v>0</v>
      </c>
      <c r="K38" s="6">
        <f>IF(AND(frame($C38,$D38,I$8),NOT(frame($C38,$D38,VLOOKUP(VLOOKUP(K$26,FT[],9),Teachers[],MOD(COLUMN(H38),6)+1)))),1,0)</f>
        <v>0</v>
      </c>
      <c r="L38" s="1">
        <f t="shared" si="9"/>
        <v>0</v>
      </c>
      <c r="M38" s="6">
        <f>IF(AND(frame($C38,$D38,K$8),NOT(frame($C38,$D38,VLOOKUP(VLOOKUP(M$26,FT[],9),Teachers[],MOD(COLUMN(J38),6)+1)))),1,0)</f>
        <v>0</v>
      </c>
      <c r="N38" s="6">
        <f>IF(AND(frame($C38,$D38,L$8),NOT(frame($C38,$D38,VLOOKUP(VLOOKUP(N$26,FT[],9),Teachers[],MOD(COLUMN(K38),6)+1)))),1,0)</f>
        <v>0</v>
      </c>
      <c r="O38" s="6">
        <f>IF(AND(frame($C38,$D38,M$8),NOT(frame($C38,$D38,VLOOKUP(VLOOKUP(O$26,FT[],9),Teachers[],MOD(COLUMN(L38),6)+1)))),1,0)</f>
        <v>0</v>
      </c>
      <c r="P38" s="6">
        <f>IF(AND(frame($C38,$D38,N$8),NOT(frame($C38,$D38,VLOOKUP(VLOOKUP(P$26,FT[],9),Teachers[],MOD(COLUMN(M38),6)+1)))),1,0)</f>
        <v>0</v>
      </c>
      <c r="Q38" s="6">
        <f>IF(AND(frame($C38,$D38,O$8),NOT(frame($C38,$D38,VLOOKUP(VLOOKUP(Q$26,FT[],9),Teachers[],MOD(COLUMN(N38),6)+1)))),1,0)</f>
        <v>0</v>
      </c>
      <c r="R38" s="65">
        <f t="shared" si="10"/>
        <v>0</v>
      </c>
      <c r="S38" s="6">
        <f>IF(AND(frame($C38,$D38,Q$8),NOT(frame($C38,$D38,VLOOKUP(VLOOKUP(S$26,FT[],9),Teachers[],MOD(COLUMN(P38),6)+1)))),1,0)</f>
        <v>0</v>
      </c>
      <c r="T38" s="6">
        <f>IF(AND(frame($C38,$D38,R$8),NOT(frame($C38,$D38,VLOOKUP(VLOOKUP(T$26,FT[],9),Teachers[],MOD(COLUMN(Q38),6)+1)))),1,0)</f>
        <v>0</v>
      </c>
      <c r="U38" s="6">
        <f>IF(AND(frame($C38,$D38,S$8),NOT(frame($C38,$D38,VLOOKUP(VLOOKUP(U$26,FT[],9),Teachers[],MOD(COLUMN(R38),6)+1)))),1,0)</f>
        <v>0</v>
      </c>
      <c r="V38" s="6">
        <f>IF(AND(frame($C38,$D38,T$8),NOT(frame($C38,$D38,VLOOKUP(VLOOKUP(V$26,FT[],9),Teachers[],MOD(COLUMN(S38),6)+1)))),1,0)</f>
        <v>0</v>
      </c>
      <c r="W38" s="6">
        <f>IF(AND(frame($C38,$D38,U$8),NOT(frame($C38,$D38,VLOOKUP(VLOOKUP(W$26,FT[],9),Teachers[],MOD(COLUMN(T38),6)+1)))),1,0)</f>
        <v>0</v>
      </c>
      <c r="X38" s="6">
        <f>IF(AND(frame($C38,$D38,V$8),NOT(frame($C38,$D38,VLOOKUP(VLOOKUP(X$26,FT[],9),Teachers[],MOD(COLUMN(U38),6)+1)))),1,0)</f>
        <v>0</v>
      </c>
      <c r="Y38" s="6">
        <f>IF(AND(frame($C38,$D38,W$8),NOT(frame($C38,$D38,VLOOKUP(VLOOKUP(Y$26,FT[],9),Teachers[],MOD(COLUMN(V38),6)+1)))),1,0)</f>
        <v>0</v>
      </c>
      <c r="Z38" s="6">
        <f>IF(AND(frame($C38,$D38,X$8),NOT(frame($C38,$D38,VLOOKUP(VLOOKUP(Z$26,FT[],9),Teachers[],MOD(COLUMN(W38),6)+1)))),1,0)</f>
        <v>0</v>
      </c>
      <c r="AA38" s="6">
        <f>IF(AND(frame($C38,$D38,Y$8),NOT(frame($C38,$D38,VLOOKUP(VLOOKUP(AA$26,FT[],9),Teachers[],MOD(COLUMN(X38),6)+1)))),1,0)</f>
        <v>0</v>
      </c>
      <c r="AB38" s="6">
        <f>IF(AND(frame($C38,$D38,Z$8),NOT(frame($C38,$D38,VLOOKUP(VLOOKUP(AB$26,FT[],9),Teachers[],MOD(COLUMN(Y38),6)+1)))),1,0)</f>
        <v>0</v>
      </c>
      <c r="AC38" s="6">
        <f>IF(AND(frame($C38,$D38,AA$8),NOT(frame($C38,$D38,VLOOKUP(VLOOKUP(AC$26,FT[],9),Teachers[],MOD(COLUMN(Z38),6)+1)))),1,0)</f>
        <v>0</v>
      </c>
      <c r="AD38" s="6">
        <f>IF(AND(frame($C38,$D38,AB$8),NOT(frame($C38,$D38,VLOOKUP(VLOOKUP(AD$26,FT[],9),Teachers[],MOD(COLUMN(AA38),6)+1)))),1,0)</f>
        <v>0</v>
      </c>
      <c r="AE38" s="6">
        <f>IF(AND(frame($C38,$D38,AC$8),NOT(frame($C38,$D38,VLOOKUP(VLOOKUP(AE$26,FT[],9),Teachers[],MOD(COLUMN(AB38),6)+1)))),1,0)</f>
        <v>0</v>
      </c>
      <c r="AF38" s="6">
        <f>IF(AND(frame($C38,$D38,AD$8),NOT(frame($C38,$D38,VLOOKUP(VLOOKUP(AF$26,FT[],9),Teachers[],MOD(COLUMN(AC38),6)+1)))),1,0)</f>
        <v>0</v>
      </c>
      <c r="AG38" s="6">
        <f>IF(AND(frame($C38,$D38,AE$8),NOT(frame($C38,$D38,VLOOKUP(VLOOKUP(AG$26,FT[],9),Teachers[],MOD(COLUMN(AD38),6)+1)))),1,0)</f>
        <v>0</v>
      </c>
      <c r="AH38" s="6">
        <f>IF(AND(frame($C38,$D38,AF$8),NOT(frame($C38,$D38,VLOOKUP(VLOOKUP(AH$26,FT[],9),Teachers[],MOD(COLUMN(AE38),6)+1)))),1,0)</f>
        <v>0</v>
      </c>
      <c r="AI38" s="6">
        <f>IF(AND(frame($C38,$D38,AG$8),NOT(frame($C38,$D38,VLOOKUP(VLOOKUP(AI$26,FT[],9),Teachers[],MOD(COLUMN(AF38),6)+1)))),1,0)</f>
        <v>0</v>
      </c>
      <c r="AJ38" s="6">
        <f>IF(AND(frame($C38,$D38,AH$8),NOT(frame($C38,$D38,VLOOKUP(VLOOKUP(AJ$26,FT[],9),Teachers[],MOD(COLUMN(AG38),6)+1)))),1,0)</f>
        <v>0</v>
      </c>
      <c r="AK38" s="6">
        <f>IF(AND(frame($C38,$D38,AI$8),NOT(frame($C38,$D38,VLOOKUP(VLOOKUP(AK$26,FT[],9),Teachers[],MOD(COLUMN(AH38),6)+1)))),1,0)</f>
        <v>0</v>
      </c>
      <c r="AL38" s="6">
        <f>IF(AND(frame($C38,$D38,AJ$8),NOT(frame($C38,$D38,VLOOKUP(VLOOKUP(AL$26,FT[],9),Teachers[],MOD(COLUMN(AI38),6)+1)))),1,0)</f>
        <v>0</v>
      </c>
      <c r="AM38" s="6">
        <f>IF(AND(frame($C38,$D38,AK$8),NOT(frame($C38,$D38,VLOOKUP(VLOOKUP(AM$26,FT[],9),Teachers[],MOD(COLUMN(AJ38),6)+1)))),1,0)</f>
        <v>0</v>
      </c>
      <c r="AN38" s="6">
        <f>IF(AND(frame($C38,$D38,AL$8),NOT(frame($C38,$D38,VLOOKUP(VLOOKUP(AN$26,FT[],9),Teachers[],MOD(COLUMN(AK38),6)+1)))),1,0)</f>
        <v>0</v>
      </c>
      <c r="AO38" s="6">
        <f>IF(AND(frame($C38,$D38,AM$8),NOT(frame($C38,$D38,VLOOKUP(VLOOKUP(AO$26,FT[],9),Teachers[],MOD(COLUMN(AL38),6)+1)))),1,0)</f>
        <v>0</v>
      </c>
      <c r="AP38" s="66">
        <f t="shared" si="11"/>
        <v>0</v>
      </c>
      <c r="AQ38" s="6">
        <f>IF(AND(frame($C38,$D38,AO$8),NOT(frame($C38,$D38,VLOOKUP(VLOOKUP(AQ$26,FT[],9),Teachers[],MOD(COLUMN(AN38),6)+1)))),1,0)</f>
        <v>0</v>
      </c>
      <c r="AR38" s="6">
        <f>IF(AND(frame($C38,$D38,AP$8),NOT(frame($C38,$D38,VLOOKUP(VLOOKUP(AR$26,FT[],9),Teachers[],MOD(COLUMN(AO38),6)+1)))),1,0)</f>
        <v>0</v>
      </c>
      <c r="AS38" s="6">
        <f>IF(AND(frame($C38,$D38,AQ$8),NOT(frame($C38,$D38,VLOOKUP(VLOOKUP(AS$26,FT[],9),Teachers[],MOD(COLUMN(AP38),6)+1)))),1,0)</f>
        <v>0</v>
      </c>
      <c r="AT38" s="6">
        <f>IF(AND(frame($C38,$D38,AR$8),NOT(frame($C38,$D38,VLOOKUP(VLOOKUP(AT$26,FT[],9),Teachers[],MOD(COLUMN(AQ38),6)+1)))),1,0)</f>
        <v>0</v>
      </c>
      <c r="AU38" s="6">
        <f>IF(AND(frame($C38,$D38,AS$8),NOT(frame($C38,$D38,VLOOKUP(VLOOKUP(AU$26,FT[],9),Teachers[],MOD(COLUMN(AR38),6)+1)))),1,0)</f>
        <v>0</v>
      </c>
      <c r="AV38" s="6">
        <f>IF(AND(frame($C38,$D38,AT$8),NOT(frame($C38,$D38,VLOOKUP(VLOOKUP(AV$26,FT[],9),Teachers[],MOD(COLUMN(AS38),6)+1)))),1,0)</f>
        <v>0</v>
      </c>
      <c r="AW38" s="6">
        <f>IF(AND(frame($C38,$D38,AU$8),NOT(frame($C38,$D38,VLOOKUP(VLOOKUP(AW$26,FT[],9),Teachers[],MOD(COLUMN(AT38),6)+1)))),1,0)</f>
        <v>0</v>
      </c>
      <c r="AX38" s="6">
        <f>IF(AND(frame($C38,$D38,AV$8),NOT(frame($C38,$D38,VLOOKUP(VLOOKUP(AX$26,FT[],9),Teachers[],MOD(COLUMN(AU38),6)+1)))),1,0)</f>
        <v>0</v>
      </c>
      <c r="AY38" s="6">
        <f>IF(AND(frame($C38,$D38,AW$8),NOT(frame($C38,$D38,VLOOKUP(VLOOKUP(AY$26,FT[],9),Teachers[],MOD(COLUMN(AV38),6)+1)))),1,0)</f>
        <v>0</v>
      </c>
      <c r="AZ38" s="6">
        <f>IF(AND(frame($C38,$D38,AX$8),NOT(frame($C38,$D38,VLOOKUP(VLOOKUP(AZ$26,FT[],9),Teachers[],MOD(COLUMN(AW38),6)+1)))),1,0)</f>
        <v>0</v>
      </c>
      <c r="BA38" s="6">
        <f>IF(AND(frame($C38,$D38,AY$8),NOT(frame($C38,$D38,VLOOKUP(VLOOKUP(BA$26,FT[],9),Teachers[],MOD(COLUMN(AX38),6)+1)))),1,0)</f>
        <v>0</v>
      </c>
      <c r="BB38" s="6">
        <f>IF(AND(frame($C38,$D38,AZ$8),NOT(frame($C38,$D38,VLOOKUP(VLOOKUP(BB$26,FT[],9),Teachers[],MOD(COLUMN(AY38),6)+1)))),1,0)</f>
        <v>0</v>
      </c>
      <c r="BC38" s="6">
        <f>IF(AND(frame($C38,$D38,BA$8),NOT(frame($C38,$D38,VLOOKUP(VLOOKUP(BC$26,FT[],9),Teachers[],MOD(COLUMN(AZ38),6)+1)))),1,0)</f>
        <v>0</v>
      </c>
      <c r="BD38" s="6">
        <f>IF(AND(frame($C38,$D38,BB$8),NOT(frame($C38,$D38,VLOOKUP(VLOOKUP(BD$26,FT[],9),Teachers[],MOD(COLUMN(BA38),6)+1)))),1,0)</f>
        <v>0</v>
      </c>
      <c r="BE38" s="6">
        <f>IF(AND(frame($C38,$D38,BC$8),NOT(frame($C38,$D38,VLOOKUP(VLOOKUP(BE$26,FT[],9),Teachers[],MOD(COLUMN(BB38),6)+1)))),1,0)</f>
        <v>0</v>
      </c>
      <c r="BF38" s="6">
        <f>IF(AND(frame($C38,$D38,BD$8),NOT(frame($C38,$D38,VLOOKUP(VLOOKUP(BF$26,FT[],9),Teachers[],MOD(COLUMN(BC38),6)+1)))),1,0)</f>
        <v>0</v>
      </c>
      <c r="BG38" s="6">
        <f>IF(AND(frame($C38,$D38,BE$8),NOT(frame($C38,$D38,VLOOKUP(VLOOKUP(BG$26,FT[],9),Teachers[],MOD(COLUMN(BD38),6)+1)))),1,0)</f>
        <v>0</v>
      </c>
      <c r="BH38" s="6">
        <f>IF(AND(frame($C38,$D38,BF$8),NOT(frame($C38,$D38,VLOOKUP(VLOOKUP(BH$26,FT[],9),Teachers[],MOD(COLUMN(BE38),6)+1)))),1,0)</f>
        <v>0</v>
      </c>
      <c r="BI38" s="6">
        <f>IF(AND(frame($C38,$D38,BG$8),NOT(frame($C38,$D38,VLOOKUP(VLOOKUP(BI$26,FT[],9),Teachers[],MOD(COLUMN(BF38),6)+1)))),1,0)</f>
        <v>0</v>
      </c>
      <c r="BJ38" s="6">
        <f>IF(AND(frame($C38,$D38,BH$8),NOT(frame($C38,$D38,VLOOKUP(VLOOKUP(BJ$26,FT[],9),Teachers[],MOD(COLUMN(BG38),6)+1)))),1,0)</f>
        <v>0</v>
      </c>
      <c r="BK38" s="6">
        <f>IF(AND(frame($C38,$D38,BI$8),NOT(frame($C38,$D38,VLOOKUP(VLOOKUP(BK$26,FT[],9),Teachers[],MOD(COLUMN(BH38),6)+1)))),1,0)</f>
        <v>0</v>
      </c>
      <c r="BL38" s="6">
        <f>IF(AND(frame($C38,$D38,BJ$8),NOT(frame($C38,$D38,VLOOKUP(VLOOKUP(BL$26,FT[],9),Teachers[],MOD(COLUMN(BI38),6)+1)))),1,0)</f>
        <v>0</v>
      </c>
    </row>
    <row r="39" spans="2:64" ht="15.75" thickBot="1">
      <c r="B39" s="1">
        <v>12</v>
      </c>
      <c r="C39" s="9">
        <v>0.4375</v>
      </c>
      <c r="D39" s="9">
        <v>0.46875</v>
      </c>
      <c r="E39" s="6" t="e">
        <f ca="1">frame(СВ[[#This Row],[49]],СВ[[#This Row],[Столбец1]],C18,C32)</f>
        <v>#NAME?</v>
      </c>
      <c r="F39" s="6">
        <f>IF(AND(frame($C39,$D39,D$7),NOT(frame($C39,$D39,VLOOKUP(VLOOKUP(F$26,FT[],9),Teachers[],MOD(COLUMN(B39),6)+1)))),1,0)</f>
        <v>0</v>
      </c>
      <c r="G39" s="6">
        <f>IF(AND(frame($C39,$D39,E$7),NOT(frame($C39,$D39,VLOOKUP(VLOOKUP(G$26,FT[],9),Teachers[],MOD(COLUMN(C39),6)+1)))),1,0)</f>
        <v>0</v>
      </c>
      <c r="H39" s="6">
        <f>IF(AND(frame($C39,$D39,F$7),NOT(frame($C39,$D39,VLOOKUP(VLOOKUP(H$26,FT[],9),Teachers[],MOD(COLUMN(D39),6)+1)))),1,0)</f>
        <v>0</v>
      </c>
      <c r="I39" s="6" t="e">
        <f ca="1">IF(AND(frame($C39,$D39,G$7),NOT(frame($C39,$D39,VLOOKUP(VLOOKUP(I$26,FT[],9),Teachers[],MOD(COLUMN(E39),6)+1)))),1,0)</f>
        <v>#NAME?</v>
      </c>
      <c r="J39" s="6">
        <f>IF(AND(frame($C39,$D39,H$7),NOT(frame($C39,$D39,VLOOKUP(VLOOKUP(J$26,FT[],9),Teachers[],MOD(COLUMN(F39),6)+1)))),1,0)</f>
        <v>0</v>
      </c>
      <c r="K39" s="6">
        <f>IF(AND(frame($C39,$D39,I$8),NOT(frame($C39,$D39,VLOOKUP(VLOOKUP(K$26,FT[],9),Teachers[],MOD(COLUMN(H39),6)+1)))),1,0)</f>
        <v>0</v>
      </c>
      <c r="L39" s="1">
        <f t="shared" si="9"/>
        <v>0</v>
      </c>
      <c r="M39" s="6">
        <f>IF(AND(frame($C39,$D39,K$8),NOT(frame($C39,$D39,VLOOKUP(VLOOKUP(M$26,FT[],9),Teachers[],MOD(COLUMN(J39),6)+1)))),1,0)</f>
        <v>0</v>
      </c>
      <c r="N39" s="6">
        <f>IF(AND(frame($C39,$D39,L$8),NOT(frame($C39,$D39,VLOOKUP(VLOOKUP(N$26,FT[],9),Teachers[],MOD(COLUMN(K39),6)+1)))),1,0)</f>
        <v>0</v>
      </c>
      <c r="O39" s="6">
        <f>IF(AND(frame($C39,$D39,M$8),NOT(frame($C39,$D39,VLOOKUP(VLOOKUP(O$26,FT[],9),Teachers[],MOD(COLUMN(L39),6)+1)))),1,0)</f>
        <v>0</v>
      </c>
      <c r="P39" s="6">
        <f>IF(AND(frame($C39,$D39,N$8),NOT(frame($C39,$D39,VLOOKUP(VLOOKUP(P$26,FT[],9),Teachers[],MOD(COLUMN(M39),6)+1)))),1,0)</f>
        <v>0</v>
      </c>
      <c r="Q39" s="6">
        <f>IF(AND(frame($C39,$D39,O$8),NOT(frame($C39,$D39,VLOOKUP(VLOOKUP(Q$26,FT[],9),Teachers[],MOD(COLUMN(N39),6)+1)))),1,0)</f>
        <v>0</v>
      </c>
      <c r="R39" s="65">
        <f t="shared" si="10"/>
        <v>0</v>
      </c>
      <c r="S39" s="6">
        <f>IF(AND(frame($C39,$D39,Q$8),NOT(frame($C39,$D39,VLOOKUP(VLOOKUP(S$26,FT[],9),Teachers[],MOD(COLUMN(P39),6)+1)))),1,0)</f>
        <v>0</v>
      </c>
      <c r="T39" s="6">
        <f>IF(AND(frame($C39,$D39,R$8),NOT(frame($C39,$D39,VLOOKUP(VLOOKUP(T$26,FT[],9),Teachers[],MOD(COLUMN(Q39),6)+1)))),1,0)</f>
        <v>0</v>
      </c>
      <c r="U39" s="6">
        <f>IF(AND(frame($C39,$D39,S$8),NOT(frame($C39,$D39,VLOOKUP(VLOOKUP(U$26,FT[],9),Teachers[],MOD(COLUMN(R39),6)+1)))),1,0)</f>
        <v>0</v>
      </c>
      <c r="V39" s="6">
        <f>IF(AND(frame($C39,$D39,T$8),NOT(frame($C39,$D39,VLOOKUP(VLOOKUP(V$26,FT[],9),Teachers[],MOD(COLUMN(S39),6)+1)))),1,0)</f>
        <v>0</v>
      </c>
      <c r="W39" s="6">
        <f>IF(AND(frame($C39,$D39,U$8),NOT(frame($C39,$D39,VLOOKUP(VLOOKUP(W$26,FT[],9),Teachers[],MOD(COLUMN(T39),6)+1)))),1,0)</f>
        <v>0</v>
      </c>
      <c r="X39" s="6">
        <f>IF(AND(frame($C39,$D39,V$8),NOT(frame($C39,$D39,VLOOKUP(VLOOKUP(X$26,FT[],9),Teachers[],MOD(COLUMN(U39),6)+1)))),1,0)</f>
        <v>0</v>
      </c>
      <c r="Y39" s="6">
        <f>IF(AND(frame($C39,$D39,W$8),NOT(frame($C39,$D39,VLOOKUP(VLOOKUP(Y$26,FT[],9),Teachers[],MOD(COLUMN(V39),6)+1)))),1,0)</f>
        <v>0</v>
      </c>
      <c r="Z39" s="6">
        <f>IF(AND(frame($C39,$D39,X$8),NOT(frame($C39,$D39,VLOOKUP(VLOOKUP(Z$26,FT[],9),Teachers[],MOD(COLUMN(W39),6)+1)))),1,0)</f>
        <v>0</v>
      </c>
      <c r="AA39" s="6">
        <f>IF(AND(frame($C39,$D39,Y$8),NOT(frame($C39,$D39,VLOOKUP(VLOOKUP(AA$26,FT[],9),Teachers[],MOD(COLUMN(X39),6)+1)))),1,0)</f>
        <v>0</v>
      </c>
      <c r="AB39" s="6">
        <f>IF(AND(frame($C39,$D39,Z$8),NOT(frame($C39,$D39,VLOOKUP(VLOOKUP(AB$26,FT[],9),Teachers[],MOD(COLUMN(Y39),6)+1)))),1,0)</f>
        <v>0</v>
      </c>
      <c r="AC39" s="6">
        <f>IF(AND(frame($C39,$D39,AA$8),NOT(frame($C39,$D39,VLOOKUP(VLOOKUP(AC$26,FT[],9),Teachers[],MOD(COLUMN(Z39),6)+1)))),1,0)</f>
        <v>0</v>
      </c>
      <c r="AD39" s="6">
        <f>IF(AND(frame($C39,$D39,AB$8),NOT(frame($C39,$D39,VLOOKUP(VLOOKUP(AD$26,FT[],9),Teachers[],MOD(COLUMN(AA39),6)+1)))),1,0)</f>
        <v>0</v>
      </c>
      <c r="AE39" s="6">
        <f>IF(AND(frame($C39,$D39,AC$8),NOT(frame($C39,$D39,VLOOKUP(VLOOKUP(AE$26,FT[],9),Teachers[],MOD(COLUMN(AB39),6)+1)))),1,0)</f>
        <v>0</v>
      </c>
      <c r="AF39" s="6">
        <f>IF(AND(frame($C39,$D39,AD$8),NOT(frame($C39,$D39,VLOOKUP(VLOOKUP(AF$26,FT[],9),Teachers[],MOD(COLUMN(AC39),6)+1)))),1,0)</f>
        <v>0</v>
      </c>
      <c r="AG39" s="6">
        <f>IF(AND(frame($C39,$D39,AE$8),NOT(frame($C39,$D39,VLOOKUP(VLOOKUP(AG$26,FT[],9),Teachers[],MOD(COLUMN(AD39),6)+1)))),1,0)</f>
        <v>0</v>
      </c>
      <c r="AH39" s="6">
        <f>IF(AND(frame($C39,$D39,AF$8),NOT(frame($C39,$D39,VLOOKUP(VLOOKUP(AH$26,FT[],9),Teachers[],MOD(COLUMN(AE39),6)+1)))),1,0)</f>
        <v>0</v>
      </c>
      <c r="AI39" s="6">
        <f>IF(AND(frame($C39,$D39,AG$8),NOT(frame($C39,$D39,VLOOKUP(VLOOKUP(AI$26,FT[],9),Teachers[],MOD(COLUMN(AF39),6)+1)))),1,0)</f>
        <v>0</v>
      </c>
      <c r="AJ39" s="6">
        <f>IF(AND(frame($C39,$D39,AH$8),NOT(frame($C39,$D39,VLOOKUP(VLOOKUP(AJ$26,FT[],9),Teachers[],MOD(COLUMN(AG39),6)+1)))),1,0)</f>
        <v>0</v>
      </c>
      <c r="AK39" s="6">
        <f>IF(AND(frame($C39,$D39,AI$8),NOT(frame($C39,$D39,VLOOKUP(VLOOKUP(AK$26,FT[],9),Teachers[],MOD(COLUMN(AH39),6)+1)))),1,0)</f>
        <v>0</v>
      </c>
      <c r="AL39" s="6">
        <f>IF(AND(frame($C39,$D39,AJ$8),NOT(frame($C39,$D39,VLOOKUP(VLOOKUP(AL$26,FT[],9),Teachers[],MOD(COLUMN(AI39),6)+1)))),1,0)</f>
        <v>0</v>
      </c>
      <c r="AM39" s="6">
        <f>IF(AND(frame($C39,$D39,AK$8),NOT(frame($C39,$D39,VLOOKUP(VLOOKUP(AM$26,FT[],9),Teachers[],MOD(COLUMN(AJ39),6)+1)))),1,0)</f>
        <v>0</v>
      </c>
      <c r="AN39" s="6">
        <f>IF(AND(frame($C39,$D39,AL$8),NOT(frame($C39,$D39,VLOOKUP(VLOOKUP(AN$26,FT[],9),Teachers[],MOD(COLUMN(AK39),6)+1)))),1,0)</f>
        <v>0</v>
      </c>
      <c r="AO39" s="6">
        <f>IF(AND(frame($C39,$D39,AM$8),NOT(frame($C39,$D39,VLOOKUP(VLOOKUP(AO$26,FT[],9),Teachers[],MOD(COLUMN(AL39),6)+1)))),1,0)</f>
        <v>0</v>
      </c>
      <c r="AP39" s="66">
        <f t="shared" si="11"/>
        <v>0</v>
      </c>
      <c r="AQ39" s="6">
        <f>IF(AND(frame($C39,$D39,AO$8),NOT(frame($C39,$D39,VLOOKUP(VLOOKUP(AQ$26,FT[],9),Teachers[],MOD(COLUMN(AN39),6)+1)))),1,0)</f>
        <v>0</v>
      </c>
      <c r="AR39" s="6">
        <f>IF(AND(frame($C39,$D39,AP$8),NOT(frame($C39,$D39,VLOOKUP(VLOOKUP(AR$26,FT[],9),Teachers[],MOD(COLUMN(AO39),6)+1)))),1,0)</f>
        <v>0</v>
      </c>
      <c r="AS39" s="6">
        <f>IF(AND(frame($C39,$D39,AQ$8),NOT(frame($C39,$D39,VLOOKUP(VLOOKUP(AS$26,FT[],9),Teachers[],MOD(COLUMN(AP39),6)+1)))),1,0)</f>
        <v>0</v>
      </c>
      <c r="AT39" s="6">
        <f>IF(AND(frame($C39,$D39,AR$8),NOT(frame($C39,$D39,VLOOKUP(VLOOKUP(AT$26,FT[],9),Teachers[],MOD(COLUMN(AQ39),6)+1)))),1,0)</f>
        <v>0</v>
      </c>
      <c r="AU39" s="6">
        <f>IF(AND(frame($C39,$D39,AS$8),NOT(frame($C39,$D39,VLOOKUP(VLOOKUP(AU$26,FT[],9),Teachers[],MOD(COLUMN(AR39),6)+1)))),1,0)</f>
        <v>0</v>
      </c>
      <c r="AV39" s="6">
        <f>IF(AND(frame($C39,$D39,AT$8),NOT(frame($C39,$D39,VLOOKUP(VLOOKUP(AV$26,FT[],9),Teachers[],MOD(COLUMN(AS39),6)+1)))),1,0)</f>
        <v>0</v>
      </c>
      <c r="AW39" s="6">
        <f>IF(AND(frame($C39,$D39,AU$8),NOT(frame($C39,$D39,VLOOKUP(VLOOKUP(AW$26,FT[],9),Teachers[],MOD(COLUMN(AT39),6)+1)))),1,0)</f>
        <v>0</v>
      </c>
      <c r="AX39" s="6">
        <f>IF(AND(frame($C39,$D39,AV$8),NOT(frame($C39,$D39,VLOOKUP(VLOOKUP(AX$26,FT[],9),Teachers[],MOD(COLUMN(AU39),6)+1)))),1,0)</f>
        <v>0</v>
      </c>
      <c r="AY39" s="6">
        <f>IF(AND(frame($C39,$D39,AW$8),NOT(frame($C39,$D39,VLOOKUP(VLOOKUP(AY$26,FT[],9),Teachers[],MOD(COLUMN(AV39),6)+1)))),1,0)</f>
        <v>0</v>
      </c>
      <c r="AZ39" s="6">
        <f>IF(AND(frame($C39,$D39,AX$8),NOT(frame($C39,$D39,VLOOKUP(VLOOKUP(AZ$26,FT[],9),Teachers[],MOD(COLUMN(AW39),6)+1)))),1,0)</f>
        <v>0</v>
      </c>
      <c r="BA39" s="6">
        <f>IF(AND(frame($C39,$D39,AY$8),NOT(frame($C39,$D39,VLOOKUP(VLOOKUP(BA$26,FT[],9),Teachers[],MOD(COLUMN(AX39),6)+1)))),1,0)</f>
        <v>0</v>
      </c>
      <c r="BB39" s="6">
        <f>IF(AND(frame($C39,$D39,AZ$8),NOT(frame($C39,$D39,VLOOKUP(VLOOKUP(BB$26,FT[],9),Teachers[],MOD(COLUMN(AY39),6)+1)))),1,0)</f>
        <v>0</v>
      </c>
      <c r="BC39" s="6">
        <f>IF(AND(frame($C39,$D39,BA$8),NOT(frame($C39,$D39,VLOOKUP(VLOOKUP(BC$26,FT[],9),Teachers[],MOD(COLUMN(AZ39),6)+1)))),1,0)</f>
        <v>0</v>
      </c>
      <c r="BD39" s="6">
        <f>IF(AND(frame($C39,$D39,BB$8),NOT(frame($C39,$D39,VLOOKUP(VLOOKUP(BD$26,FT[],9),Teachers[],MOD(COLUMN(BA39),6)+1)))),1,0)</f>
        <v>0</v>
      </c>
      <c r="BE39" s="6">
        <f>IF(AND(frame($C39,$D39,BC$8),NOT(frame($C39,$D39,VLOOKUP(VLOOKUP(BE$26,FT[],9),Teachers[],MOD(COLUMN(BB39),6)+1)))),1,0)</f>
        <v>0</v>
      </c>
      <c r="BF39" s="6">
        <f>IF(AND(frame($C39,$D39,BD$8),NOT(frame($C39,$D39,VLOOKUP(VLOOKUP(BF$26,FT[],9),Teachers[],MOD(COLUMN(BC39),6)+1)))),1,0)</f>
        <v>0</v>
      </c>
      <c r="BG39" s="6">
        <f>IF(AND(frame($C39,$D39,BE$8),NOT(frame($C39,$D39,VLOOKUP(VLOOKUP(BG$26,FT[],9),Teachers[],MOD(COLUMN(BD39),6)+1)))),1,0)</f>
        <v>0</v>
      </c>
      <c r="BH39" s="6">
        <f>IF(AND(frame($C39,$D39,BF$8),NOT(frame($C39,$D39,VLOOKUP(VLOOKUP(BH$26,FT[],9),Teachers[],MOD(COLUMN(BE39),6)+1)))),1,0)</f>
        <v>0</v>
      </c>
      <c r="BI39" s="6">
        <f>IF(AND(frame($C39,$D39,BG$8),NOT(frame($C39,$D39,VLOOKUP(VLOOKUP(BI$26,FT[],9),Teachers[],MOD(COLUMN(BF39),6)+1)))),1,0)</f>
        <v>0</v>
      </c>
      <c r="BJ39" s="6">
        <f>IF(AND(frame($C39,$D39,BH$8),NOT(frame($C39,$D39,VLOOKUP(VLOOKUP(BJ$26,FT[],9),Teachers[],MOD(COLUMN(BG39),6)+1)))),1,0)</f>
        <v>0</v>
      </c>
      <c r="BK39" s="6">
        <f>IF(AND(frame($C39,$D39,BI$8),NOT(frame($C39,$D39,VLOOKUP(VLOOKUP(BK$26,FT[],9),Teachers[],MOD(COLUMN(BH39),6)+1)))),1,0)</f>
        <v>0</v>
      </c>
      <c r="BL39" s="6">
        <f>IF(AND(frame($C39,$D39,BJ$8),NOT(frame($C39,$D39,VLOOKUP(VLOOKUP(BL$26,FT[],9),Teachers[],MOD(COLUMN(BI39),6)+1)))),1,0)</f>
        <v>0</v>
      </c>
    </row>
    <row r="40" spans="2:64" ht="15.75" thickBot="1">
      <c r="B40" s="1">
        <v>13</v>
      </c>
      <c r="C40" s="9">
        <v>0.44791666666666669</v>
      </c>
      <c r="D40" s="9">
        <v>0.47916666666666669</v>
      </c>
      <c r="E40" s="6" t="e">
        <f ca="1">frame(СВ[[#This Row],[49]],СВ[[#This Row],[Столбец1]],C19,C33)</f>
        <v>#NAME?</v>
      </c>
      <c r="F40" s="6">
        <f>IF(AND(frame($C40,$D40,D$7),NOT(frame($C40,$D40,VLOOKUP(VLOOKUP(F$26,FT[],9),Teachers[],MOD(COLUMN(B40),6)+1)))),1,0)</f>
        <v>0</v>
      </c>
      <c r="G40" s="6">
        <f>IF(AND(frame($C40,$D40,E$7),NOT(frame($C40,$D40,VLOOKUP(VLOOKUP(G$26,FT[],9),Teachers[],MOD(COLUMN(C40),6)+1)))),1,0)</f>
        <v>0</v>
      </c>
      <c r="H40" s="6">
        <f>IF(AND(frame($C40,$D40,F$7),NOT(frame($C40,$D40,VLOOKUP(VLOOKUP(H$26,FT[],9),Teachers[],MOD(COLUMN(D40),6)+1)))),1,0)</f>
        <v>0</v>
      </c>
      <c r="I40" s="6" t="e">
        <f ca="1">IF(AND(frame($C40,$D40,G$7),NOT(frame($C40,$D40,VLOOKUP(VLOOKUP(I$26,FT[],9),Teachers[],MOD(COLUMN(E40),6)+1)))),1,0)</f>
        <v>#NAME?</v>
      </c>
      <c r="J40" s="6">
        <f>IF(AND(frame($C40,$D40,H$7),NOT(frame($C40,$D40,VLOOKUP(VLOOKUP(J$26,FT[],9),Teachers[],MOD(COLUMN(F40),6)+1)))),1,0)</f>
        <v>0</v>
      </c>
      <c r="K40" s="6">
        <f>IF(AND(frame($C40,$D40,I$8),NOT(frame($C40,$D40,VLOOKUP(VLOOKUP(K$26,FT[],9),Teachers[],MOD(COLUMN(H40),6)+1)))),1,0)</f>
        <v>0</v>
      </c>
      <c r="L40" s="1">
        <f t="shared" si="9"/>
        <v>0</v>
      </c>
      <c r="M40" s="6">
        <f>IF(AND(frame($C40,$D40,K$8),NOT(frame($C40,$D40,VLOOKUP(VLOOKUP(M$26,FT[],9),Teachers[],MOD(COLUMN(J40),6)+1)))),1,0)</f>
        <v>0</v>
      </c>
      <c r="N40" s="6">
        <f>IF(AND(frame($C40,$D40,L$8),NOT(frame($C40,$D40,VLOOKUP(VLOOKUP(N$26,FT[],9),Teachers[],MOD(COLUMN(K40),6)+1)))),1,0)</f>
        <v>0</v>
      </c>
      <c r="O40" s="6">
        <f>IF(AND(frame($C40,$D40,M$8),NOT(frame($C40,$D40,VLOOKUP(VLOOKUP(O$26,FT[],9),Teachers[],MOD(COLUMN(L40),6)+1)))),1,0)</f>
        <v>0</v>
      </c>
      <c r="P40" s="6">
        <f>IF(AND(frame($C40,$D40,N$8),NOT(frame($C40,$D40,VLOOKUP(VLOOKUP(P$26,FT[],9),Teachers[],MOD(COLUMN(M40),6)+1)))),1,0)</f>
        <v>0</v>
      </c>
      <c r="Q40" s="6">
        <f>IF(AND(frame($C40,$D40,O$8),NOT(frame($C40,$D40,VLOOKUP(VLOOKUP(Q$26,FT[],9),Teachers[],MOD(COLUMN(N40),6)+1)))),1,0)</f>
        <v>0</v>
      </c>
      <c r="R40" s="65">
        <f t="shared" si="10"/>
        <v>0</v>
      </c>
      <c r="S40" s="6">
        <f>IF(AND(frame($C40,$D40,Q$8),NOT(frame($C40,$D40,VLOOKUP(VLOOKUP(S$26,FT[],9),Teachers[],MOD(COLUMN(P40),6)+1)))),1,0)</f>
        <v>0</v>
      </c>
      <c r="T40" s="6">
        <f>IF(AND(frame($C40,$D40,R$8),NOT(frame($C40,$D40,VLOOKUP(VLOOKUP(T$26,FT[],9),Teachers[],MOD(COLUMN(Q40),6)+1)))),1,0)</f>
        <v>0</v>
      </c>
      <c r="U40" s="6">
        <f>IF(AND(frame($C40,$D40,S$8),NOT(frame($C40,$D40,VLOOKUP(VLOOKUP(U$26,FT[],9),Teachers[],MOD(COLUMN(R40),6)+1)))),1,0)</f>
        <v>0</v>
      </c>
      <c r="V40" s="6">
        <f>IF(AND(frame($C40,$D40,T$8),NOT(frame($C40,$D40,VLOOKUP(VLOOKUP(V$26,FT[],9),Teachers[],MOD(COLUMN(S40),6)+1)))),1,0)</f>
        <v>0</v>
      </c>
      <c r="W40" s="6">
        <f>IF(AND(frame($C40,$D40,U$8),NOT(frame($C40,$D40,VLOOKUP(VLOOKUP(W$26,FT[],9),Teachers[],MOD(COLUMN(T40),6)+1)))),1,0)</f>
        <v>0</v>
      </c>
      <c r="X40" s="6">
        <f>IF(AND(frame($C40,$D40,V$8),NOT(frame($C40,$D40,VLOOKUP(VLOOKUP(X$26,FT[],9),Teachers[],MOD(COLUMN(U40),6)+1)))),1,0)</f>
        <v>0</v>
      </c>
      <c r="Y40" s="6">
        <f>IF(AND(frame($C40,$D40,W$8),NOT(frame($C40,$D40,VLOOKUP(VLOOKUP(Y$26,FT[],9),Teachers[],MOD(COLUMN(V40),6)+1)))),1,0)</f>
        <v>0</v>
      </c>
      <c r="Z40" s="6">
        <f>IF(AND(frame($C40,$D40,X$8),NOT(frame($C40,$D40,VLOOKUP(VLOOKUP(Z$26,FT[],9),Teachers[],MOD(COLUMN(W40),6)+1)))),1,0)</f>
        <v>0</v>
      </c>
      <c r="AA40" s="6">
        <f>IF(AND(frame($C40,$D40,Y$8),NOT(frame($C40,$D40,VLOOKUP(VLOOKUP(AA$26,FT[],9),Teachers[],MOD(COLUMN(X40),6)+1)))),1,0)</f>
        <v>0</v>
      </c>
      <c r="AB40" s="6">
        <f>IF(AND(frame($C40,$D40,Z$8),NOT(frame($C40,$D40,VLOOKUP(VLOOKUP(AB$26,FT[],9),Teachers[],MOD(COLUMN(Y40),6)+1)))),1,0)</f>
        <v>0</v>
      </c>
      <c r="AC40" s="6">
        <f>IF(AND(frame($C40,$D40,AA$8),NOT(frame($C40,$D40,VLOOKUP(VLOOKUP(AC$26,FT[],9),Teachers[],MOD(COLUMN(Z40),6)+1)))),1,0)</f>
        <v>0</v>
      </c>
      <c r="AD40" s="6">
        <f>IF(AND(frame($C40,$D40,AB$8),NOT(frame($C40,$D40,VLOOKUP(VLOOKUP(AD$26,FT[],9),Teachers[],MOD(COLUMN(AA40),6)+1)))),1,0)</f>
        <v>0</v>
      </c>
      <c r="AE40" s="6">
        <f>IF(AND(frame($C40,$D40,AC$8),NOT(frame($C40,$D40,VLOOKUP(VLOOKUP(AE$26,FT[],9),Teachers[],MOD(COLUMN(AB40),6)+1)))),1,0)</f>
        <v>0</v>
      </c>
      <c r="AF40" s="6">
        <f>IF(AND(frame($C40,$D40,AD$8),NOT(frame($C40,$D40,VLOOKUP(VLOOKUP(AF$26,FT[],9),Teachers[],MOD(COLUMN(AC40),6)+1)))),1,0)</f>
        <v>0</v>
      </c>
      <c r="AG40" s="6">
        <f>IF(AND(frame($C40,$D40,AE$8),NOT(frame($C40,$D40,VLOOKUP(VLOOKUP(AG$26,FT[],9),Teachers[],MOD(COLUMN(AD40),6)+1)))),1,0)</f>
        <v>0</v>
      </c>
      <c r="AH40" s="6">
        <f>IF(AND(frame($C40,$D40,AF$8),NOT(frame($C40,$D40,VLOOKUP(VLOOKUP(AH$26,FT[],9),Teachers[],MOD(COLUMN(AE40),6)+1)))),1,0)</f>
        <v>0</v>
      </c>
      <c r="AI40" s="6">
        <f>IF(AND(frame($C40,$D40,AG$8),NOT(frame($C40,$D40,VLOOKUP(VLOOKUP(AI$26,FT[],9),Teachers[],MOD(COLUMN(AF40),6)+1)))),1,0)</f>
        <v>0</v>
      </c>
      <c r="AJ40" s="6">
        <f>IF(AND(frame($C40,$D40,AH$8),NOT(frame($C40,$D40,VLOOKUP(VLOOKUP(AJ$26,FT[],9),Teachers[],MOD(COLUMN(AG40),6)+1)))),1,0)</f>
        <v>0</v>
      </c>
      <c r="AK40" s="6">
        <f>IF(AND(frame($C40,$D40,AI$8),NOT(frame($C40,$D40,VLOOKUP(VLOOKUP(AK$26,FT[],9),Teachers[],MOD(COLUMN(AH40),6)+1)))),1,0)</f>
        <v>0</v>
      </c>
      <c r="AL40" s="6">
        <f>IF(AND(frame($C40,$D40,AJ$8),NOT(frame($C40,$D40,VLOOKUP(VLOOKUP(AL$26,FT[],9),Teachers[],MOD(COLUMN(AI40),6)+1)))),1,0)</f>
        <v>0</v>
      </c>
      <c r="AM40" s="6">
        <f>IF(AND(frame($C40,$D40,AK$8),NOT(frame($C40,$D40,VLOOKUP(VLOOKUP(AM$26,FT[],9),Teachers[],MOD(COLUMN(AJ40),6)+1)))),1,0)</f>
        <v>0</v>
      </c>
      <c r="AN40" s="6">
        <f>IF(AND(frame($C40,$D40,AL$8),NOT(frame($C40,$D40,VLOOKUP(VLOOKUP(AN$26,FT[],9),Teachers[],MOD(COLUMN(AK40),6)+1)))),1,0)</f>
        <v>0</v>
      </c>
      <c r="AO40" s="6">
        <f>IF(AND(frame($C40,$D40,AM$8),NOT(frame($C40,$D40,VLOOKUP(VLOOKUP(AO$26,FT[],9),Teachers[],MOD(COLUMN(AL40),6)+1)))),1,0)</f>
        <v>0</v>
      </c>
      <c r="AP40" s="66">
        <f t="shared" si="11"/>
        <v>0</v>
      </c>
      <c r="AQ40" s="6">
        <f>IF(AND(frame($C40,$D40,AO$8),NOT(frame($C40,$D40,VLOOKUP(VLOOKUP(AQ$26,FT[],9),Teachers[],MOD(COLUMN(AN40),6)+1)))),1,0)</f>
        <v>0</v>
      </c>
      <c r="AR40" s="6">
        <f>IF(AND(frame($C40,$D40,AP$8),NOT(frame($C40,$D40,VLOOKUP(VLOOKUP(AR$26,FT[],9),Teachers[],MOD(COLUMN(AO40),6)+1)))),1,0)</f>
        <v>0</v>
      </c>
      <c r="AS40" s="6">
        <f>IF(AND(frame($C40,$D40,AQ$8),NOT(frame($C40,$D40,VLOOKUP(VLOOKUP(AS$26,FT[],9),Teachers[],MOD(COLUMN(AP40),6)+1)))),1,0)</f>
        <v>0</v>
      </c>
      <c r="AT40" s="6">
        <f>IF(AND(frame($C40,$D40,AR$8),NOT(frame($C40,$D40,VLOOKUP(VLOOKUP(AT$26,FT[],9),Teachers[],MOD(COLUMN(AQ40),6)+1)))),1,0)</f>
        <v>0</v>
      </c>
      <c r="AU40" s="6">
        <f>IF(AND(frame($C40,$D40,AS$8),NOT(frame($C40,$D40,VLOOKUP(VLOOKUP(AU$26,FT[],9),Teachers[],MOD(COLUMN(AR40),6)+1)))),1,0)</f>
        <v>0</v>
      </c>
      <c r="AV40" s="6">
        <f>IF(AND(frame($C40,$D40,AT$8),NOT(frame($C40,$D40,VLOOKUP(VLOOKUP(AV$26,FT[],9),Teachers[],MOD(COLUMN(AS40),6)+1)))),1,0)</f>
        <v>0</v>
      </c>
      <c r="AW40" s="6">
        <f>IF(AND(frame($C40,$D40,AU$8),NOT(frame($C40,$D40,VLOOKUP(VLOOKUP(AW$26,FT[],9),Teachers[],MOD(COLUMN(AT40),6)+1)))),1,0)</f>
        <v>0</v>
      </c>
      <c r="AX40" s="6">
        <f>IF(AND(frame($C40,$D40,AV$8),NOT(frame($C40,$D40,VLOOKUP(VLOOKUP(AX$26,FT[],9),Teachers[],MOD(COLUMN(AU40),6)+1)))),1,0)</f>
        <v>0</v>
      </c>
      <c r="AY40" s="6">
        <f>IF(AND(frame($C40,$D40,AW$8),NOT(frame($C40,$D40,VLOOKUP(VLOOKUP(AY$26,FT[],9),Teachers[],MOD(COLUMN(AV40),6)+1)))),1,0)</f>
        <v>0</v>
      </c>
      <c r="AZ40" s="6">
        <f>IF(AND(frame($C40,$D40,AX$8),NOT(frame($C40,$D40,VLOOKUP(VLOOKUP(AZ$26,FT[],9),Teachers[],MOD(COLUMN(AW40),6)+1)))),1,0)</f>
        <v>0</v>
      </c>
      <c r="BA40" s="6">
        <f>IF(AND(frame($C40,$D40,AY$8),NOT(frame($C40,$D40,VLOOKUP(VLOOKUP(BA$26,FT[],9),Teachers[],MOD(COLUMN(AX40),6)+1)))),1,0)</f>
        <v>0</v>
      </c>
      <c r="BB40" s="6">
        <f>IF(AND(frame($C40,$D40,AZ$8),NOT(frame($C40,$D40,VLOOKUP(VLOOKUP(BB$26,FT[],9),Teachers[],MOD(COLUMN(AY40),6)+1)))),1,0)</f>
        <v>0</v>
      </c>
      <c r="BC40" s="6">
        <f>IF(AND(frame($C40,$D40,BA$8),NOT(frame($C40,$D40,VLOOKUP(VLOOKUP(BC$26,FT[],9),Teachers[],MOD(COLUMN(AZ40),6)+1)))),1,0)</f>
        <v>0</v>
      </c>
      <c r="BD40" s="6">
        <f>IF(AND(frame($C40,$D40,BB$8),NOT(frame($C40,$D40,VLOOKUP(VLOOKUP(BD$26,FT[],9),Teachers[],MOD(COLUMN(BA40),6)+1)))),1,0)</f>
        <v>0</v>
      </c>
      <c r="BE40" s="6">
        <f>IF(AND(frame($C40,$D40,BC$8),NOT(frame($C40,$D40,VLOOKUP(VLOOKUP(BE$26,FT[],9),Teachers[],MOD(COLUMN(BB40),6)+1)))),1,0)</f>
        <v>0</v>
      </c>
      <c r="BF40" s="6">
        <f>IF(AND(frame($C40,$D40,BD$8),NOT(frame($C40,$D40,VLOOKUP(VLOOKUP(BF$26,FT[],9),Teachers[],MOD(COLUMN(BC40),6)+1)))),1,0)</f>
        <v>0</v>
      </c>
      <c r="BG40" s="6">
        <f>IF(AND(frame($C40,$D40,BE$8),NOT(frame($C40,$D40,VLOOKUP(VLOOKUP(BG$26,FT[],9),Teachers[],MOD(COLUMN(BD40),6)+1)))),1,0)</f>
        <v>0</v>
      </c>
      <c r="BH40" s="6">
        <f>IF(AND(frame($C40,$D40,BF$8),NOT(frame($C40,$D40,VLOOKUP(VLOOKUP(BH$26,FT[],9),Teachers[],MOD(COLUMN(BE40),6)+1)))),1,0)</f>
        <v>0</v>
      </c>
      <c r="BI40" s="6">
        <f>IF(AND(frame($C40,$D40,BG$8),NOT(frame($C40,$D40,VLOOKUP(VLOOKUP(BI$26,FT[],9),Teachers[],MOD(COLUMN(BF40),6)+1)))),1,0)</f>
        <v>0</v>
      </c>
      <c r="BJ40" s="6">
        <f>IF(AND(frame($C40,$D40,BH$8),NOT(frame($C40,$D40,VLOOKUP(VLOOKUP(BJ$26,FT[],9),Teachers[],MOD(COLUMN(BG40),6)+1)))),1,0)</f>
        <v>0</v>
      </c>
      <c r="BK40" s="6">
        <f>IF(AND(frame($C40,$D40,BI$8),NOT(frame($C40,$D40,VLOOKUP(VLOOKUP(BK$26,FT[],9),Teachers[],MOD(COLUMN(BH40),6)+1)))),1,0)</f>
        <v>0</v>
      </c>
      <c r="BL40" s="6">
        <f>IF(AND(frame($C40,$D40,BJ$8),NOT(frame($C40,$D40,VLOOKUP(VLOOKUP(BL$26,FT[],9),Teachers[],MOD(COLUMN(BI40),6)+1)))),1,0)</f>
        <v>0</v>
      </c>
    </row>
    <row r="41" spans="2:64" ht="15.75" thickBot="1">
      <c r="B41" s="1">
        <v>14</v>
      </c>
      <c r="C41" s="9">
        <v>0.45833333333333337</v>
      </c>
      <c r="D41" s="9">
        <v>0.5</v>
      </c>
      <c r="E41" s="6" t="e">
        <f ca="1">frame(СВ[[#This Row],[49]],СВ[[#This Row],[Столбец1]],C20,C34)</f>
        <v>#NAME?</v>
      </c>
      <c r="F41" s="6">
        <f>IF(AND(frame($C41,$D41,D$7),NOT(frame($C41,$D41,VLOOKUP(VLOOKUP(F$26,FT[],9),Teachers[],MOD(COLUMN(B41),6)+1)))),1,0)</f>
        <v>0</v>
      </c>
      <c r="G41" s="6">
        <f>IF(AND(frame($C41,$D41,E$7),NOT(frame($C41,$D41,VLOOKUP(VLOOKUP(G$26,FT[],9),Teachers[],MOD(COLUMN(C41),6)+1)))),1,0)</f>
        <v>0</v>
      </c>
      <c r="H41" s="6">
        <f>IF(AND(frame($C41,$D41,F$7),NOT(frame($C41,$D41,VLOOKUP(VLOOKUP(H$26,FT[],9),Teachers[],MOD(COLUMN(D41),6)+1)))),1,0)</f>
        <v>0</v>
      </c>
      <c r="I41" s="6" t="e">
        <f ca="1">IF(AND(frame($C41,$D41,G$7),NOT(frame($C41,$D41,VLOOKUP(VLOOKUP(I$26,FT[],9),Teachers[],MOD(COLUMN(E41),6)+1)))),1,0)</f>
        <v>#NAME?</v>
      </c>
      <c r="J41" s="6">
        <f>IF(AND(frame($C41,$D41,H$7),NOT(frame($C41,$D41,VLOOKUP(VLOOKUP(J$26,FT[],9),Teachers[],MOD(COLUMN(F41),6)+1)))),1,0)</f>
        <v>1</v>
      </c>
      <c r="K41" s="6">
        <f>IF(AND(frame($C41,$D41,I$8),NOT(frame($C41,$D41,VLOOKUP(VLOOKUP(K$26,FT[],9),Teachers[],MOD(COLUMN(H41),6)+1)))),1,0)</f>
        <v>0</v>
      </c>
      <c r="L41" s="1">
        <f t="shared" si="9"/>
        <v>0</v>
      </c>
      <c r="M41" s="6">
        <f>IF(AND(frame($C41,$D41,K$8),NOT(frame($C41,$D41,VLOOKUP(VLOOKUP(M$26,FT[],9),Teachers[],MOD(COLUMN(J41),6)+1)))),1,0)</f>
        <v>0</v>
      </c>
      <c r="N41" s="6">
        <f>IF(AND(frame($C41,$D41,L$8),NOT(frame($C41,$D41,VLOOKUP(VLOOKUP(N$26,FT[],9),Teachers[],MOD(COLUMN(K41),6)+1)))),1,0)</f>
        <v>0</v>
      </c>
      <c r="O41" s="6">
        <f>IF(AND(frame($C41,$D41,M$8),NOT(frame($C41,$D41,VLOOKUP(VLOOKUP(O$26,FT[],9),Teachers[],MOD(COLUMN(L41),6)+1)))),1,0)</f>
        <v>0</v>
      </c>
      <c r="P41" s="6">
        <f>IF(AND(frame($C41,$D41,N$8),NOT(frame($C41,$D41,VLOOKUP(VLOOKUP(P$26,FT[],9),Teachers[],MOD(COLUMN(M41),6)+1)))),1,0)</f>
        <v>0</v>
      </c>
      <c r="Q41" s="6">
        <f>IF(AND(frame($C41,$D41,O$8),NOT(frame($C41,$D41,VLOOKUP(VLOOKUP(Q$26,FT[],9),Teachers[],MOD(COLUMN(N41),6)+1)))),1,0)</f>
        <v>0</v>
      </c>
      <c r="R41" s="65">
        <f t="shared" si="10"/>
        <v>0</v>
      </c>
      <c r="S41" s="6">
        <f>IF(AND(frame($C41,$D41,Q$8),NOT(frame($C41,$D41,VLOOKUP(VLOOKUP(S$26,FT[],9),Teachers[],MOD(COLUMN(P41),6)+1)))),1,0)</f>
        <v>0</v>
      </c>
      <c r="T41" s="6">
        <f>IF(AND(frame($C41,$D41,R$8),NOT(frame($C41,$D41,VLOOKUP(VLOOKUP(T$26,FT[],9),Teachers[],MOD(COLUMN(Q41),6)+1)))),1,0)</f>
        <v>0</v>
      </c>
      <c r="U41" s="6">
        <f>IF(AND(frame($C41,$D41,S$8),NOT(frame($C41,$D41,VLOOKUP(VLOOKUP(U$26,FT[],9),Teachers[],MOD(COLUMN(R41),6)+1)))),1,0)</f>
        <v>0</v>
      </c>
      <c r="V41" s="6">
        <f>IF(AND(frame($C41,$D41,T$8),NOT(frame($C41,$D41,VLOOKUP(VLOOKUP(V$26,FT[],9),Teachers[],MOD(COLUMN(S41),6)+1)))),1,0)</f>
        <v>0</v>
      </c>
      <c r="W41" s="6">
        <f>IF(AND(frame($C41,$D41,U$8),NOT(frame($C41,$D41,VLOOKUP(VLOOKUP(W$26,FT[],9),Teachers[],MOD(COLUMN(T41),6)+1)))),1,0)</f>
        <v>0</v>
      </c>
      <c r="X41" s="6">
        <f>IF(AND(frame($C41,$D41,V$8),NOT(frame($C41,$D41,VLOOKUP(VLOOKUP(X$26,FT[],9),Teachers[],MOD(COLUMN(U41),6)+1)))),1,0)</f>
        <v>0</v>
      </c>
      <c r="Y41" s="6">
        <f>IF(AND(frame($C41,$D41,W$8),NOT(frame($C41,$D41,VLOOKUP(VLOOKUP(Y$26,FT[],9),Teachers[],MOD(COLUMN(V41),6)+1)))),1,0)</f>
        <v>0</v>
      </c>
      <c r="Z41" s="6">
        <f>IF(AND(frame($C41,$D41,X$8),NOT(frame($C41,$D41,VLOOKUP(VLOOKUP(Z$26,FT[],9),Teachers[],MOD(COLUMN(W41),6)+1)))),1,0)</f>
        <v>0</v>
      </c>
      <c r="AA41" s="6">
        <f>IF(AND(frame($C41,$D41,Y$8),NOT(frame($C41,$D41,VLOOKUP(VLOOKUP(AA$26,FT[],9),Teachers[],MOD(COLUMN(X41),6)+1)))),1,0)</f>
        <v>0</v>
      </c>
      <c r="AB41" s="6">
        <f>IF(AND(frame($C41,$D41,Z$8),NOT(frame($C41,$D41,VLOOKUP(VLOOKUP(AB$26,FT[],9),Teachers[],MOD(COLUMN(Y41),6)+1)))),1,0)</f>
        <v>0</v>
      </c>
      <c r="AC41" s="6">
        <f>IF(AND(frame($C41,$D41,AA$8),NOT(frame($C41,$D41,VLOOKUP(VLOOKUP(AC$26,FT[],9),Teachers[],MOD(COLUMN(Z41),6)+1)))),1,0)</f>
        <v>0</v>
      </c>
      <c r="AD41" s="6">
        <f>IF(AND(frame($C41,$D41,AB$8),NOT(frame($C41,$D41,VLOOKUP(VLOOKUP(AD$26,FT[],9),Teachers[],MOD(COLUMN(AA41),6)+1)))),1,0)</f>
        <v>0</v>
      </c>
      <c r="AE41" s="6">
        <f>IF(AND(frame($C41,$D41,AC$8),NOT(frame($C41,$D41,VLOOKUP(VLOOKUP(AE$26,FT[],9),Teachers[],MOD(COLUMN(AB41),6)+1)))),1,0)</f>
        <v>0</v>
      </c>
      <c r="AF41" s="6">
        <f>IF(AND(frame($C41,$D41,AD$8),NOT(frame($C41,$D41,VLOOKUP(VLOOKUP(AF$26,FT[],9),Teachers[],MOD(COLUMN(AC41),6)+1)))),1,0)</f>
        <v>0</v>
      </c>
      <c r="AG41" s="6">
        <f>IF(AND(frame($C41,$D41,AE$8),NOT(frame($C41,$D41,VLOOKUP(VLOOKUP(AG$26,FT[],9),Teachers[],MOD(COLUMN(AD41),6)+1)))),1,0)</f>
        <v>0</v>
      </c>
      <c r="AH41" s="6">
        <f>IF(AND(frame($C41,$D41,AF$8),NOT(frame($C41,$D41,VLOOKUP(VLOOKUP(AH$26,FT[],9),Teachers[],MOD(COLUMN(AE41),6)+1)))),1,0)</f>
        <v>0</v>
      </c>
      <c r="AI41" s="6">
        <f>IF(AND(frame($C41,$D41,AG$8),NOT(frame($C41,$D41,VLOOKUP(VLOOKUP(AI$26,FT[],9),Teachers[],MOD(COLUMN(AF41),6)+1)))),1,0)</f>
        <v>0</v>
      </c>
      <c r="AJ41" s="6">
        <f>IF(AND(frame($C41,$D41,AH$8),NOT(frame($C41,$D41,VLOOKUP(VLOOKUP(AJ$26,FT[],9),Teachers[],MOD(COLUMN(AG41),6)+1)))),1,0)</f>
        <v>0</v>
      </c>
      <c r="AK41" s="6">
        <f>IF(AND(frame($C41,$D41,AI$8),NOT(frame($C41,$D41,VLOOKUP(VLOOKUP(AK$26,FT[],9),Teachers[],MOD(COLUMN(AH41),6)+1)))),1,0)</f>
        <v>0</v>
      </c>
      <c r="AL41" s="6">
        <f>IF(AND(frame($C41,$D41,AJ$8),NOT(frame($C41,$D41,VLOOKUP(VLOOKUP(AL$26,FT[],9),Teachers[],MOD(COLUMN(AI41),6)+1)))),1,0)</f>
        <v>0</v>
      </c>
      <c r="AM41" s="6">
        <f>IF(AND(frame($C41,$D41,AK$8),NOT(frame($C41,$D41,VLOOKUP(VLOOKUP(AM$26,FT[],9),Teachers[],MOD(COLUMN(AJ41),6)+1)))),1,0)</f>
        <v>0</v>
      </c>
      <c r="AN41" s="6">
        <f>IF(AND(frame($C41,$D41,AL$8),NOT(frame($C41,$D41,VLOOKUP(VLOOKUP(AN$26,FT[],9),Teachers[],MOD(COLUMN(AK41),6)+1)))),1,0)</f>
        <v>0</v>
      </c>
      <c r="AO41" s="6">
        <f>IF(AND(frame($C41,$D41,AM$8),NOT(frame($C41,$D41,VLOOKUP(VLOOKUP(AO$26,FT[],9),Teachers[],MOD(COLUMN(AL41),6)+1)))),1,0)</f>
        <v>0</v>
      </c>
      <c r="AP41" s="66">
        <f t="shared" si="11"/>
        <v>0</v>
      </c>
      <c r="AQ41" s="6">
        <f>IF(AND(frame($C41,$D41,AO$8),NOT(frame($C41,$D41,VLOOKUP(VLOOKUP(AQ$26,FT[],9),Teachers[],MOD(COLUMN(AN41),6)+1)))),1,0)</f>
        <v>0</v>
      </c>
      <c r="AR41" s="6">
        <f>IF(AND(frame($C41,$D41,AP$8),NOT(frame($C41,$D41,VLOOKUP(VLOOKUP(AR$26,FT[],9),Teachers[],MOD(COLUMN(AO41),6)+1)))),1,0)</f>
        <v>0</v>
      </c>
      <c r="AS41" s="6">
        <f>IF(AND(frame($C41,$D41,AQ$8),NOT(frame($C41,$D41,VLOOKUP(VLOOKUP(AS$26,FT[],9),Teachers[],MOD(COLUMN(AP41),6)+1)))),1,0)</f>
        <v>0</v>
      </c>
      <c r="AT41" s="6">
        <f>IF(AND(frame($C41,$D41,AR$8),NOT(frame($C41,$D41,VLOOKUP(VLOOKUP(AT$26,FT[],9),Teachers[],MOD(COLUMN(AQ41),6)+1)))),1,0)</f>
        <v>0</v>
      </c>
      <c r="AU41" s="6">
        <f>IF(AND(frame($C41,$D41,AS$8),NOT(frame($C41,$D41,VLOOKUP(VLOOKUP(AU$26,FT[],9),Teachers[],MOD(COLUMN(AR41),6)+1)))),1,0)</f>
        <v>0</v>
      </c>
      <c r="AV41" s="6">
        <f>IF(AND(frame($C41,$D41,AT$8),NOT(frame($C41,$D41,VLOOKUP(VLOOKUP(AV$26,FT[],9),Teachers[],MOD(COLUMN(AS41),6)+1)))),1,0)</f>
        <v>0</v>
      </c>
      <c r="AW41" s="6">
        <f>IF(AND(frame($C41,$D41,AU$8),NOT(frame($C41,$D41,VLOOKUP(VLOOKUP(AW$26,FT[],9),Teachers[],MOD(COLUMN(AT41),6)+1)))),1,0)</f>
        <v>0</v>
      </c>
      <c r="AX41" s="6">
        <f>IF(AND(frame($C41,$D41,AV$8),NOT(frame($C41,$D41,VLOOKUP(VLOOKUP(AX$26,FT[],9),Teachers[],MOD(COLUMN(AU41),6)+1)))),1,0)</f>
        <v>0</v>
      </c>
      <c r="AY41" s="6">
        <f>IF(AND(frame($C41,$D41,AW$8),NOT(frame($C41,$D41,VLOOKUP(VLOOKUP(AY$26,FT[],9),Teachers[],MOD(COLUMN(AV41),6)+1)))),1,0)</f>
        <v>0</v>
      </c>
      <c r="AZ41" s="6">
        <f>IF(AND(frame($C41,$D41,AX$8),NOT(frame($C41,$D41,VLOOKUP(VLOOKUP(AZ$26,FT[],9),Teachers[],MOD(COLUMN(AW41),6)+1)))),1,0)</f>
        <v>0</v>
      </c>
      <c r="BA41" s="6">
        <f>IF(AND(frame($C41,$D41,AY$8),NOT(frame($C41,$D41,VLOOKUP(VLOOKUP(BA$26,FT[],9),Teachers[],MOD(COLUMN(AX41),6)+1)))),1,0)</f>
        <v>0</v>
      </c>
      <c r="BB41" s="6">
        <f>IF(AND(frame($C41,$D41,AZ$8),NOT(frame($C41,$D41,VLOOKUP(VLOOKUP(BB$26,FT[],9),Teachers[],MOD(COLUMN(AY41),6)+1)))),1,0)</f>
        <v>0</v>
      </c>
      <c r="BC41" s="6">
        <f>IF(AND(frame($C41,$D41,BA$8),NOT(frame($C41,$D41,VLOOKUP(VLOOKUP(BC$26,FT[],9),Teachers[],MOD(COLUMN(AZ41),6)+1)))),1,0)</f>
        <v>0</v>
      </c>
      <c r="BD41" s="6">
        <f>IF(AND(frame($C41,$D41,BB$8),NOT(frame($C41,$D41,VLOOKUP(VLOOKUP(BD$26,FT[],9),Teachers[],MOD(COLUMN(BA41),6)+1)))),1,0)</f>
        <v>0</v>
      </c>
      <c r="BE41" s="6">
        <f>IF(AND(frame($C41,$D41,BC$8),NOT(frame($C41,$D41,VLOOKUP(VLOOKUP(BE$26,FT[],9),Teachers[],MOD(COLUMN(BB41),6)+1)))),1,0)</f>
        <v>0</v>
      </c>
      <c r="BF41" s="6">
        <f>IF(AND(frame($C41,$D41,BD$8),NOT(frame($C41,$D41,VLOOKUP(VLOOKUP(BF$26,FT[],9),Teachers[],MOD(COLUMN(BC41),6)+1)))),1,0)</f>
        <v>0</v>
      </c>
      <c r="BG41" s="6">
        <f>IF(AND(frame($C41,$D41,BE$8),NOT(frame($C41,$D41,VLOOKUP(VLOOKUP(BG$26,FT[],9),Teachers[],MOD(COLUMN(BD41),6)+1)))),1,0)</f>
        <v>0</v>
      </c>
      <c r="BH41" s="6">
        <f>IF(AND(frame($C41,$D41,BF$8),NOT(frame($C41,$D41,VLOOKUP(VLOOKUP(BH$26,FT[],9),Teachers[],MOD(COLUMN(BE41),6)+1)))),1,0)</f>
        <v>0</v>
      </c>
      <c r="BI41" s="6">
        <f>IF(AND(frame($C41,$D41,BG$8),NOT(frame($C41,$D41,VLOOKUP(VLOOKUP(BI$26,FT[],9),Teachers[],MOD(COLUMN(BF41),6)+1)))),1,0)</f>
        <v>0</v>
      </c>
      <c r="BJ41" s="6">
        <f>IF(AND(frame($C41,$D41,BH$8),NOT(frame($C41,$D41,VLOOKUP(VLOOKUP(BJ$26,FT[],9),Teachers[],MOD(COLUMN(BG41),6)+1)))),1,0)</f>
        <v>0</v>
      </c>
      <c r="BK41" s="6">
        <f>IF(AND(frame($C41,$D41,BI$8),NOT(frame($C41,$D41,VLOOKUP(VLOOKUP(BK$26,FT[],9),Teachers[],MOD(COLUMN(BH41),6)+1)))),1,0)</f>
        <v>0</v>
      </c>
      <c r="BL41" s="6">
        <f>IF(AND(frame($C41,$D41,BJ$8),NOT(frame($C41,$D41,VLOOKUP(VLOOKUP(BL$26,FT[],9),Teachers[],MOD(COLUMN(BI41),6)+1)))),1,0)</f>
        <v>0</v>
      </c>
    </row>
    <row r="42" spans="2:64" ht="15.75" thickBot="1">
      <c r="B42" s="1">
        <v>15</v>
      </c>
      <c r="C42" s="9">
        <v>0.46875</v>
      </c>
      <c r="D42" s="9">
        <v>0.5</v>
      </c>
      <c r="E42" s="6" t="e">
        <f ca="1">frame(СВ[[#This Row],[49]],СВ[[#This Row],[Столбец1]],C21,C35)</f>
        <v>#NAME?</v>
      </c>
      <c r="F42" s="6">
        <f>IF(AND(frame($C42,$D42,D$7),NOT(frame($C42,$D42,VLOOKUP(VLOOKUP(F$26,FT[],9),Teachers[],MOD(COLUMN(B42),6)+1)))),1,0)</f>
        <v>0</v>
      </c>
      <c r="G42" s="6">
        <f>IF(AND(frame($C42,$D42,E$7),NOT(frame($C42,$D42,VLOOKUP(VLOOKUP(G$26,FT[],9),Teachers[],MOD(COLUMN(C42),6)+1)))),1,0)</f>
        <v>0</v>
      </c>
      <c r="H42" s="6">
        <f>IF(AND(frame($C42,$D42,F$7),NOT(frame($C42,$D42,VLOOKUP(VLOOKUP(H$26,FT[],9),Teachers[],MOD(COLUMN(D42),6)+1)))),1,0)</f>
        <v>0</v>
      </c>
      <c r="I42" s="6" t="e">
        <f ca="1">IF(AND(frame($C42,$D42,G$7),NOT(frame($C42,$D42,VLOOKUP(VLOOKUP(I$26,FT[],9),Teachers[],MOD(COLUMN(E42),6)+1)))),1,0)</f>
        <v>#NAME?</v>
      </c>
      <c r="J42" s="6">
        <f>IF(AND(frame($C42,$D42,H$7),NOT(frame($C42,$D42,VLOOKUP(VLOOKUP(J$26,FT[],9),Teachers[],MOD(COLUMN(F42),6)+1)))),1,0)</f>
        <v>1</v>
      </c>
      <c r="K42" s="6">
        <f>IF(AND(frame($C42,$D42,I$8),NOT(frame($C42,$D42,VLOOKUP(VLOOKUP(K$26,FT[],9),Teachers[],MOD(COLUMN(H42),6)+1)))),1,0)</f>
        <v>0</v>
      </c>
      <c r="L42" s="1">
        <f t="shared" si="9"/>
        <v>0</v>
      </c>
      <c r="M42" s="6">
        <f>IF(AND(frame($C42,$D42,K$8),NOT(frame($C42,$D42,VLOOKUP(VLOOKUP(M$26,FT[],9),Teachers[],MOD(COLUMN(J42),6)+1)))),1,0)</f>
        <v>0</v>
      </c>
      <c r="N42" s="6">
        <f>IF(AND(frame($C42,$D42,L$8),NOT(frame($C42,$D42,VLOOKUP(VLOOKUP(N$26,FT[],9),Teachers[],MOD(COLUMN(K42),6)+1)))),1,0)</f>
        <v>0</v>
      </c>
      <c r="O42" s="6">
        <f>IF(AND(frame($C42,$D42,M$8),NOT(frame($C42,$D42,VLOOKUP(VLOOKUP(O$26,FT[],9),Teachers[],MOD(COLUMN(L42),6)+1)))),1,0)</f>
        <v>0</v>
      </c>
      <c r="P42" s="6">
        <f>IF(AND(frame($C42,$D42,N$8),NOT(frame($C42,$D42,VLOOKUP(VLOOKUP(P$26,FT[],9),Teachers[],MOD(COLUMN(M42),6)+1)))),1,0)</f>
        <v>0</v>
      </c>
      <c r="Q42" s="6">
        <f>IF(AND(frame($C42,$D42,O$8),NOT(frame($C42,$D42,VLOOKUP(VLOOKUP(Q$26,FT[],9),Teachers[],MOD(COLUMN(N42),6)+1)))),1,0)</f>
        <v>0</v>
      </c>
      <c r="R42" s="65">
        <f t="shared" si="10"/>
        <v>0</v>
      </c>
      <c r="S42" s="6">
        <f>IF(AND(frame($C42,$D42,Q$8),NOT(frame($C42,$D42,VLOOKUP(VLOOKUP(S$26,FT[],9),Teachers[],MOD(COLUMN(P42),6)+1)))),1,0)</f>
        <v>0</v>
      </c>
      <c r="T42" s="6">
        <f>IF(AND(frame($C42,$D42,R$8),NOT(frame($C42,$D42,VLOOKUP(VLOOKUP(T$26,FT[],9),Teachers[],MOD(COLUMN(Q42),6)+1)))),1,0)</f>
        <v>0</v>
      </c>
      <c r="U42" s="6">
        <f>IF(AND(frame($C42,$D42,S$8),NOT(frame($C42,$D42,VLOOKUP(VLOOKUP(U$26,FT[],9),Teachers[],MOD(COLUMN(R42),6)+1)))),1,0)</f>
        <v>0</v>
      </c>
      <c r="V42" s="6">
        <f>IF(AND(frame($C42,$D42,T$8),NOT(frame($C42,$D42,VLOOKUP(VLOOKUP(V$26,FT[],9),Teachers[],MOD(COLUMN(S42),6)+1)))),1,0)</f>
        <v>0</v>
      </c>
      <c r="W42" s="6">
        <f>IF(AND(frame($C42,$D42,U$8),NOT(frame($C42,$D42,VLOOKUP(VLOOKUP(W$26,FT[],9),Teachers[],MOD(COLUMN(T42),6)+1)))),1,0)</f>
        <v>0</v>
      </c>
      <c r="X42" s="6">
        <f>IF(AND(frame($C42,$D42,V$8),NOT(frame($C42,$D42,VLOOKUP(VLOOKUP(X$26,FT[],9),Teachers[],MOD(COLUMN(U42),6)+1)))),1,0)</f>
        <v>0</v>
      </c>
      <c r="Y42" s="6">
        <f>IF(AND(frame($C42,$D42,W$8),NOT(frame($C42,$D42,VLOOKUP(VLOOKUP(Y$26,FT[],9),Teachers[],MOD(COLUMN(V42),6)+1)))),1,0)</f>
        <v>0</v>
      </c>
      <c r="Z42" s="6">
        <f>IF(AND(frame($C42,$D42,X$8),NOT(frame($C42,$D42,VLOOKUP(VLOOKUP(Z$26,FT[],9),Teachers[],MOD(COLUMN(W42),6)+1)))),1,0)</f>
        <v>0</v>
      </c>
      <c r="AA42" s="6">
        <f>IF(AND(frame($C42,$D42,Y$8),NOT(frame($C42,$D42,VLOOKUP(VLOOKUP(AA$26,FT[],9),Teachers[],MOD(COLUMN(X42),6)+1)))),1,0)</f>
        <v>0</v>
      </c>
      <c r="AB42" s="6">
        <f>IF(AND(frame($C42,$D42,Z$8),NOT(frame($C42,$D42,VLOOKUP(VLOOKUP(AB$26,FT[],9),Teachers[],MOD(COLUMN(Y42),6)+1)))),1,0)</f>
        <v>0</v>
      </c>
      <c r="AC42" s="6">
        <f>IF(AND(frame($C42,$D42,AA$8),NOT(frame($C42,$D42,VLOOKUP(VLOOKUP(AC$26,FT[],9),Teachers[],MOD(COLUMN(Z42),6)+1)))),1,0)</f>
        <v>0</v>
      </c>
      <c r="AD42" s="6">
        <f>IF(AND(frame($C42,$D42,AB$8),NOT(frame($C42,$D42,VLOOKUP(VLOOKUP(AD$26,FT[],9),Teachers[],MOD(COLUMN(AA42),6)+1)))),1,0)</f>
        <v>0</v>
      </c>
      <c r="AE42" s="6">
        <f>IF(AND(frame($C42,$D42,AC$8),NOT(frame($C42,$D42,VLOOKUP(VLOOKUP(AE$26,FT[],9),Teachers[],MOD(COLUMN(AB42),6)+1)))),1,0)</f>
        <v>0</v>
      </c>
      <c r="AF42" s="6">
        <f>IF(AND(frame($C42,$D42,AD$8),NOT(frame($C42,$D42,VLOOKUP(VLOOKUP(AF$26,FT[],9),Teachers[],MOD(COLUMN(AC42),6)+1)))),1,0)</f>
        <v>0</v>
      </c>
      <c r="AG42" s="6">
        <f>IF(AND(frame($C42,$D42,AE$8),NOT(frame($C42,$D42,VLOOKUP(VLOOKUP(AG$26,FT[],9),Teachers[],MOD(COLUMN(AD42),6)+1)))),1,0)</f>
        <v>0</v>
      </c>
      <c r="AH42" s="6">
        <f>IF(AND(frame($C42,$D42,AF$8),NOT(frame($C42,$D42,VLOOKUP(VLOOKUP(AH$26,FT[],9),Teachers[],MOD(COLUMN(AE42),6)+1)))),1,0)</f>
        <v>0</v>
      </c>
      <c r="AI42" s="6">
        <f>IF(AND(frame($C42,$D42,AG$8),NOT(frame($C42,$D42,VLOOKUP(VLOOKUP(AI$26,FT[],9),Teachers[],MOD(COLUMN(AF42),6)+1)))),1,0)</f>
        <v>0</v>
      </c>
      <c r="AJ42" s="6">
        <f>IF(AND(frame($C42,$D42,AH$8),NOT(frame($C42,$D42,VLOOKUP(VLOOKUP(AJ$26,FT[],9),Teachers[],MOD(COLUMN(AG42),6)+1)))),1,0)</f>
        <v>0</v>
      </c>
      <c r="AK42" s="6">
        <f>IF(AND(frame($C42,$D42,AI$8),NOT(frame($C42,$D42,VLOOKUP(VLOOKUP(AK$26,FT[],9),Teachers[],MOD(COLUMN(AH42),6)+1)))),1,0)</f>
        <v>0</v>
      </c>
      <c r="AL42" s="6">
        <f>IF(AND(frame($C42,$D42,AJ$8),NOT(frame($C42,$D42,VLOOKUP(VLOOKUP(AL$26,FT[],9),Teachers[],MOD(COLUMN(AI42),6)+1)))),1,0)</f>
        <v>0</v>
      </c>
      <c r="AM42" s="6">
        <f>IF(AND(frame($C42,$D42,AK$8),NOT(frame($C42,$D42,VLOOKUP(VLOOKUP(AM$26,FT[],9),Teachers[],MOD(COLUMN(AJ42),6)+1)))),1,0)</f>
        <v>0</v>
      </c>
      <c r="AN42" s="6">
        <f>IF(AND(frame($C42,$D42,AL$8),NOT(frame($C42,$D42,VLOOKUP(VLOOKUP(AN$26,FT[],9),Teachers[],MOD(COLUMN(AK42),6)+1)))),1,0)</f>
        <v>0</v>
      </c>
      <c r="AO42" s="6">
        <f>IF(AND(frame($C42,$D42,AM$8),NOT(frame($C42,$D42,VLOOKUP(VLOOKUP(AO$26,FT[],9),Teachers[],MOD(COLUMN(AL42),6)+1)))),1,0)</f>
        <v>0</v>
      </c>
      <c r="AP42" s="66">
        <f t="shared" si="11"/>
        <v>0</v>
      </c>
      <c r="AQ42" s="6">
        <f>IF(AND(frame($C42,$D42,AO$8),NOT(frame($C42,$D42,VLOOKUP(VLOOKUP(AQ$26,FT[],9),Teachers[],MOD(COLUMN(AN42),6)+1)))),1,0)</f>
        <v>0</v>
      </c>
      <c r="AR42" s="6">
        <f>IF(AND(frame($C42,$D42,AP$8),NOT(frame($C42,$D42,VLOOKUP(VLOOKUP(AR$26,FT[],9),Teachers[],MOD(COLUMN(AO42),6)+1)))),1,0)</f>
        <v>0</v>
      </c>
      <c r="AS42" s="6">
        <f>IF(AND(frame($C42,$D42,AQ$8),NOT(frame($C42,$D42,VLOOKUP(VLOOKUP(AS$26,FT[],9),Teachers[],MOD(COLUMN(AP42),6)+1)))),1,0)</f>
        <v>0</v>
      </c>
      <c r="AT42" s="6">
        <f>IF(AND(frame($C42,$D42,AR$8),NOT(frame($C42,$D42,VLOOKUP(VLOOKUP(AT$26,FT[],9),Teachers[],MOD(COLUMN(AQ42),6)+1)))),1,0)</f>
        <v>0</v>
      </c>
      <c r="AU42" s="6">
        <f>IF(AND(frame($C42,$D42,AS$8),NOT(frame($C42,$D42,VLOOKUP(VLOOKUP(AU$26,FT[],9),Teachers[],MOD(COLUMN(AR42),6)+1)))),1,0)</f>
        <v>0</v>
      </c>
      <c r="AV42" s="6">
        <f>IF(AND(frame($C42,$D42,AT$8),NOT(frame($C42,$D42,VLOOKUP(VLOOKUP(AV$26,FT[],9),Teachers[],MOD(COLUMN(AS42),6)+1)))),1,0)</f>
        <v>0</v>
      </c>
      <c r="AW42" s="6">
        <f>IF(AND(frame($C42,$D42,AU$8),NOT(frame($C42,$D42,VLOOKUP(VLOOKUP(AW$26,FT[],9),Teachers[],MOD(COLUMN(AT42),6)+1)))),1,0)</f>
        <v>0</v>
      </c>
      <c r="AX42" s="6">
        <f>IF(AND(frame($C42,$D42,AV$8),NOT(frame($C42,$D42,VLOOKUP(VLOOKUP(AX$26,FT[],9),Teachers[],MOD(COLUMN(AU42),6)+1)))),1,0)</f>
        <v>0</v>
      </c>
      <c r="AY42" s="6">
        <f>IF(AND(frame($C42,$D42,AW$8),NOT(frame($C42,$D42,VLOOKUP(VLOOKUP(AY$26,FT[],9),Teachers[],MOD(COLUMN(AV42),6)+1)))),1,0)</f>
        <v>0</v>
      </c>
      <c r="AZ42" s="6">
        <f>IF(AND(frame($C42,$D42,AX$8),NOT(frame($C42,$D42,VLOOKUP(VLOOKUP(AZ$26,FT[],9),Teachers[],MOD(COLUMN(AW42),6)+1)))),1,0)</f>
        <v>0</v>
      </c>
      <c r="BA42" s="6">
        <f>IF(AND(frame($C42,$D42,AY$8),NOT(frame($C42,$D42,VLOOKUP(VLOOKUP(BA$26,FT[],9),Teachers[],MOD(COLUMN(AX42),6)+1)))),1,0)</f>
        <v>0</v>
      </c>
      <c r="BB42" s="6">
        <f>IF(AND(frame($C42,$D42,AZ$8),NOT(frame($C42,$D42,VLOOKUP(VLOOKUP(BB$26,FT[],9),Teachers[],MOD(COLUMN(AY42),6)+1)))),1,0)</f>
        <v>0</v>
      </c>
      <c r="BC42" s="6">
        <f>IF(AND(frame($C42,$D42,BA$8),NOT(frame($C42,$D42,VLOOKUP(VLOOKUP(BC$26,FT[],9),Teachers[],MOD(COLUMN(AZ42),6)+1)))),1,0)</f>
        <v>0</v>
      </c>
      <c r="BD42" s="6">
        <f>IF(AND(frame($C42,$D42,BB$8),NOT(frame($C42,$D42,VLOOKUP(VLOOKUP(BD$26,FT[],9),Teachers[],MOD(COLUMN(BA42),6)+1)))),1,0)</f>
        <v>0</v>
      </c>
      <c r="BE42" s="6">
        <f>IF(AND(frame($C42,$D42,BC$8),NOT(frame($C42,$D42,VLOOKUP(VLOOKUP(BE$26,FT[],9),Teachers[],MOD(COLUMN(BB42),6)+1)))),1,0)</f>
        <v>0</v>
      </c>
      <c r="BF42" s="6">
        <f>IF(AND(frame($C42,$D42,BD$8),NOT(frame($C42,$D42,VLOOKUP(VLOOKUP(BF$26,FT[],9),Teachers[],MOD(COLUMN(BC42),6)+1)))),1,0)</f>
        <v>0</v>
      </c>
      <c r="BG42" s="6">
        <f>IF(AND(frame($C42,$D42,BE$8),NOT(frame($C42,$D42,VLOOKUP(VLOOKUP(BG$26,FT[],9),Teachers[],MOD(COLUMN(BD42),6)+1)))),1,0)</f>
        <v>0</v>
      </c>
      <c r="BH42" s="6">
        <f>IF(AND(frame($C42,$D42,BF$8),NOT(frame($C42,$D42,VLOOKUP(VLOOKUP(BH$26,FT[],9),Teachers[],MOD(COLUMN(BE42),6)+1)))),1,0)</f>
        <v>0</v>
      </c>
      <c r="BI42" s="6">
        <f>IF(AND(frame($C42,$D42,BG$8),NOT(frame($C42,$D42,VLOOKUP(VLOOKUP(BI$26,FT[],9),Teachers[],MOD(COLUMN(BF42),6)+1)))),1,0)</f>
        <v>0</v>
      </c>
      <c r="BJ42" s="6">
        <f>IF(AND(frame($C42,$D42,BH$8),NOT(frame($C42,$D42,VLOOKUP(VLOOKUP(BJ$26,FT[],9),Teachers[],MOD(COLUMN(BG42),6)+1)))),1,0)</f>
        <v>0</v>
      </c>
      <c r="BK42" s="6">
        <f>IF(AND(frame($C42,$D42,BI$8),NOT(frame($C42,$D42,VLOOKUP(VLOOKUP(BK$26,FT[],9),Teachers[],MOD(COLUMN(BH42),6)+1)))),1,0)</f>
        <v>0</v>
      </c>
      <c r="BL42" s="6">
        <f>IF(AND(frame($C42,$D42,BJ$8),NOT(frame($C42,$D42,VLOOKUP(VLOOKUP(BL$26,FT[],9),Teachers[],MOD(COLUMN(BI42),6)+1)))),1,0)</f>
        <v>0</v>
      </c>
    </row>
    <row r="43" spans="2:64" ht="15.75" thickBot="1">
      <c r="B43" s="1">
        <v>16</v>
      </c>
      <c r="C43" s="9">
        <v>0.47916666666666669</v>
      </c>
      <c r="D43" s="9">
        <v>0.51041666666666663</v>
      </c>
      <c r="E43" s="6" t="e">
        <f ca="1">frame(СВ[[#This Row],[49]],СВ[[#This Row],[Столбец1]],C22,C36)</f>
        <v>#NAME?</v>
      </c>
      <c r="F43" s="6">
        <f>IF(AND(frame($C43,$D43,D$7),NOT(frame($C43,$D43,VLOOKUP(VLOOKUP(F$26,FT[],9),Teachers[],MOD(COLUMN(B43),6)+1)))),1,0)</f>
        <v>0</v>
      </c>
      <c r="G43" s="6">
        <f>IF(AND(frame($C43,$D43,E$7),NOT(frame($C43,$D43,VLOOKUP(VLOOKUP(G$26,FT[],9),Teachers[],MOD(COLUMN(C43),6)+1)))),1,0)</f>
        <v>0</v>
      </c>
      <c r="H43" s="6">
        <f>IF(AND(frame($C43,$D43,F$7),NOT(frame($C43,$D43,VLOOKUP(VLOOKUP(H$26,FT[],9),Teachers[],MOD(COLUMN(D43),6)+1)))),1,0)</f>
        <v>0</v>
      </c>
      <c r="I43" s="6" t="e">
        <f ca="1">IF(AND(frame($C43,$D43,G$7),NOT(frame($C43,$D43,VLOOKUP(VLOOKUP(I$26,FT[],9),Teachers[],MOD(COLUMN(E43),6)+1)))),1,0)</f>
        <v>#NAME?</v>
      </c>
      <c r="J43" s="6">
        <f>IF(AND(frame($C43,$D43,H$7),NOT(frame($C43,$D43,VLOOKUP(VLOOKUP(J$26,FT[],9),Teachers[],MOD(COLUMN(F43),6)+1)))),1,0)</f>
        <v>1</v>
      </c>
      <c r="K43" s="6">
        <f>IF(AND(frame($C43,$D43,I$8),NOT(frame($C43,$D43,VLOOKUP(VLOOKUP(K$26,FT[],9),Teachers[],MOD(COLUMN(H43),6)+1)))),1,0)</f>
        <v>0</v>
      </c>
      <c r="L43" s="1">
        <f t="shared" si="9"/>
        <v>0</v>
      </c>
      <c r="M43" s="6">
        <f>IF(AND(frame($C43,$D43,K$8),NOT(frame($C43,$D43,VLOOKUP(VLOOKUP(M$26,FT[],9),Teachers[],MOD(COLUMN(J43),6)+1)))),1,0)</f>
        <v>0</v>
      </c>
      <c r="N43" s="6">
        <f>IF(AND(frame($C43,$D43,L$8),NOT(frame($C43,$D43,VLOOKUP(VLOOKUP(N$26,FT[],9),Teachers[],MOD(COLUMN(K43),6)+1)))),1,0)</f>
        <v>0</v>
      </c>
      <c r="O43" s="6">
        <f>IF(AND(frame($C43,$D43,M$8),NOT(frame($C43,$D43,VLOOKUP(VLOOKUP(O$26,FT[],9),Teachers[],MOD(COLUMN(L43),6)+1)))),1,0)</f>
        <v>0</v>
      </c>
      <c r="P43" s="6">
        <f>IF(AND(frame($C43,$D43,N$8),NOT(frame($C43,$D43,VLOOKUP(VLOOKUP(P$26,FT[],9),Teachers[],MOD(COLUMN(M43),6)+1)))),1,0)</f>
        <v>0</v>
      </c>
      <c r="Q43" s="6">
        <f>IF(AND(frame($C43,$D43,O$8),NOT(frame($C43,$D43,VLOOKUP(VLOOKUP(Q$26,FT[],9),Teachers[],MOD(COLUMN(N43),6)+1)))),1,0)</f>
        <v>0</v>
      </c>
      <c r="R43" s="65">
        <f t="shared" si="10"/>
        <v>0</v>
      </c>
      <c r="S43" s="6">
        <f>IF(AND(frame($C43,$D43,Q$8),NOT(frame($C43,$D43,VLOOKUP(VLOOKUP(S$26,FT[],9),Teachers[],MOD(COLUMN(P43),6)+1)))),1,0)</f>
        <v>0</v>
      </c>
      <c r="T43" s="6">
        <f>IF(AND(frame($C43,$D43,R$8),NOT(frame($C43,$D43,VLOOKUP(VLOOKUP(T$26,FT[],9),Teachers[],MOD(COLUMN(Q43),6)+1)))),1,0)</f>
        <v>0</v>
      </c>
      <c r="U43" s="6">
        <f>IF(AND(frame($C43,$D43,S$8),NOT(frame($C43,$D43,VLOOKUP(VLOOKUP(U$26,FT[],9),Teachers[],MOD(COLUMN(R43),6)+1)))),1,0)</f>
        <v>0</v>
      </c>
      <c r="V43" s="6">
        <f>IF(AND(frame($C43,$D43,T$8),NOT(frame($C43,$D43,VLOOKUP(VLOOKUP(V$26,FT[],9),Teachers[],MOD(COLUMN(S43),6)+1)))),1,0)</f>
        <v>0</v>
      </c>
      <c r="W43" s="6">
        <f>IF(AND(frame($C43,$D43,U$8),NOT(frame($C43,$D43,VLOOKUP(VLOOKUP(W$26,FT[],9),Teachers[],MOD(COLUMN(T43),6)+1)))),1,0)</f>
        <v>0</v>
      </c>
      <c r="X43" s="6">
        <f>IF(AND(frame($C43,$D43,V$8),NOT(frame($C43,$D43,VLOOKUP(VLOOKUP(X$26,FT[],9),Teachers[],MOD(COLUMN(U43),6)+1)))),1,0)</f>
        <v>0</v>
      </c>
      <c r="Y43" s="6">
        <f>IF(AND(frame($C43,$D43,W$8),NOT(frame($C43,$D43,VLOOKUP(VLOOKUP(Y$26,FT[],9),Teachers[],MOD(COLUMN(V43),6)+1)))),1,0)</f>
        <v>0</v>
      </c>
      <c r="Z43" s="6">
        <f>IF(AND(frame($C43,$D43,X$8),NOT(frame($C43,$D43,VLOOKUP(VLOOKUP(Z$26,FT[],9),Teachers[],MOD(COLUMN(W43),6)+1)))),1,0)</f>
        <v>0</v>
      </c>
      <c r="AA43" s="6">
        <f>IF(AND(frame($C43,$D43,Y$8),NOT(frame($C43,$D43,VLOOKUP(VLOOKUP(AA$26,FT[],9),Teachers[],MOD(COLUMN(X43),6)+1)))),1,0)</f>
        <v>0</v>
      </c>
      <c r="AB43" s="6">
        <f>IF(AND(frame($C43,$D43,Z$8),NOT(frame($C43,$D43,VLOOKUP(VLOOKUP(AB$26,FT[],9),Teachers[],MOD(COLUMN(Y43),6)+1)))),1,0)</f>
        <v>0</v>
      </c>
      <c r="AC43" s="6">
        <f>IF(AND(frame($C43,$D43,AA$8),NOT(frame($C43,$D43,VLOOKUP(VLOOKUP(AC$26,FT[],9),Teachers[],MOD(COLUMN(Z43),6)+1)))),1,0)</f>
        <v>0</v>
      </c>
      <c r="AD43" s="6">
        <f>IF(AND(frame($C43,$D43,AB$8),NOT(frame($C43,$D43,VLOOKUP(VLOOKUP(AD$26,FT[],9),Teachers[],MOD(COLUMN(AA43),6)+1)))),1,0)</f>
        <v>0</v>
      </c>
      <c r="AE43" s="6">
        <f>IF(AND(frame($C43,$D43,AC$8),NOT(frame($C43,$D43,VLOOKUP(VLOOKUP(AE$26,FT[],9),Teachers[],MOD(COLUMN(AB43),6)+1)))),1,0)</f>
        <v>0</v>
      </c>
      <c r="AF43" s="6">
        <f>IF(AND(frame($C43,$D43,AD$8),NOT(frame($C43,$D43,VLOOKUP(VLOOKUP(AF$26,FT[],9),Teachers[],MOD(COLUMN(AC43),6)+1)))),1,0)</f>
        <v>0</v>
      </c>
      <c r="AG43" s="6">
        <f>IF(AND(frame($C43,$D43,AE$8),NOT(frame($C43,$D43,VLOOKUP(VLOOKUP(AG$26,FT[],9),Teachers[],MOD(COLUMN(AD43),6)+1)))),1,0)</f>
        <v>0</v>
      </c>
      <c r="AH43" s="6">
        <f>IF(AND(frame($C43,$D43,AF$8),NOT(frame($C43,$D43,VLOOKUP(VLOOKUP(AH$26,FT[],9),Teachers[],MOD(COLUMN(AE43),6)+1)))),1,0)</f>
        <v>0</v>
      </c>
      <c r="AI43" s="6">
        <f>IF(AND(frame($C43,$D43,AG$8),NOT(frame($C43,$D43,VLOOKUP(VLOOKUP(AI$26,FT[],9),Teachers[],MOD(COLUMN(AF43),6)+1)))),1,0)</f>
        <v>0</v>
      </c>
      <c r="AJ43" s="6">
        <f>IF(AND(frame($C43,$D43,AH$8),NOT(frame($C43,$D43,VLOOKUP(VLOOKUP(AJ$26,FT[],9),Teachers[],MOD(COLUMN(AG43),6)+1)))),1,0)</f>
        <v>0</v>
      </c>
      <c r="AK43" s="6">
        <f>IF(AND(frame($C43,$D43,AI$8),NOT(frame($C43,$D43,VLOOKUP(VLOOKUP(AK$26,FT[],9),Teachers[],MOD(COLUMN(AH43),6)+1)))),1,0)</f>
        <v>0</v>
      </c>
      <c r="AL43" s="6">
        <f>IF(AND(frame($C43,$D43,AJ$8),NOT(frame($C43,$D43,VLOOKUP(VLOOKUP(AL$26,FT[],9),Teachers[],MOD(COLUMN(AI43),6)+1)))),1,0)</f>
        <v>0</v>
      </c>
      <c r="AM43" s="6">
        <f>IF(AND(frame($C43,$D43,AK$8),NOT(frame($C43,$D43,VLOOKUP(VLOOKUP(AM$26,FT[],9),Teachers[],MOD(COLUMN(AJ43),6)+1)))),1,0)</f>
        <v>0</v>
      </c>
      <c r="AN43" s="6">
        <f>IF(AND(frame($C43,$D43,AL$8),NOT(frame($C43,$D43,VLOOKUP(VLOOKUP(AN$26,FT[],9),Teachers[],MOD(COLUMN(AK43),6)+1)))),1,0)</f>
        <v>0</v>
      </c>
      <c r="AO43" s="6">
        <f>IF(AND(frame($C43,$D43,AM$8),NOT(frame($C43,$D43,VLOOKUP(VLOOKUP(AO$26,FT[],9),Teachers[],MOD(COLUMN(AL43),6)+1)))),1,0)</f>
        <v>0</v>
      </c>
      <c r="AP43" s="66">
        <f t="shared" si="11"/>
        <v>0</v>
      </c>
      <c r="AQ43" s="6">
        <f>IF(AND(frame($C43,$D43,AO$8),NOT(frame($C43,$D43,VLOOKUP(VLOOKUP(AQ$26,FT[],9),Teachers[],MOD(COLUMN(AN43),6)+1)))),1,0)</f>
        <v>0</v>
      </c>
      <c r="AR43" s="6">
        <f>IF(AND(frame($C43,$D43,AP$8),NOT(frame($C43,$D43,VLOOKUP(VLOOKUP(AR$26,FT[],9),Teachers[],MOD(COLUMN(AO43),6)+1)))),1,0)</f>
        <v>0</v>
      </c>
      <c r="AS43" s="6">
        <f>IF(AND(frame($C43,$D43,AQ$8),NOT(frame($C43,$D43,VLOOKUP(VLOOKUP(AS$26,FT[],9),Teachers[],MOD(COLUMN(AP43),6)+1)))),1,0)</f>
        <v>0</v>
      </c>
      <c r="AT43" s="6">
        <f>IF(AND(frame($C43,$D43,AR$8),NOT(frame($C43,$D43,VLOOKUP(VLOOKUP(AT$26,FT[],9),Teachers[],MOD(COLUMN(AQ43),6)+1)))),1,0)</f>
        <v>0</v>
      </c>
      <c r="AU43" s="6">
        <f>IF(AND(frame($C43,$D43,AS$8),NOT(frame($C43,$D43,VLOOKUP(VLOOKUP(AU$26,FT[],9),Teachers[],MOD(COLUMN(AR43),6)+1)))),1,0)</f>
        <v>0</v>
      </c>
      <c r="AV43" s="6">
        <f>IF(AND(frame($C43,$D43,AT$8),NOT(frame($C43,$D43,VLOOKUP(VLOOKUP(AV$26,FT[],9),Teachers[],MOD(COLUMN(AS43),6)+1)))),1,0)</f>
        <v>0</v>
      </c>
      <c r="AW43" s="6">
        <f>IF(AND(frame($C43,$D43,AU$8),NOT(frame($C43,$D43,VLOOKUP(VLOOKUP(AW$26,FT[],9),Teachers[],MOD(COLUMN(AT43),6)+1)))),1,0)</f>
        <v>0</v>
      </c>
      <c r="AX43" s="6">
        <f>IF(AND(frame($C43,$D43,AV$8),NOT(frame($C43,$D43,VLOOKUP(VLOOKUP(AX$26,FT[],9),Teachers[],MOD(COLUMN(AU43),6)+1)))),1,0)</f>
        <v>0</v>
      </c>
      <c r="AY43" s="6">
        <f>IF(AND(frame($C43,$D43,AW$8),NOT(frame($C43,$D43,VLOOKUP(VLOOKUP(AY$26,FT[],9),Teachers[],MOD(COLUMN(AV43),6)+1)))),1,0)</f>
        <v>0</v>
      </c>
      <c r="AZ43" s="6">
        <f>IF(AND(frame($C43,$D43,AX$8),NOT(frame($C43,$D43,VLOOKUP(VLOOKUP(AZ$26,FT[],9),Teachers[],MOD(COLUMN(AW43),6)+1)))),1,0)</f>
        <v>0</v>
      </c>
      <c r="BA43" s="6">
        <f>IF(AND(frame($C43,$D43,AY$8),NOT(frame($C43,$D43,VLOOKUP(VLOOKUP(BA$26,FT[],9),Teachers[],MOD(COLUMN(AX43),6)+1)))),1,0)</f>
        <v>0</v>
      </c>
      <c r="BB43" s="6">
        <f>IF(AND(frame($C43,$D43,AZ$8),NOT(frame($C43,$D43,VLOOKUP(VLOOKUP(BB$26,FT[],9),Teachers[],MOD(COLUMN(AY43),6)+1)))),1,0)</f>
        <v>0</v>
      </c>
      <c r="BC43" s="6">
        <f>IF(AND(frame($C43,$D43,BA$8),NOT(frame($C43,$D43,VLOOKUP(VLOOKUP(BC$26,FT[],9),Teachers[],MOD(COLUMN(AZ43),6)+1)))),1,0)</f>
        <v>0</v>
      </c>
      <c r="BD43" s="6">
        <f>IF(AND(frame($C43,$D43,BB$8),NOT(frame($C43,$D43,VLOOKUP(VLOOKUP(BD$26,FT[],9),Teachers[],MOD(COLUMN(BA43),6)+1)))),1,0)</f>
        <v>0</v>
      </c>
      <c r="BE43" s="6">
        <f>IF(AND(frame($C43,$D43,BC$8),NOT(frame($C43,$D43,VLOOKUP(VLOOKUP(BE$26,FT[],9),Teachers[],MOD(COLUMN(BB43),6)+1)))),1,0)</f>
        <v>0</v>
      </c>
      <c r="BF43" s="6">
        <f>IF(AND(frame($C43,$D43,BD$8),NOT(frame($C43,$D43,VLOOKUP(VLOOKUP(BF$26,FT[],9),Teachers[],MOD(COLUMN(BC43),6)+1)))),1,0)</f>
        <v>0</v>
      </c>
      <c r="BG43" s="6">
        <f>IF(AND(frame($C43,$D43,BE$8),NOT(frame($C43,$D43,VLOOKUP(VLOOKUP(BG$26,FT[],9),Teachers[],MOD(COLUMN(BD43),6)+1)))),1,0)</f>
        <v>0</v>
      </c>
      <c r="BH43" s="6">
        <f>IF(AND(frame($C43,$D43,BF$8),NOT(frame($C43,$D43,VLOOKUP(VLOOKUP(BH$26,FT[],9),Teachers[],MOD(COLUMN(BE43),6)+1)))),1,0)</f>
        <v>0</v>
      </c>
      <c r="BI43" s="6">
        <f>IF(AND(frame($C43,$D43,BG$8),NOT(frame($C43,$D43,VLOOKUP(VLOOKUP(BI$26,FT[],9),Teachers[],MOD(COLUMN(BF43),6)+1)))),1,0)</f>
        <v>0</v>
      </c>
      <c r="BJ43" s="6">
        <f>IF(AND(frame($C43,$D43,BH$8),NOT(frame($C43,$D43,VLOOKUP(VLOOKUP(BJ$26,FT[],9),Teachers[],MOD(COLUMN(BG43),6)+1)))),1,0)</f>
        <v>0</v>
      </c>
      <c r="BK43" s="6">
        <f>IF(AND(frame($C43,$D43,BI$8),NOT(frame($C43,$D43,VLOOKUP(VLOOKUP(BK$26,FT[],9),Teachers[],MOD(COLUMN(BH43),6)+1)))),1,0)</f>
        <v>0</v>
      </c>
      <c r="BL43" s="6">
        <f>IF(AND(frame($C43,$D43,BJ$8),NOT(frame($C43,$D43,VLOOKUP(VLOOKUP(BL$26,FT[],9),Teachers[],MOD(COLUMN(BI43),6)+1)))),1,0)</f>
        <v>0</v>
      </c>
    </row>
    <row r="44" spans="2:64" ht="15.75" thickBot="1">
      <c r="B44" s="1">
        <v>17</v>
      </c>
      <c r="C44" s="9">
        <v>0.48958333333333337</v>
      </c>
      <c r="D44" s="9">
        <v>0.52083333333333337</v>
      </c>
      <c r="E44" s="6" t="e">
        <f ca="1">frame(СВ[[#This Row],[49]],СВ[[#This Row],[Столбец1]],C23,C37)</f>
        <v>#NAME?</v>
      </c>
      <c r="F44" s="6">
        <f>IF(AND(frame($C44,$D44,D$7),NOT(frame($C44,$D44,VLOOKUP(VLOOKUP(F$26,FT[],9),Teachers[],MOD(COLUMN(B44),6)+1)))),1,0)</f>
        <v>0</v>
      </c>
      <c r="G44" s="6">
        <f>IF(AND(frame($C44,$D44,E$7),NOT(frame($C44,$D44,VLOOKUP(VLOOKUP(G$26,FT[],9),Teachers[],MOD(COLUMN(C44),6)+1)))),1,0)</f>
        <v>0</v>
      </c>
      <c r="H44" s="6">
        <f>IF(AND(frame($C44,$D44,F$7),NOT(frame($C44,$D44,VLOOKUP(VLOOKUP(H$26,FT[],9),Teachers[],MOD(COLUMN(D44),6)+1)))),1,0)</f>
        <v>0</v>
      </c>
      <c r="I44" s="6" t="e">
        <f ca="1">IF(AND(frame($C44,$D44,G$7),NOT(frame($C44,$D44,VLOOKUP(VLOOKUP(I$26,FT[],9),Teachers[],MOD(COLUMN(E44),6)+1)))),1,0)</f>
        <v>#NAME?</v>
      </c>
      <c r="J44" s="6">
        <f>IF(AND(frame($C44,$D44,H$7),NOT(frame($C44,$D44,VLOOKUP(VLOOKUP(J$26,FT[],9),Teachers[],MOD(COLUMN(F44),6)+1)))),1,0)</f>
        <v>1</v>
      </c>
      <c r="K44" s="6">
        <f>IF(AND(frame($C44,$D44,I$8),NOT(frame($C44,$D44,VLOOKUP(VLOOKUP(K$26,FT[],9),Teachers[],MOD(COLUMN(H44),6)+1)))),1,0)</f>
        <v>0</v>
      </c>
      <c r="L44" s="1">
        <f t="shared" si="9"/>
        <v>0</v>
      </c>
      <c r="M44" s="6">
        <f>IF(AND(frame($C44,$D44,K$8),NOT(frame($C44,$D44,VLOOKUP(VLOOKUP(M$26,FT[],9),Teachers[],MOD(COLUMN(J44),6)+1)))),1,0)</f>
        <v>0</v>
      </c>
      <c r="N44" s="6">
        <f>IF(AND(frame($C44,$D44,L$8),NOT(frame($C44,$D44,VLOOKUP(VLOOKUP(N$26,FT[],9),Teachers[],MOD(COLUMN(K44),6)+1)))),1,0)</f>
        <v>0</v>
      </c>
      <c r="O44" s="6">
        <f>IF(AND(frame($C44,$D44,M$8),NOT(frame($C44,$D44,VLOOKUP(VLOOKUP(O$26,FT[],9),Teachers[],MOD(COLUMN(L44),6)+1)))),1,0)</f>
        <v>0</v>
      </c>
      <c r="P44" s="6">
        <f>IF(AND(frame($C44,$D44,N$8),NOT(frame($C44,$D44,VLOOKUP(VLOOKUP(P$26,FT[],9),Teachers[],MOD(COLUMN(M44),6)+1)))),1,0)</f>
        <v>0</v>
      </c>
      <c r="Q44" s="6">
        <f>IF(AND(frame($C44,$D44,O$8),NOT(frame($C44,$D44,VLOOKUP(VLOOKUP(Q$26,FT[],9),Teachers[],MOD(COLUMN(N44),6)+1)))),1,0)</f>
        <v>0</v>
      </c>
      <c r="R44" s="65">
        <f t="shared" si="10"/>
        <v>0</v>
      </c>
      <c r="S44" s="6">
        <f>IF(AND(frame($C44,$D44,Q$8),NOT(frame($C44,$D44,VLOOKUP(VLOOKUP(S$26,FT[],9),Teachers[],MOD(COLUMN(P44),6)+1)))),1,0)</f>
        <v>0</v>
      </c>
      <c r="T44" s="6">
        <f>IF(AND(frame($C44,$D44,R$8),NOT(frame($C44,$D44,VLOOKUP(VLOOKUP(T$26,FT[],9),Teachers[],MOD(COLUMN(Q44),6)+1)))),1,0)</f>
        <v>0</v>
      </c>
      <c r="U44" s="6">
        <f>IF(AND(frame($C44,$D44,S$8),NOT(frame($C44,$D44,VLOOKUP(VLOOKUP(U$26,FT[],9),Teachers[],MOD(COLUMN(R44),6)+1)))),1,0)</f>
        <v>0</v>
      </c>
      <c r="V44" s="6">
        <f>IF(AND(frame($C44,$D44,T$8),NOT(frame($C44,$D44,VLOOKUP(VLOOKUP(V$26,FT[],9),Teachers[],MOD(COLUMN(S44),6)+1)))),1,0)</f>
        <v>0</v>
      </c>
      <c r="W44" s="6">
        <f>IF(AND(frame($C44,$D44,U$8),NOT(frame($C44,$D44,VLOOKUP(VLOOKUP(W$26,FT[],9),Teachers[],MOD(COLUMN(T44),6)+1)))),1,0)</f>
        <v>0</v>
      </c>
      <c r="X44" s="6">
        <f>IF(AND(frame($C44,$D44,V$8),NOT(frame($C44,$D44,VLOOKUP(VLOOKUP(X$26,FT[],9),Teachers[],MOD(COLUMN(U44),6)+1)))),1,0)</f>
        <v>0</v>
      </c>
      <c r="Y44" s="6">
        <f>IF(AND(frame($C44,$D44,W$8),NOT(frame($C44,$D44,VLOOKUP(VLOOKUP(Y$26,FT[],9),Teachers[],MOD(COLUMN(V44),6)+1)))),1,0)</f>
        <v>0</v>
      </c>
      <c r="Z44" s="6">
        <f>IF(AND(frame($C44,$D44,X$8),NOT(frame($C44,$D44,VLOOKUP(VLOOKUP(Z$26,FT[],9),Teachers[],MOD(COLUMN(W44),6)+1)))),1,0)</f>
        <v>0</v>
      </c>
      <c r="AA44" s="6">
        <f>IF(AND(frame($C44,$D44,Y$8),NOT(frame($C44,$D44,VLOOKUP(VLOOKUP(AA$26,FT[],9),Teachers[],MOD(COLUMN(X44),6)+1)))),1,0)</f>
        <v>0</v>
      </c>
      <c r="AB44" s="6">
        <f>IF(AND(frame($C44,$D44,Z$8),NOT(frame($C44,$D44,VLOOKUP(VLOOKUP(AB$26,FT[],9),Teachers[],MOD(COLUMN(Y44),6)+1)))),1,0)</f>
        <v>0</v>
      </c>
      <c r="AC44" s="6">
        <f>IF(AND(frame($C44,$D44,AA$8),NOT(frame($C44,$D44,VLOOKUP(VLOOKUP(AC$26,FT[],9),Teachers[],MOD(COLUMN(Z44),6)+1)))),1,0)</f>
        <v>0</v>
      </c>
      <c r="AD44" s="6">
        <f>IF(AND(frame($C44,$D44,AB$8),NOT(frame($C44,$D44,VLOOKUP(VLOOKUP(AD$26,FT[],9),Teachers[],MOD(COLUMN(AA44),6)+1)))),1,0)</f>
        <v>0</v>
      </c>
      <c r="AE44" s="6">
        <f>IF(AND(frame($C44,$D44,AC$8),NOT(frame($C44,$D44,VLOOKUP(VLOOKUP(AE$26,FT[],9),Teachers[],MOD(COLUMN(AB44),6)+1)))),1,0)</f>
        <v>0</v>
      </c>
      <c r="AF44" s="6">
        <f>IF(AND(frame($C44,$D44,AD$8),NOT(frame($C44,$D44,VLOOKUP(VLOOKUP(AF$26,FT[],9),Teachers[],MOD(COLUMN(AC44),6)+1)))),1,0)</f>
        <v>0</v>
      </c>
      <c r="AG44" s="6">
        <f>IF(AND(frame($C44,$D44,AE$8),NOT(frame($C44,$D44,VLOOKUP(VLOOKUP(AG$26,FT[],9),Teachers[],MOD(COLUMN(AD44),6)+1)))),1,0)</f>
        <v>0</v>
      </c>
      <c r="AH44" s="6">
        <f>IF(AND(frame($C44,$D44,AF$8),NOT(frame($C44,$D44,VLOOKUP(VLOOKUP(AH$26,FT[],9),Teachers[],MOD(COLUMN(AE44),6)+1)))),1,0)</f>
        <v>0</v>
      </c>
      <c r="AI44" s="6">
        <f>IF(AND(frame($C44,$D44,AG$8),NOT(frame($C44,$D44,VLOOKUP(VLOOKUP(AI$26,FT[],9),Teachers[],MOD(COLUMN(AF44),6)+1)))),1,0)</f>
        <v>0</v>
      </c>
      <c r="AJ44" s="6">
        <f>IF(AND(frame($C44,$D44,AH$8),NOT(frame($C44,$D44,VLOOKUP(VLOOKUP(AJ$26,FT[],9),Teachers[],MOD(COLUMN(AG44),6)+1)))),1,0)</f>
        <v>0</v>
      </c>
      <c r="AK44" s="6">
        <f>IF(AND(frame($C44,$D44,AI$8),NOT(frame($C44,$D44,VLOOKUP(VLOOKUP(AK$26,FT[],9),Teachers[],MOD(COLUMN(AH44),6)+1)))),1,0)</f>
        <v>0</v>
      </c>
      <c r="AL44" s="6">
        <f>IF(AND(frame($C44,$D44,AJ$8),NOT(frame($C44,$D44,VLOOKUP(VLOOKUP(AL$26,FT[],9),Teachers[],MOD(COLUMN(AI44),6)+1)))),1,0)</f>
        <v>0</v>
      </c>
      <c r="AM44" s="6">
        <f>IF(AND(frame($C44,$D44,AK$8),NOT(frame($C44,$D44,VLOOKUP(VLOOKUP(AM$26,FT[],9),Teachers[],MOD(COLUMN(AJ44),6)+1)))),1,0)</f>
        <v>0</v>
      </c>
      <c r="AN44" s="6">
        <f>IF(AND(frame($C44,$D44,AL$8),NOT(frame($C44,$D44,VLOOKUP(VLOOKUP(AN$26,FT[],9),Teachers[],MOD(COLUMN(AK44),6)+1)))),1,0)</f>
        <v>0</v>
      </c>
      <c r="AO44" s="6">
        <f>IF(AND(frame($C44,$D44,AM$8),NOT(frame($C44,$D44,VLOOKUP(VLOOKUP(AO$26,FT[],9),Teachers[],MOD(COLUMN(AL44),6)+1)))),1,0)</f>
        <v>0</v>
      </c>
      <c r="AP44" s="66">
        <f t="shared" si="11"/>
        <v>0</v>
      </c>
      <c r="AQ44" s="6">
        <f>IF(AND(frame($C44,$D44,AO$8),NOT(frame($C44,$D44,VLOOKUP(VLOOKUP(AQ$26,FT[],9),Teachers[],MOD(COLUMN(AN44),6)+1)))),1,0)</f>
        <v>0</v>
      </c>
      <c r="AR44" s="6">
        <f>IF(AND(frame($C44,$D44,AP$8),NOT(frame($C44,$D44,VLOOKUP(VLOOKUP(AR$26,FT[],9),Teachers[],MOD(COLUMN(AO44),6)+1)))),1,0)</f>
        <v>0</v>
      </c>
      <c r="AS44" s="6">
        <f>IF(AND(frame($C44,$D44,AQ$8),NOT(frame($C44,$D44,VLOOKUP(VLOOKUP(AS$26,FT[],9),Teachers[],MOD(COLUMN(AP44),6)+1)))),1,0)</f>
        <v>0</v>
      </c>
      <c r="AT44" s="6">
        <f>IF(AND(frame($C44,$D44,AR$8),NOT(frame($C44,$D44,VLOOKUP(VLOOKUP(AT$26,FT[],9),Teachers[],MOD(COLUMN(AQ44),6)+1)))),1,0)</f>
        <v>0</v>
      </c>
      <c r="AU44" s="6">
        <f>IF(AND(frame($C44,$D44,AS$8),NOT(frame($C44,$D44,VLOOKUP(VLOOKUP(AU$26,FT[],9),Teachers[],MOD(COLUMN(AR44),6)+1)))),1,0)</f>
        <v>0</v>
      </c>
      <c r="AV44" s="6">
        <f>IF(AND(frame($C44,$D44,AT$8),NOT(frame($C44,$D44,VLOOKUP(VLOOKUP(AV$26,FT[],9),Teachers[],MOD(COLUMN(AS44),6)+1)))),1,0)</f>
        <v>0</v>
      </c>
      <c r="AW44" s="6">
        <f>IF(AND(frame($C44,$D44,AU$8),NOT(frame($C44,$D44,VLOOKUP(VLOOKUP(AW$26,FT[],9),Teachers[],MOD(COLUMN(AT44),6)+1)))),1,0)</f>
        <v>0</v>
      </c>
      <c r="AX44" s="6">
        <f>IF(AND(frame($C44,$D44,AV$8),NOT(frame($C44,$D44,VLOOKUP(VLOOKUP(AX$26,FT[],9),Teachers[],MOD(COLUMN(AU44),6)+1)))),1,0)</f>
        <v>0</v>
      </c>
      <c r="AY44" s="6">
        <f>IF(AND(frame($C44,$D44,AW$8),NOT(frame($C44,$D44,VLOOKUP(VLOOKUP(AY$26,FT[],9),Teachers[],MOD(COLUMN(AV44),6)+1)))),1,0)</f>
        <v>0</v>
      </c>
      <c r="AZ44" s="6">
        <f>IF(AND(frame($C44,$D44,AX$8),NOT(frame($C44,$D44,VLOOKUP(VLOOKUP(AZ$26,FT[],9),Teachers[],MOD(COLUMN(AW44),6)+1)))),1,0)</f>
        <v>0</v>
      </c>
      <c r="BA44" s="6">
        <f>IF(AND(frame($C44,$D44,AY$8),NOT(frame($C44,$D44,VLOOKUP(VLOOKUP(BA$26,FT[],9),Teachers[],MOD(COLUMN(AX44),6)+1)))),1,0)</f>
        <v>0</v>
      </c>
      <c r="BB44" s="6">
        <f>IF(AND(frame($C44,$D44,AZ$8),NOT(frame($C44,$D44,VLOOKUP(VLOOKUP(BB$26,FT[],9),Teachers[],MOD(COLUMN(AY44),6)+1)))),1,0)</f>
        <v>0</v>
      </c>
      <c r="BC44" s="6">
        <f>IF(AND(frame($C44,$D44,BA$8),NOT(frame($C44,$D44,VLOOKUP(VLOOKUP(BC$26,FT[],9),Teachers[],MOD(COLUMN(AZ44),6)+1)))),1,0)</f>
        <v>0</v>
      </c>
      <c r="BD44" s="6">
        <f>IF(AND(frame($C44,$D44,BB$8),NOT(frame($C44,$D44,VLOOKUP(VLOOKUP(BD$26,FT[],9),Teachers[],MOD(COLUMN(BA44),6)+1)))),1,0)</f>
        <v>0</v>
      </c>
      <c r="BE44" s="6">
        <f>IF(AND(frame($C44,$D44,BC$8),NOT(frame($C44,$D44,VLOOKUP(VLOOKUP(BE$26,FT[],9),Teachers[],MOD(COLUMN(BB44),6)+1)))),1,0)</f>
        <v>0</v>
      </c>
      <c r="BF44" s="6">
        <f>IF(AND(frame($C44,$D44,BD$8),NOT(frame($C44,$D44,VLOOKUP(VLOOKUP(BF$26,FT[],9),Teachers[],MOD(COLUMN(BC44),6)+1)))),1,0)</f>
        <v>0</v>
      </c>
      <c r="BG44" s="6">
        <f>IF(AND(frame($C44,$D44,BE$8),NOT(frame($C44,$D44,VLOOKUP(VLOOKUP(BG$26,FT[],9),Teachers[],MOD(COLUMN(BD44),6)+1)))),1,0)</f>
        <v>0</v>
      </c>
      <c r="BH44" s="6">
        <f>IF(AND(frame($C44,$D44,BF$8),NOT(frame($C44,$D44,VLOOKUP(VLOOKUP(BH$26,FT[],9),Teachers[],MOD(COLUMN(BE44),6)+1)))),1,0)</f>
        <v>0</v>
      </c>
      <c r="BI44" s="6">
        <f>IF(AND(frame($C44,$D44,BG$8),NOT(frame($C44,$D44,VLOOKUP(VLOOKUP(BI$26,FT[],9),Teachers[],MOD(COLUMN(BF44),6)+1)))),1,0)</f>
        <v>0</v>
      </c>
      <c r="BJ44" s="6">
        <f>IF(AND(frame($C44,$D44,BH$8),NOT(frame($C44,$D44,VLOOKUP(VLOOKUP(BJ$26,FT[],9),Teachers[],MOD(COLUMN(BG44),6)+1)))),1,0)</f>
        <v>0</v>
      </c>
      <c r="BK44" s="6">
        <f>IF(AND(frame($C44,$D44,BI$8),NOT(frame($C44,$D44,VLOOKUP(VLOOKUP(BK$26,FT[],9),Teachers[],MOD(COLUMN(BH44),6)+1)))),1,0)</f>
        <v>0</v>
      </c>
      <c r="BL44" s="6">
        <f>IF(AND(frame($C44,$D44,BJ$8),NOT(frame($C44,$D44,VLOOKUP(VLOOKUP(BL$26,FT[],9),Teachers[],MOD(COLUMN(BI44),6)+1)))),1,0)</f>
        <v>0</v>
      </c>
    </row>
    <row r="45" spans="2:64" ht="15.75" thickBot="1">
      <c r="B45" s="1">
        <v>18</v>
      </c>
      <c r="C45" s="9">
        <v>0.5</v>
      </c>
      <c r="D45" s="9">
        <v>0.54166666666666663</v>
      </c>
      <c r="E45" s="6" t="e">
        <f ca="1">frame(СВ[[#This Row],[49]],СВ[[#This Row],[Столбец1]],C24,C38)</f>
        <v>#NAME?</v>
      </c>
      <c r="F45" s="6">
        <f>IF(AND(frame($C45,$D45,D$7),NOT(frame($C45,$D45,VLOOKUP(VLOOKUP(F$26,FT[],9),Teachers[],MOD(COLUMN(B45),6)+1)))),1,0)</f>
        <v>0</v>
      </c>
      <c r="G45" s="6">
        <f>IF(AND(frame($C45,$D45,E$7),NOT(frame($C45,$D45,VLOOKUP(VLOOKUP(G$26,FT[],9),Teachers[],MOD(COLUMN(C45),6)+1)))),1,0)</f>
        <v>0</v>
      </c>
      <c r="H45" s="6">
        <f>IF(AND(frame($C45,$D45,F$7),NOT(frame($C45,$D45,VLOOKUP(VLOOKUP(H$26,FT[],9),Teachers[],MOD(COLUMN(D45),6)+1)))),1,0)</f>
        <v>0</v>
      </c>
      <c r="I45" s="6" t="e">
        <f ca="1">IF(AND(frame($C45,$D45,G$7),NOT(frame($C45,$D45,VLOOKUP(VLOOKUP(I$26,FT[],9),Teachers[],MOD(COLUMN(E45),6)+1)))),1,0)</f>
        <v>#NAME?</v>
      </c>
      <c r="J45" s="6">
        <f>IF(AND(frame($C45,$D45,H$7),NOT(frame($C45,$D45,VLOOKUP(VLOOKUP(J$26,FT[],9),Teachers[],MOD(COLUMN(F45),6)+1)))),1,0)</f>
        <v>1</v>
      </c>
      <c r="K45" s="6">
        <f>IF(AND(frame($C45,$D45,I$8),NOT(frame($C45,$D45,VLOOKUP(VLOOKUP(K$26,FT[],9),Teachers[],MOD(COLUMN(H45),6)+1)))),1,0)</f>
        <v>0</v>
      </c>
      <c r="L45" s="1">
        <f t="shared" si="9"/>
        <v>0</v>
      </c>
      <c r="M45" s="6">
        <f>IF(AND(frame($C45,$D45,K$8),NOT(frame($C45,$D45,VLOOKUP(VLOOKUP(M$26,FT[],9),Teachers[],MOD(COLUMN(J45),6)+1)))),1,0)</f>
        <v>0</v>
      </c>
      <c r="N45" s="6">
        <f>IF(AND(frame($C45,$D45,L$8),NOT(frame($C45,$D45,VLOOKUP(VLOOKUP(N$26,FT[],9),Teachers[],MOD(COLUMN(K45),6)+1)))),1,0)</f>
        <v>0</v>
      </c>
      <c r="O45" s="6">
        <f>IF(AND(frame($C45,$D45,M$8),NOT(frame($C45,$D45,VLOOKUP(VLOOKUP(O$26,FT[],9),Teachers[],MOD(COLUMN(L45),6)+1)))),1,0)</f>
        <v>0</v>
      </c>
      <c r="P45" s="6">
        <f>IF(AND(frame($C45,$D45,N$8),NOT(frame($C45,$D45,VLOOKUP(VLOOKUP(P$26,FT[],9),Teachers[],MOD(COLUMN(M45),6)+1)))),1,0)</f>
        <v>0</v>
      </c>
      <c r="Q45" s="6">
        <f>IF(AND(frame($C45,$D45,O$8),NOT(frame($C45,$D45,VLOOKUP(VLOOKUP(Q$26,FT[],9),Teachers[],MOD(COLUMN(N45),6)+1)))),1,0)</f>
        <v>0</v>
      </c>
      <c r="R45" s="65">
        <f t="shared" si="10"/>
        <v>0</v>
      </c>
      <c r="S45" s="6">
        <f>IF(AND(frame($C45,$D45,Q$8),NOT(frame($C45,$D45,VLOOKUP(VLOOKUP(S$26,FT[],9),Teachers[],MOD(COLUMN(P45),6)+1)))),1,0)</f>
        <v>0</v>
      </c>
      <c r="T45" s="6">
        <f>IF(AND(frame($C45,$D45,R$8),NOT(frame($C45,$D45,VLOOKUP(VLOOKUP(T$26,FT[],9),Teachers[],MOD(COLUMN(Q45),6)+1)))),1,0)</f>
        <v>0</v>
      </c>
      <c r="U45" s="6">
        <f>IF(AND(frame($C45,$D45,S$8),NOT(frame($C45,$D45,VLOOKUP(VLOOKUP(U$26,FT[],9),Teachers[],MOD(COLUMN(R45),6)+1)))),1,0)</f>
        <v>0</v>
      </c>
      <c r="V45" s="6">
        <f>IF(AND(frame($C45,$D45,T$8),NOT(frame($C45,$D45,VLOOKUP(VLOOKUP(V$26,FT[],9),Teachers[],MOD(COLUMN(S45),6)+1)))),1,0)</f>
        <v>0</v>
      </c>
      <c r="W45" s="6">
        <f>IF(AND(frame($C45,$D45,U$8),NOT(frame($C45,$D45,VLOOKUP(VLOOKUP(W$26,FT[],9),Teachers[],MOD(COLUMN(T45),6)+1)))),1,0)</f>
        <v>0</v>
      </c>
      <c r="X45" s="6">
        <f>IF(AND(frame($C45,$D45,V$8),NOT(frame($C45,$D45,VLOOKUP(VLOOKUP(X$26,FT[],9),Teachers[],MOD(COLUMN(U45),6)+1)))),1,0)</f>
        <v>0</v>
      </c>
      <c r="Y45" s="6">
        <f>IF(AND(frame($C45,$D45,W$8),NOT(frame($C45,$D45,VLOOKUP(VLOOKUP(Y$26,FT[],9),Teachers[],MOD(COLUMN(V45),6)+1)))),1,0)</f>
        <v>0</v>
      </c>
      <c r="Z45" s="6">
        <f>IF(AND(frame($C45,$D45,X$8),NOT(frame($C45,$D45,VLOOKUP(VLOOKUP(Z$26,FT[],9),Teachers[],MOD(COLUMN(W45),6)+1)))),1,0)</f>
        <v>0</v>
      </c>
      <c r="AA45" s="6">
        <f>IF(AND(frame($C45,$D45,Y$8),NOT(frame($C45,$D45,VLOOKUP(VLOOKUP(AA$26,FT[],9),Teachers[],MOD(COLUMN(X45),6)+1)))),1,0)</f>
        <v>0</v>
      </c>
      <c r="AB45" s="6">
        <f>IF(AND(frame($C45,$D45,Z$8),NOT(frame($C45,$D45,VLOOKUP(VLOOKUP(AB$26,FT[],9),Teachers[],MOD(COLUMN(Y45),6)+1)))),1,0)</f>
        <v>0</v>
      </c>
      <c r="AC45" s="6">
        <f>IF(AND(frame($C45,$D45,AA$8),NOT(frame($C45,$D45,VLOOKUP(VLOOKUP(AC$26,FT[],9),Teachers[],MOD(COLUMN(Z45),6)+1)))),1,0)</f>
        <v>0</v>
      </c>
      <c r="AD45" s="6">
        <f>IF(AND(frame($C45,$D45,AB$8),NOT(frame($C45,$D45,VLOOKUP(VLOOKUP(AD$26,FT[],9),Teachers[],MOD(COLUMN(AA45),6)+1)))),1,0)</f>
        <v>0</v>
      </c>
      <c r="AE45" s="6">
        <f>IF(AND(frame($C45,$D45,AC$8),NOT(frame($C45,$D45,VLOOKUP(VLOOKUP(AE$26,FT[],9),Teachers[],MOD(COLUMN(AB45),6)+1)))),1,0)</f>
        <v>0</v>
      </c>
      <c r="AF45" s="6">
        <f>IF(AND(frame($C45,$D45,AD$8),NOT(frame($C45,$D45,VLOOKUP(VLOOKUP(AF$26,FT[],9),Teachers[],MOD(COLUMN(AC45),6)+1)))),1,0)</f>
        <v>0</v>
      </c>
      <c r="AG45" s="6">
        <f>IF(AND(frame($C45,$D45,AE$8),NOT(frame($C45,$D45,VLOOKUP(VLOOKUP(AG$26,FT[],9),Teachers[],MOD(COLUMN(AD45),6)+1)))),1,0)</f>
        <v>0</v>
      </c>
      <c r="AH45" s="6">
        <f>IF(AND(frame($C45,$D45,AF$8),NOT(frame($C45,$D45,VLOOKUP(VLOOKUP(AH$26,FT[],9),Teachers[],MOD(COLUMN(AE45),6)+1)))),1,0)</f>
        <v>0</v>
      </c>
      <c r="AI45" s="6">
        <f>IF(AND(frame($C45,$D45,AG$8),NOT(frame($C45,$D45,VLOOKUP(VLOOKUP(AI$26,FT[],9),Teachers[],MOD(COLUMN(AF45),6)+1)))),1,0)</f>
        <v>0</v>
      </c>
      <c r="AJ45" s="6">
        <f>IF(AND(frame($C45,$D45,AH$8),NOT(frame($C45,$D45,VLOOKUP(VLOOKUP(AJ$26,FT[],9),Teachers[],MOD(COLUMN(AG45),6)+1)))),1,0)</f>
        <v>0</v>
      </c>
      <c r="AK45" s="6">
        <f>IF(AND(frame($C45,$D45,AI$8),NOT(frame($C45,$D45,VLOOKUP(VLOOKUP(AK$26,FT[],9),Teachers[],MOD(COLUMN(AH45),6)+1)))),1,0)</f>
        <v>0</v>
      </c>
      <c r="AL45" s="6">
        <f>IF(AND(frame($C45,$D45,AJ$8),NOT(frame($C45,$D45,VLOOKUP(VLOOKUP(AL$26,FT[],9),Teachers[],MOD(COLUMN(AI45),6)+1)))),1,0)</f>
        <v>0</v>
      </c>
      <c r="AM45" s="6">
        <f>IF(AND(frame($C45,$D45,AK$8),NOT(frame($C45,$D45,VLOOKUP(VLOOKUP(AM$26,FT[],9),Teachers[],MOD(COLUMN(AJ45),6)+1)))),1,0)</f>
        <v>0</v>
      </c>
      <c r="AN45" s="6">
        <f>IF(AND(frame($C45,$D45,AL$8),NOT(frame($C45,$D45,VLOOKUP(VLOOKUP(AN$26,FT[],9),Teachers[],MOD(COLUMN(AK45),6)+1)))),1,0)</f>
        <v>0</v>
      </c>
      <c r="AO45" s="6">
        <f>IF(AND(frame($C45,$D45,AM$8),NOT(frame($C45,$D45,VLOOKUP(VLOOKUP(AO$26,FT[],9),Teachers[],MOD(COLUMN(AL45),6)+1)))),1,0)</f>
        <v>0</v>
      </c>
      <c r="AP45" s="66">
        <f t="shared" si="11"/>
        <v>0</v>
      </c>
      <c r="AQ45" s="6">
        <f>IF(AND(frame($C45,$D45,AO$8),NOT(frame($C45,$D45,VLOOKUP(VLOOKUP(AQ$26,FT[],9),Teachers[],MOD(COLUMN(AN45),6)+1)))),1,0)</f>
        <v>0</v>
      </c>
      <c r="AR45" s="6">
        <f>IF(AND(frame($C45,$D45,AP$8),NOT(frame($C45,$D45,VLOOKUP(VLOOKUP(AR$26,FT[],9),Teachers[],MOD(COLUMN(AO45),6)+1)))),1,0)</f>
        <v>0</v>
      </c>
      <c r="AS45" s="6">
        <f>IF(AND(frame($C45,$D45,AQ$8),NOT(frame($C45,$D45,VLOOKUP(VLOOKUP(AS$26,FT[],9),Teachers[],MOD(COLUMN(AP45),6)+1)))),1,0)</f>
        <v>0</v>
      </c>
      <c r="AT45" s="6">
        <f>IF(AND(frame($C45,$D45,AR$8),NOT(frame($C45,$D45,VLOOKUP(VLOOKUP(AT$26,FT[],9),Teachers[],MOD(COLUMN(AQ45),6)+1)))),1,0)</f>
        <v>0</v>
      </c>
      <c r="AU45" s="6">
        <f>IF(AND(frame($C45,$D45,AS$8),NOT(frame($C45,$D45,VLOOKUP(VLOOKUP(AU$26,FT[],9),Teachers[],MOD(COLUMN(AR45),6)+1)))),1,0)</f>
        <v>0</v>
      </c>
      <c r="AV45" s="6">
        <f>IF(AND(frame($C45,$D45,AT$8),NOT(frame($C45,$D45,VLOOKUP(VLOOKUP(AV$26,FT[],9),Teachers[],MOD(COLUMN(AS45),6)+1)))),1,0)</f>
        <v>0</v>
      </c>
      <c r="AW45" s="6">
        <f>IF(AND(frame($C45,$D45,AU$8),NOT(frame($C45,$D45,VLOOKUP(VLOOKUP(AW$26,FT[],9),Teachers[],MOD(COLUMN(AT45),6)+1)))),1,0)</f>
        <v>0</v>
      </c>
      <c r="AX45" s="6">
        <f>IF(AND(frame($C45,$D45,AV$8),NOT(frame($C45,$D45,VLOOKUP(VLOOKUP(AX$26,FT[],9),Teachers[],MOD(COLUMN(AU45),6)+1)))),1,0)</f>
        <v>0</v>
      </c>
      <c r="AY45" s="6">
        <f>IF(AND(frame($C45,$D45,AW$8),NOT(frame($C45,$D45,VLOOKUP(VLOOKUP(AY$26,FT[],9),Teachers[],MOD(COLUMN(AV45),6)+1)))),1,0)</f>
        <v>0</v>
      </c>
      <c r="AZ45" s="6">
        <f>IF(AND(frame($C45,$D45,AX$8),NOT(frame($C45,$D45,VLOOKUP(VLOOKUP(AZ$26,FT[],9),Teachers[],MOD(COLUMN(AW45),6)+1)))),1,0)</f>
        <v>0</v>
      </c>
      <c r="BA45" s="6">
        <f>IF(AND(frame($C45,$D45,AY$8),NOT(frame($C45,$D45,VLOOKUP(VLOOKUP(BA$26,FT[],9),Teachers[],MOD(COLUMN(AX45),6)+1)))),1,0)</f>
        <v>0</v>
      </c>
      <c r="BB45" s="6">
        <f>IF(AND(frame($C45,$D45,AZ$8),NOT(frame($C45,$D45,VLOOKUP(VLOOKUP(BB$26,FT[],9),Teachers[],MOD(COLUMN(AY45),6)+1)))),1,0)</f>
        <v>0</v>
      </c>
      <c r="BC45" s="6">
        <f>IF(AND(frame($C45,$D45,BA$8),NOT(frame($C45,$D45,VLOOKUP(VLOOKUP(BC$26,FT[],9),Teachers[],MOD(COLUMN(AZ45),6)+1)))),1,0)</f>
        <v>0</v>
      </c>
      <c r="BD45" s="6">
        <f>IF(AND(frame($C45,$D45,BB$8),NOT(frame($C45,$D45,VLOOKUP(VLOOKUP(BD$26,FT[],9),Teachers[],MOD(COLUMN(BA45),6)+1)))),1,0)</f>
        <v>0</v>
      </c>
      <c r="BE45" s="6">
        <f>IF(AND(frame($C45,$D45,BC$8),NOT(frame($C45,$D45,VLOOKUP(VLOOKUP(BE$26,FT[],9),Teachers[],MOD(COLUMN(BB45),6)+1)))),1,0)</f>
        <v>0</v>
      </c>
      <c r="BF45" s="6">
        <f>IF(AND(frame($C45,$D45,BD$8),NOT(frame($C45,$D45,VLOOKUP(VLOOKUP(BF$26,FT[],9),Teachers[],MOD(COLUMN(BC45),6)+1)))),1,0)</f>
        <v>0</v>
      </c>
      <c r="BG45" s="6">
        <f>IF(AND(frame($C45,$D45,BE$8),NOT(frame($C45,$D45,VLOOKUP(VLOOKUP(BG$26,FT[],9),Teachers[],MOD(COLUMN(BD45),6)+1)))),1,0)</f>
        <v>0</v>
      </c>
      <c r="BH45" s="6">
        <f>IF(AND(frame($C45,$D45,BF$8),NOT(frame($C45,$D45,VLOOKUP(VLOOKUP(BH$26,FT[],9),Teachers[],MOD(COLUMN(BE45),6)+1)))),1,0)</f>
        <v>0</v>
      </c>
      <c r="BI45" s="6">
        <f>IF(AND(frame($C45,$D45,BG$8),NOT(frame($C45,$D45,VLOOKUP(VLOOKUP(BI$26,FT[],9),Teachers[],MOD(COLUMN(BF45),6)+1)))),1,0)</f>
        <v>0</v>
      </c>
      <c r="BJ45" s="6">
        <f>IF(AND(frame($C45,$D45,BH$8),NOT(frame($C45,$D45,VLOOKUP(VLOOKUP(BJ$26,FT[],9),Teachers[],MOD(COLUMN(BG45),6)+1)))),1,0)</f>
        <v>0</v>
      </c>
      <c r="BK45" s="6">
        <f>IF(AND(frame($C45,$D45,BI$8),NOT(frame($C45,$D45,VLOOKUP(VLOOKUP(BK$26,FT[],9),Teachers[],MOD(COLUMN(BH45),6)+1)))),1,0)</f>
        <v>0</v>
      </c>
      <c r="BL45" s="6">
        <f>IF(AND(frame($C45,$D45,BJ$8),NOT(frame($C45,$D45,VLOOKUP(VLOOKUP(BL$26,FT[],9),Teachers[],MOD(COLUMN(BI45),6)+1)))),1,0)</f>
        <v>0</v>
      </c>
    </row>
    <row r="46" spans="2:64" ht="15.75" thickBot="1">
      <c r="B46" s="1">
        <v>19</v>
      </c>
      <c r="C46" s="9">
        <v>0.51041666666666663</v>
      </c>
      <c r="D46" s="9">
        <v>0.54166666666666663</v>
      </c>
      <c r="E46" s="6" t="e">
        <f ca="1">frame(СВ[[#This Row],[49]],СВ[[#This Row],[Столбец1]],C25,C39)</f>
        <v>#NAME?</v>
      </c>
      <c r="F46" s="6">
        <f>IF(AND(frame($C46,$D46,D$7),NOT(frame($C46,$D46,VLOOKUP(VLOOKUP(F$26,FT[],9),Teachers[],MOD(COLUMN(B46),6)+1)))),1,0)</f>
        <v>0</v>
      </c>
      <c r="G46" s="6">
        <f>IF(AND(frame($C46,$D46,E$7),NOT(frame($C46,$D46,VLOOKUP(VLOOKUP(G$26,FT[],9),Teachers[],MOD(COLUMN(C46),6)+1)))),1,0)</f>
        <v>0</v>
      </c>
      <c r="H46" s="6">
        <f>IF(AND(frame($C46,$D46,F$7),NOT(frame($C46,$D46,VLOOKUP(VLOOKUP(H$26,FT[],9),Teachers[],MOD(COLUMN(D46),6)+1)))),1,0)</f>
        <v>0</v>
      </c>
      <c r="I46" s="6" t="e">
        <f ca="1">IF(AND(frame($C46,$D46,G$7),NOT(frame($C46,$D46,VLOOKUP(VLOOKUP(I$26,FT[],9),Teachers[],MOD(COLUMN(E46),6)+1)))),1,0)</f>
        <v>#NAME?</v>
      </c>
      <c r="J46" s="6">
        <f>IF(AND(frame($C46,$D46,H$7),NOT(frame($C46,$D46,VLOOKUP(VLOOKUP(J$26,FT[],9),Teachers[],MOD(COLUMN(F46),6)+1)))),1,0)</f>
        <v>1</v>
      </c>
      <c r="K46" s="6">
        <f>IF(AND(frame($C46,$D46,I$8),NOT(frame($C46,$D46,VLOOKUP(VLOOKUP(K$26,FT[],9),Teachers[],MOD(COLUMN(H46),6)+1)))),1,0)</f>
        <v>0</v>
      </c>
      <c r="L46" s="1">
        <f t="shared" si="9"/>
        <v>0</v>
      </c>
      <c r="M46" s="6">
        <f>IF(AND(frame($C46,$D46,K$8),NOT(frame($C46,$D46,VLOOKUP(VLOOKUP(M$26,FT[],9),Teachers[],MOD(COLUMN(J46),6)+1)))),1,0)</f>
        <v>0</v>
      </c>
      <c r="N46" s="6">
        <f>IF(AND(frame($C46,$D46,L$8),NOT(frame($C46,$D46,VLOOKUP(VLOOKUP(N$26,FT[],9),Teachers[],MOD(COLUMN(K46),6)+1)))),1,0)</f>
        <v>0</v>
      </c>
      <c r="O46" s="6">
        <f>IF(AND(frame($C46,$D46,M$8),NOT(frame($C46,$D46,VLOOKUP(VLOOKUP(O$26,FT[],9),Teachers[],MOD(COLUMN(L46),6)+1)))),1,0)</f>
        <v>0</v>
      </c>
      <c r="P46" s="6">
        <f>IF(AND(frame($C46,$D46,N$8),NOT(frame($C46,$D46,VLOOKUP(VLOOKUP(P$26,FT[],9),Teachers[],MOD(COLUMN(M46),6)+1)))),1,0)</f>
        <v>0</v>
      </c>
      <c r="Q46" s="6">
        <f>IF(AND(frame($C46,$D46,O$8),NOT(frame($C46,$D46,VLOOKUP(VLOOKUP(Q$26,FT[],9),Teachers[],MOD(COLUMN(N46),6)+1)))),1,0)</f>
        <v>0</v>
      </c>
      <c r="R46" s="65">
        <f t="shared" si="10"/>
        <v>0</v>
      </c>
      <c r="S46" s="6">
        <f>IF(AND(frame($C46,$D46,Q$8),NOT(frame($C46,$D46,VLOOKUP(VLOOKUP(S$26,FT[],9),Teachers[],MOD(COLUMN(P46),6)+1)))),1,0)</f>
        <v>0</v>
      </c>
      <c r="T46" s="6">
        <f>IF(AND(frame($C46,$D46,R$8),NOT(frame($C46,$D46,VLOOKUP(VLOOKUP(T$26,FT[],9),Teachers[],MOD(COLUMN(Q46),6)+1)))),1,0)</f>
        <v>0</v>
      </c>
      <c r="U46" s="6">
        <f>IF(AND(frame($C46,$D46,S$8),NOT(frame($C46,$D46,VLOOKUP(VLOOKUP(U$26,FT[],9),Teachers[],MOD(COLUMN(R46),6)+1)))),1,0)</f>
        <v>0</v>
      </c>
      <c r="V46" s="6">
        <f>IF(AND(frame($C46,$D46,T$8),NOT(frame($C46,$D46,VLOOKUP(VLOOKUP(V$26,FT[],9),Teachers[],MOD(COLUMN(S46),6)+1)))),1,0)</f>
        <v>0</v>
      </c>
      <c r="W46" s="6">
        <f>IF(AND(frame($C46,$D46,U$8),NOT(frame($C46,$D46,VLOOKUP(VLOOKUP(W$26,FT[],9),Teachers[],MOD(COLUMN(T46),6)+1)))),1,0)</f>
        <v>0</v>
      </c>
      <c r="X46" s="6">
        <f>IF(AND(frame($C46,$D46,V$8),NOT(frame($C46,$D46,VLOOKUP(VLOOKUP(X$26,FT[],9),Teachers[],MOD(COLUMN(U46),6)+1)))),1,0)</f>
        <v>0</v>
      </c>
      <c r="Y46" s="6">
        <f>IF(AND(frame($C46,$D46,W$8),NOT(frame($C46,$D46,VLOOKUP(VLOOKUP(Y$26,FT[],9),Teachers[],MOD(COLUMN(V46),6)+1)))),1,0)</f>
        <v>0</v>
      </c>
      <c r="Z46" s="6">
        <f>IF(AND(frame($C46,$D46,X$8),NOT(frame($C46,$D46,VLOOKUP(VLOOKUP(Z$26,FT[],9),Teachers[],MOD(COLUMN(W46),6)+1)))),1,0)</f>
        <v>0</v>
      </c>
      <c r="AA46" s="6">
        <f>IF(AND(frame($C46,$D46,Y$8),NOT(frame($C46,$D46,VLOOKUP(VLOOKUP(AA$26,FT[],9),Teachers[],MOD(COLUMN(X46),6)+1)))),1,0)</f>
        <v>0</v>
      </c>
      <c r="AB46" s="6">
        <f>IF(AND(frame($C46,$D46,Z$8),NOT(frame($C46,$D46,VLOOKUP(VLOOKUP(AB$26,FT[],9),Teachers[],MOD(COLUMN(Y46),6)+1)))),1,0)</f>
        <v>0</v>
      </c>
      <c r="AC46" s="6">
        <f>IF(AND(frame($C46,$D46,AA$8),NOT(frame($C46,$D46,VLOOKUP(VLOOKUP(AC$26,FT[],9),Teachers[],MOD(COLUMN(Z46),6)+1)))),1,0)</f>
        <v>0</v>
      </c>
      <c r="AD46" s="6">
        <f>IF(AND(frame($C46,$D46,AB$8),NOT(frame($C46,$D46,VLOOKUP(VLOOKUP(AD$26,FT[],9),Teachers[],MOD(COLUMN(AA46),6)+1)))),1,0)</f>
        <v>0</v>
      </c>
      <c r="AE46" s="6">
        <f>IF(AND(frame($C46,$D46,AC$8),NOT(frame($C46,$D46,VLOOKUP(VLOOKUP(AE$26,FT[],9),Teachers[],MOD(COLUMN(AB46),6)+1)))),1,0)</f>
        <v>0</v>
      </c>
      <c r="AF46" s="6">
        <f>IF(AND(frame($C46,$D46,AD$8),NOT(frame($C46,$D46,VLOOKUP(VLOOKUP(AF$26,FT[],9),Teachers[],MOD(COLUMN(AC46),6)+1)))),1,0)</f>
        <v>0</v>
      </c>
      <c r="AG46" s="6">
        <f>IF(AND(frame($C46,$D46,AE$8),NOT(frame($C46,$D46,VLOOKUP(VLOOKUP(AG$26,FT[],9),Teachers[],MOD(COLUMN(AD46),6)+1)))),1,0)</f>
        <v>0</v>
      </c>
      <c r="AH46" s="6">
        <f>IF(AND(frame($C46,$D46,AF$8),NOT(frame($C46,$D46,VLOOKUP(VLOOKUP(AH$26,FT[],9),Teachers[],MOD(COLUMN(AE46),6)+1)))),1,0)</f>
        <v>0</v>
      </c>
      <c r="AI46" s="6">
        <f>IF(AND(frame($C46,$D46,AG$8),NOT(frame($C46,$D46,VLOOKUP(VLOOKUP(AI$26,FT[],9),Teachers[],MOD(COLUMN(AF46),6)+1)))),1,0)</f>
        <v>0</v>
      </c>
      <c r="AJ46" s="6">
        <f>IF(AND(frame($C46,$D46,AH$8),NOT(frame($C46,$D46,VLOOKUP(VLOOKUP(AJ$26,FT[],9),Teachers[],MOD(COLUMN(AG46),6)+1)))),1,0)</f>
        <v>0</v>
      </c>
      <c r="AK46" s="6">
        <f>IF(AND(frame($C46,$D46,AI$8),NOT(frame($C46,$D46,VLOOKUP(VLOOKUP(AK$26,FT[],9),Teachers[],MOD(COLUMN(AH46),6)+1)))),1,0)</f>
        <v>0</v>
      </c>
      <c r="AL46" s="6">
        <f>IF(AND(frame($C46,$D46,AJ$8),NOT(frame($C46,$D46,VLOOKUP(VLOOKUP(AL$26,FT[],9),Teachers[],MOD(COLUMN(AI46),6)+1)))),1,0)</f>
        <v>0</v>
      </c>
      <c r="AM46" s="6">
        <f>IF(AND(frame($C46,$D46,AK$8),NOT(frame($C46,$D46,VLOOKUP(VLOOKUP(AM$26,FT[],9),Teachers[],MOD(COLUMN(AJ46),6)+1)))),1,0)</f>
        <v>0</v>
      </c>
      <c r="AN46" s="6">
        <f>IF(AND(frame($C46,$D46,AL$8),NOT(frame($C46,$D46,VLOOKUP(VLOOKUP(AN$26,FT[],9),Teachers[],MOD(COLUMN(AK46),6)+1)))),1,0)</f>
        <v>0</v>
      </c>
      <c r="AO46" s="6">
        <f>IF(AND(frame($C46,$D46,AM$8),NOT(frame($C46,$D46,VLOOKUP(VLOOKUP(AO$26,FT[],9),Teachers[],MOD(COLUMN(AL46),6)+1)))),1,0)</f>
        <v>0</v>
      </c>
      <c r="AP46" s="66">
        <f t="shared" si="11"/>
        <v>0</v>
      </c>
      <c r="AQ46" s="6">
        <f>IF(AND(frame($C46,$D46,AO$8),NOT(frame($C46,$D46,VLOOKUP(VLOOKUP(AQ$26,FT[],9),Teachers[],MOD(COLUMN(AN46),6)+1)))),1,0)</f>
        <v>0</v>
      </c>
      <c r="AR46" s="6">
        <f>IF(AND(frame($C46,$D46,AP$8),NOT(frame($C46,$D46,VLOOKUP(VLOOKUP(AR$26,FT[],9),Teachers[],MOD(COLUMN(AO46),6)+1)))),1,0)</f>
        <v>0</v>
      </c>
      <c r="AS46" s="6">
        <f>IF(AND(frame($C46,$D46,AQ$8),NOT(frame($C46,$D46,VLOOKUP(VLOOKUP(AS$26,FT[],9),Teachers[],MOD(COLUMN(AP46),6)+1)))),1,0)</f>
        <v>0</v>
      </c>
      <c r="AT46" s="6">
        <f>IF(AND(frame($C46,$D46,AR$8),NOT(frame($C46,$D46,VLOOKUP(VLOOKUP(AT$26,FT[],9),Teachers[],MOD(COLUMN(AQ46),6)+1)))),1,0)</f>
        <v>0</v>
      </c>
      <c r="AU46" s="6">
        <f>IF(AND(frame($C46,$D46,AS$8),NOT(frame($C46,$D46,VLOOKUP(VLOOKUP(AU$26,FT[],9),Teachers[],MOD(COLUMN(AR46),6)+1)))),1,0)</f>
        <v>0</v>
      </c>
      <c r="AV46" s="6">
        <f>IF(AND(frame($C46,$D46,AT$8),NOT(frame($C46,$D46,VLOOKUP(VLOOKUP(AV$26,FT[],9),Teachers[],MOD(COLUMN(AS46),6)+1)))),1,0)</f>
        <v>0</v>
      </c>
      <c r="AW46" s="6">
        <f>IF(AND(frame($C46,$D46,AU$8),NOT(frame($C46,$D46,VLOOKUP(VLOOKUP(AW$26,FT[],9),Teachers[],MOD(COLUMN(AT46),6)+1)))),1,0)</f>
        <v>0</v>
      </c>
      <c r="AX46" s="6">
        <f>IF(AND(frame($C46,$D46,AV$8),NOT(frame($C46,$D46,VLOOKUP(VLOOKUP(AX$26,FT[],9),Teachers[],MOD(COLUMN(AU46),6)+1)))),1,0)</f>
        <v>0</v>
      </c>
      <c r="AY46" s="6">
        <f>IF(AND(frame($C46,$D46,AW$8),NOT(frame($C46,$D46,VLOOKUP(VLOOKUP(AY$26,FT[],9),Teachers[],MOD(COLUMN(AV46),6)+1)))),1,0)</f>
        <v>0</v>
      </c>
      <c r="AZ46" s="6">
        <f>IF(AND(frame($C46,$D46,AX$8),NOT(frame($C46,$D46,VLOOKUP(VLOOKUP(AZ$26,FT[],9),Teachers[],MOD(COLUMN(AW46),6)+1)))),1,0)</f>
        <v>0</v>
      </c>
      <c r="BA46" s="6">
        <f>IF(AND(frame($C46,$D46,AY$8),NOT(frame($C46,$D46,VLOOKUP(VLOOKUP(BA$26,FT[],9),Teachers[],MOD(COLUMN(AX46),6)+1)))),1,0)</f>
        <v>0</v>
      </c>
      <c r="BB46" s="6">
        <f>IF(AND(frame($C46,$D46,AZ$8),NOT(frame($C46,$D46,VLOOKUP(VLOOKUP(BB$26,FT[],9),Teachers[],MOD(COLUMN(AY46),6)+1)))),1,0)</f>
        <v>0</v>
      </c>
      <c r="BC46" s="6">
        <f>IF(AND(frame($C46,$D46,BA$8),NOT(frame($C46,$D46,VLOOKUP(VLOOKUP(BC$26,FT[],9),Teachers[],MOD(COLUMN(AZ46),6)+1)))),1,0)</f>
        <v>0</v>
      </c>
      <c r="BD46" s="6">
        <f>IF(AND(frame($C46,$D46,BB$8),NOT(frame($C46,$D46,VLOOKUP(VLOOKUP(BD$26,FT[],9),Teachers[],MOD(COLUMN(BA46),6)+1)))),1,0)</f>
        <v>0</v>
      </c>
      <c r="BE46" s="6">
        <f>IF(AND(frame($C46,$D46,BC$8),NOT(frame($C46,$D46,VLOOKUP(VLOOKUP(BE$26,FT[],9),Teachers[],MOD(COLUMN(BB46),6)+1)))),1,0)</f>
        <v>0</v>
      </c>
      <c r="BF46" s="6">
        <f>IF(AND(frame($C46,$D46,BD$8),NOT(frame($C46,$D46,VLOOKUP(VLOOKUP(BF$26,FT[],9),Teachers[],MOD(COLUMN(BC46),6)+1)))),1,0)</f>
        <v>0</v>
      </c>
      <c r="BG46" s="6">
        <f>IF(AND(frame($C46,$D46,BE$8),NOT(frame($C46,$D46,VLOOKUP(VLOOKUP(BG$26,FT[],9),Teachers[],MOD(COLUMN(BD46),6)+1)))),1,0)</f>
        <v>0</v>
      </c>
      <c r="BH46" s="6">
        <f>IF(AND(frame($C46,$D46,BF$8),NOT(frame($C46,$D46,VLOOKUP(VLOOKUP(BH$26,FT[],9),Teachers[],MOD(COLUMN(BE46),6)+1)))),1,0)</f>
        <v>0</v>
      </c>
      <c r="BI46" s="6">
        <f>IF(AND(frame($C46,$D46,BG$8),NOT(frame($C46,$D46,VLOOKUP(VLOOKUP(BI$26,FT[],9),Teachers[],MOD(COLUMN(BF46),6)+1)))),1,0)</f>
        <v>0</v>
      </c>
      <c r="BJ46" s="6">
        <f>IF(AND(frame($C46,$D46,BH$8),NOT(frame($C46,$D46,VLOOKUP(VLOOKUP(BJ$26,FT[],9),Teachers[],MOD(COLUMN(BG46),6)+1)))),1,0)</f>
        <v>0</v>
      </c>
      <c r="BK46" s="6">
        <f>IF(AND(frame($C46,$D46,BI$8),NOT(frame($C46,$D46,VLOOKUP(VLOOKUP(BK$26,FT[],9),Teachers[],MOD(COLUMN(BH46),6)+1)))),1,0)</f>
        <v>0</v>
      </c>
      <c r="BL46" s="6">
        <f>IF(AND(frame($C46,$D46,BJ$8),NOT(frame($C46,$D46,VLOOKUP(VLOOKUP(BL$26,FT[],9),Teachers[],MOD(COLUMN(BI46),6)+1)))),1,0)</f>
        <v>0</v>
      </c>
    </row>
    <row r="47" spans="2:64" ht="15.75" thickBot="1">
      <c r="B47" s="1">
        <v>20</v>
      </c>
      <c r="C47" s="9">
        <v>0.52083333333333337</v>
      </c>
      <c r="D47" s="9">
        <v>0.55208333333333326</v>
      </c>
      <c r="E47" s="6" t="e">
        <f ca="1">frame(СВ[[#This Row],[49]],СВ[[#This Row],[Столбец1]],C26,C40)</f>
        <v>#NAME?</v>
      </c>
      <c r="F47" s="6">
        <f>IF(AND(frame($C47,$D47,D$7),NOT(frame($C47,$D47,VLOOKUP(VLOOKUP(F$26,FT[],9),Teachers[],MOD(COLUMN(B47),6)+1)))),1,0)</f>
        <v>0</v>
      </c>
      <c r="G47" s="6">
        <f>IF(AND(frame($C47,$D47,E$7),NOT(frame($C47,$D47,VLOOKUP(VLOOKUP(G$26,FT[],9),Teachers[],MOD(COLUMN(C47),6)+1)))),1,0)</f>
        <v>0</v>
      </c>
      <c r="H47" s="6">
        <f>IF(AND(frame($C47,$D47,F$7),NOT(frame($C47,$D47,VLOOKUP(VLOOKUP(H$26,FT[],9),Teachers[],MOD(COLUMN(D47),6)+1)))),1,0)</f>
        <v>0</v>
      </c>
      <c r="I47" s="6" t="e">
        <f ca="1">IF(AND(frame($C47,$D47,G$7),NOT(frame($C47,$D47,VLOOKUP(VLOOKUP(I$26,FT[],9),Teachers[],MOD(COLUMN(E47),6)+1)))),1,0)</f>
        <v>#NAME?</v>
      </c>
      <c r="J47" s="6">
        <f>IF(AND(frame($C47,$D47,H$7),NOT(frame($C47,$D47,VLOOKUP(VLOOKUP(J$26,FT[],9),Teachers[],MOD(COLUMN(F47),6)+1)))),1,0)</f>
        <v>1</v>
      </c>
      <c r="K47" s="6">
        <f>IF(AND(frame($C47,$D47,I$8),NOT(frame($C47,$D47,VLOOKUP(VLOOKUP(K$26,FT[],9),Teachers[],MOD(COLUMN(H47),6)+1)))),1,0)</f>
        <v>0</v>
      </c>
      <c r="L47" s="1">
        <f t="shared" si="9"/>
        <v>0</v>
      </c>
      <c r="M47" s="6">
        <f>IF(AND(frame($C47,$D47,K$8),NOT(frame($C47,$D47,VLOOKUP(VLOOKUP(M$26,FT[],9),Teachers[],MOD(COLUMN(J47),6)+1)))),1,0)</f>
        <v>0</v>
      </c>
      <c r="N47" s="6">
        <f>IF(AND(frame($C47,$D47,L$8),NOT(frame($C47,$D47,VLOOKUP(VLOOKUP(N$26,FT[],9),Teachers[],MOD(COLUMN(K47),6)+1)))),1,0)</f>
        <v>0</v>
      </c>
      <c r="O47" s="6">
        <f>IF(AND(frame($C47,$D47,M$8),NOT(frame($C47,$D47,VLOOKUP(VLOOKUP(O$26,FT[],9),Teachers[],MOD(COLUMN(L47),6)+1)))),1,0)</f>
        <v>0</v>
      </c>
      <c r="P47" s="6">
        <f>IF(AND(frame($C47,$D47,N$8),NOT(frame($C47,$D47,VLOOKUP(VLOOKUP(P$26,FT[],9),Teachers[],MOD(COLUMN(M47),6)+1)))),1,0)</f>
        <v>0</v>
      </c>
      <c r="Q47" s="6">
        <f>IF(AND(frame($C47,$D47,O$8),NOT(frame($C47,$D47,VLOOKUP(VLOOKUP(Q$26,FT[],9),Teachers[],MOD(COLUMN(N47),6)+1)))),1,0)</f>
        <v>0</v>
      </c>
      <c r="R47" s="65">
        <f t="shared" si="10"/>
        <v>0</v>
      </c>
      <c r="S47" s="6">
        <f>IF(AND(frame($C47,$D47,Q$8),NOT(frame($C47,$D47,VLOOKUP(VLOOKUP(S$26,FT[],9),Teachers[],MOD(COLUMN(P47),6)+1)))),1,0)</f>
        <v>0</v>
      </c>
      <c r="T47" s="6">
        <f>IF(AND(frame($C47,$D47,R$8),NOT(frame($C47,$D47,VLOOKUP(VLOOKUP(T$26,FT[],9),Teachers[],MOD(COLUMN(Q47),6)+1)))),1,0)</f>
        <v>0</v>
      </c>
      <c r="U47" s="6">
        <f>IF(AND(frame($C47,$D47,S$8),NOT(frame($C47,$D47,VLOOKUP(VLOOKUP(U$26,FT[],9),Teachers[],MOD(COLUMN(R47),6)+1)))),1,0)</f>
        <v>0</v>
      </c>
      <c r="V47" s="6">
        <f>IF(AND(frame($C47,$D47,T$8),NOT(frame($C47,$D47,VLOOKUP(VLOOKUP(V$26,FT[],9),Teachers[],MOD(COLUMN(S47),6)+1)))),1,0)</f>
        <v>0</v>
      </c>
      <c r="W47" s="6">
        <f>IF(AND(frame($C47,$D47,U$8),NOT(frame($C47,$D47,VLOOKUP(VLOOKUP(W$26,FT[],9),Teachers[],MOD(COLUMN(T47),6)+1)))),1,0)</f>
        <v>0</v>
      </c>
      <c r="X47" s="6">
        <f>IF(AND(frame($C47,$D47,V$8),NOT(frame($C47,$D47,VLOOKUP(VLOOKUP(X$26,FT[],9),Teachers[],MOD(COLUMN(U47),6)+1)))),1,0)</f>
        <v>0</v>
      </c>
      <c r="Y47" s="6">
        <f>IF(AND(frame($C47,$D47,W$8),NOT(frame($C47,$D47,VLOOKUP(VLOOKUP(Y$26,FT[],9),Teachers[],MOD(COLUMN(V47),6)+1)))),1,0)</f>
        <v>0</v>
      </c>
      <c r="Z47" s="6">
        <f>IF(AND(frame($C47,$D47,X$8),NOT(frame($C47,$D47,VLOOKUP(VLOOKUP(Z$26,FT[],9),Teachers[],MOD(COLUMN(W47),6)+1)))),1,0)</f>
        <v>0</v>
      </c>
      <c r="AA47" s="6">
        <f>IF(AND(frame($C47,$D47,Y$8),NOT(frame($C47,$D47,VLOOKUP(VLOOKUP(AA$26,FT[],9),Teachers[],MOD(COLUMN(X47),6)+1)))),1,0)</f>
        <v>0</v>
      </c>
      <c r="AB47" s="6">
        <f>IF(AND(frame($C47,$D47,Z$8),NOT(frame($C47,$D47,VLOOKUP(VLOOKUP(AB$26,FT[],9),Teachers[],MOD(COLUMN(Y47),6)+1)))),1,0)</f>
        <v>0</v>
      </c>
      <c r="AC47" s="6">
        <f>IF(AND(frame($C47,$D47,AA$8),NOT(frame($C47,$D47,VLOOKUP(VLOOKUP(AC$26,FT[],9),Teachers[],MOD(COLUMN(Z47),6)+1)))),1,0)</f>
        <v>0</v>
      </c>
      <c r="AD47" s="6">
        <f>IF(AND(frame($C47,$D47,AB$8),NOT(frame($C47,$D47,VLOOKUP(VLOOKUP(AD$26,FT[],9),Teachers[],MOD(COLUMN(AA47),6)+1)))),1,0)</f>
        <v>0</v>
      </c>
      <c r="AE47" s="6">
        <f>IF(AND(frame($C47,$D47,AC$8),NOT(frame($C47,$D47,VLOOKUP(VLOOKUP(AE$26,FT[],9),Teachers[],MOD(COLUMN(AB47),6)+1)))),1,0)</f>
        <v>0</v>
      </c>
      <c r="AF47" s="6">
        <f>IF(AND(frame($C47,$D47,AD$8),NOT(frame($C47,$D47,VLOOKUP(VLOOKUP(AF$26,FT[],9),Teachers[],MOD(COLUMN(AC47),6)+1)))),1,0)</f>
        <v>0</v>
      </c>
      <c r="AG47" s="6">
        <f>IF(AND(frame($C47,$D47,AE$8),NOT(frame($C47,$D47,VLOOKUP(VLOOKUP(AG$26,FT[],9),Teachers[],MOD(COLUMN(AD47),6)+1)))),1,0)</f>
        <v>0</v>
      </c>
      <c r="AH47" s="6">
        <f>IF(AND(frame($C47,$D47,AF$8),NOT(frame($C47,$D47,VLOOKUP(VLOOKUP(AH$26,FT[],9),Teachers[],MOD(COLUMN(AE47),6)+1)))),1,0)</f>
        <v>0</v>
      </c>
      <c r="AI47" s="6">
        <f>IF(AND(frame($C47,$D47,AG$8),NOT(frame($C47,$D47,VLOOKUP(VLOOKUP(AI$26,FT[],9),Teachers[],MOD(COLUMN(AF47),6)+1)))),1,0)</f>
        <v>0</v>
      </c>
      <c r="AJ47" s="6">
        <f>IF(AND(frame($C47,$D47,AH$8),NOT(frame($C47,$D47,VLOOKUP(VLOOKUP(AJ$26,FT[],9),Teachers[],MOD(COLUMN(AG47),6)+1)))),1,0)</f>
        <v>0</v>
      </c>
      <c r="AK47" s="6">
        <f>IF(AND(frame($C47,$D47,AI$8),NOT(frame($C47,$D47,VLOOKUP(VLOOKUP(AK$26,FT[],9),Teachers[],MOD(COLUMN(AH47),6)+1)))),1,0)</f>
        <v>0</v>
      </c>
      <c r="AL47" s="6">
        <f>IF(AND(frame($C47,$D47,AJ$8),NOT(frame($C47,$D47,VLOOKUP(VLOOKUP(AL$26,FT[],9),Teachers[],MOD(COLUMN(AI47),6)+1)))),1,0)</f>
        <v>0</v>
      </c>
      <c r="AM47" s="6">
        <f>IF(AND(frame($C47,$D47,AK$8),NOT(frame($C47,$D47,VLOOKUP(VLOOKUP(AM$26,FT[],9),Teachers[],MOD(COLUMN(AJ47),6)+1)))),1,0)</f>
        <v>0</v>
      </c>
      <c r="AN47" s="6">
        <f>IF(AND(frame($C47,$D47,AL$8),NOT(frame($C47,$D47,VLOOKUP(VLOOKUP(AN$26,FT[],9),Teachers[],MOD(COLUMN(AK47),6)+1)))),1,0)</f>
        <v>0</v>
      </c>
      <c r="AO47" s="6">
        <f>IF(AND(frame($C47,$D47,AM$8),NOT(frame($C47,$D47,VLOOKUP(VLOOKUP(AO$26,FT[],9),Teachers[],MOD(COLUMN(AL47),6)+1)))),1,0)</f>
        <v>0</v>
      </c>
      <c r="AP47" s="66">
        <f t="shared" si="11"/>
        <v>0</v>
      </c>
      <c r="AQ47" s="6">
        <f>IF(AND(frame($C47,$D47,AO$8),NOT(frame($C47,$D47,VLOOKUP(VLOOKUP(AQ$26,FT[],9),Teachers[],MOD(COLUMN(AN47),6)+1)))),1,0)</f>
        <v>0</v>
      </c>
      <c r="AR47" s="6">
        <f>IF(AND(frame($C47,$D47,AP$8),NOT(frame($C47,$D47,VLOOKUP(VLOOKUP(AR$26,FT[],9),Teachers[],MOD(COLUMN(AO47),6)+1)))),1,0)</f>
        <v>0</v>
      </c>
      <c r="AS47" s="6">
        <f>IF(AND(frame($C47,$D47,AQ$8),NOT(frame($C47,$D47,VLOOKUP(VLOOKUP(AS$26,FT[],9),Teachers[],MOD(COLUMN(AP47),6)+1)))),1,0)</f>
        <v>0</v>
      </c>
      <c r="AT47" s="6">
        <f>IF(AND(frame($C47,$D47,AR$8),NOT(frame($C47,$D47,VLOOKUP(VLOOKUP(AT$26,FT[],9),Teachers[],MOD(COLUMN(AQ47),6)+1)))),1,0)</f>
        <v>0</v>
      </c>
      <c r="AU47" s="6">
        <f>IF(AND(frame($C47,$D47,AS$8),NOT(frame($C47,$D47,VLOOKUP(VLOOKUP(AU$26,FT[],9),Teachers[],MOD(COLUMN(AR47),6)+1)))),1,0)</f>
        <v>0</v>
      </c>
      <c r="AV47" s="6">
        <f>IF(AND(frame($C47,$D47,AT$8),NOT(frame($C47,$D47,VLOOKUP(VLOOKUP(AV$26,FT[],9),Teachers[],MOD(COLUMN(AS47),6)+1)))),1,0)</f>
        <v>0</v>
      </c>
      <c r="AW47" s="6">
        <f>IF(AND(frame($C47,$D47,AU$8),NOT(frame($C47,$D47,VLOOKUP(VLOOKUP(AW$26,FT[],9),Teachers[],MOD(COLUMN(AT47),6)+1)))),1,0)</f>
        <v>0</v>
      </c>
      <c r="AX47" s="6">
        <f>IF(AND(frame($C47,$D47,AV$8),NOT(frame($C47,$D47,VLOOKUP(VLOOKUP(AX$26,FT[],9),Teachers[],MOD(COLUMN(AU47),6)+1)))),1,0)</f>
        <v>0</v>
      </c>
      <c r="AY47" s="6">
        <f>IF(AND(frame($C47,$D47,AW$8),NOT(frame($C47,$D47,VLOOKUP(VLOOKUP(AY$26,FT[],9),Teachers[],MOD(COLUMN(AV47),6)+1)))),1,0)</f>
        <v>0</v>
      </c>
      <c r="AZ47" s="6">
        <f>IF(AND(frame($C47,$D47,AX$8),NOT(frame($C47,$D47,VLOOKUP(VLOOKUP(AZ$26,FT[],9),Teachers[],MOD(COLUMN(AW47),6)+1)))),1,0)</f>
        <v>0</v>
      </c>
      <c r="BA47" s="6">
        <f>IF(AND(frame($C47,$D47,AY$8),NOT(frame($C47,$D47,VLOOKUP(VLOOKUP(BA$26,FT[],9),Teachers[],MOD(COLUMN(AX47),6)+1)))),1,0)</f>
        <v>0</v>
      </c>
      <c r="BB47" s="6">
        <f>IF(AND(frame($C47,$D47,AZ$8),NOT(frame($C47,$D47,VLOOKUP(VLOOKUP(BB$26,FT[],9),Teachers[],MOD(COLUMN(AY47),6)+1)))),1,0)</f>
        <v>0</v>
      </c>
      <c r="BC47" s="6">
        <f>IF(AND(frame($C47,$D47,BA$8),NOT(frame($C47,$D47,VLOOKUP(VLOOKUP(BC$26,FT[],9),Teachers[],MOD(COLUMN(AZ47),6)+1)))),1,0)</f>
        <v>0</v>
      </c>
      <c r="BD47" s="6">
        <f>IF(AND(frame($C47,$D47,BB$8),NOT(frame($C47,$D47,VLOOKUP(VLOOKUP(BD$26,FT[],9),Teachers[],MOD(COLUMN(BA47),6)+1)))),1,0)</f>
        <v>0</v>
      </c>
      <c r="BE47" s="6">
        <f>IF(AND(frame($C47,$D47,BC$8),NOT(frame($C47,$D47,VLOOKUP(VLOOKUP(BE$26,FT[],9),Teachers[],MOD(COLUMN(BB47),6)+1)))),1,0)</f>
        <v>0</v>
      </c>
      <c r="BF47" s="6">
        <f>IF(AND(frame($C47,$D47,BD$8),NOT(frame($C47,$D47,VLOOKUP(VLOOKUP(BF$26,FT[],9),Teachers[],MOD(COLUMN(BC47),6)+1)))),1,0)</f>
        <v>0</v>
      </c>
      <c r="BG47" s="6">
        <f>IF(AND(frame($C47,$D47,BE$8),NOT(frame($C47,$D47,VLOOKUP(VLOOKUP(BG$26,FT[],9),Teachers[],MOD(COLUMN(BD47),6)+1)))),1,0)</f>
        <v>0</v>
      </c>
      <c r="BH47" s="6">
        <f>IF(AND(frame($C47,$D47,BF$8),NOT(frame($C47,$D47,VLOOKUP(VLOOKUP(BH$26,FT[],9),Teachers[],MOD(COLUMN(BE47),6)+1)))),1,0)</f>
        <v>0</v>
      </c>
      <c r="BI47" s="6">
        <f>IF(AND(frame($C47,$D47,BG$8),NOT(frame($C47,$D47,VLOOKUP(VLOOKUP(BI$26,FT[],9),Teachers[],MOD(COLUMN(BF47),6)+1)))),1,0)</f>
        <v>0</v>
      </c>
      <c r="BJ47" s="6">
        <f>IF(AND(frame($C47,$D47,BH$8),NOT(frame($C47,$D47,VLOOKUP(VLOOKUP(BJ$26,FT[],9),Teachers[],MOD(COLUMN(BG47),6)+1)))),1,0)</f>
        <v>0</v>
      </c>
      <c r="BK47" s="6">
        <f>IF(AND(frame($C47,$D47,BI$8),NOT(frame($C47,$D47,VLOOKUP(VLOOKUP(BK$26,FT[],9),Teachers[],MOD(COLUMN(BH47),6)+1)))),1,0)</f>
        <v>0</v>
      </c>
      <c r="BL47" s="6">
        <f>IF(AND(frame($C47,$D47,BJ$8),NOT(frame($C47,$D47,VLOOKUP(VLOOKUP(BL$26,FT[],9),Teachers[],MOD(COLUMN(BI47),6)+1)))),1,0)</f>
        <v>0</v>
      </c>
    </row>
    <row r="48" spans="2:64" ht="15.75" thickBot="1">
      <c r="B48" s="1">
        <v>21</v>
      </c>
      <c r="C48" s="9">
        <v>0.53125</v>
      </c>
      <c r="D48" s="9">
        <v>0.5625</v>
      </c>
      <c r="E48" s="6" t="e">
        <f ca="1">frame(СВ[[#This Row],[49]],СВ[[#This Row],[Столбец1]],C27,C41)</f>
        <v>#NAME?</v>
      </c>
      <c r="F48" s="6">
        <f>IF(AND(frame($C48,$D48,D$7),NOT(frame($C48,$D48,VLOOKUP(VLOOKUP(F$26,FT[],9),Teachers[],MOD(COLUMN(B48),6)+1)))),1,0)</f>
        <v>0</v>
      </c>
      <c r="G48" s="6">
        <f>IF(AND(frame($C48,$D48,E$7),NOT(frame($C48,$D48,VLOOKUP(VLOOKUP(G$26,FT[],9),Teachers[],MOD(COLUMN(C48),6)+1)))),1,0)</f>
        <v>0</v>
      </c>
      <c r="H48" s="6">
        <f>IF(AND(frame($C48,$D48,F$7),NOT(frame($C48,$D48,VLOOKUP(VLOOKUP(H$26,FT[],9),Teachers[],MOD(COLUMN(D48),6)+1)))),1,0)</f>
        <v>0</v>
      </c>
      <c r="I48" s="6" t="e">
        <f ca="1">IF(AND(frame($C48,$D48,G$7),NOT(frame($C48,$D48,VLOOKUP(VLOOKUP(I$26,FT[],9),Teachers[],MOD(COLUMN(E48),6)+1)))),1,0)</f>
        <v>#NAME?</v>
      </c>
      <c r="J48" s="6">
        <f>IF(AND(frame($C48,$D48,H$7),NOT(frame($C48,$D48,VLOOKUP(VLOOKUP(J$26,FT[],9),Teachers[],MOD(COLUMN(F48),6)+1)))),1,0)</f>
        <v>1</v>
      </c>
      <c r="K48" s="6">
        <f>IF(AND(frame($C48,$D48,I$8),NOT(frame($C48,$D48,VLOOKUP(VLOOKUP(K$26,FT[],9),Teachers[],MOD(COLUMN(H48),6)+1)))),1,0)</f>
        <v>0</v>
      </c>
      <c r="L48" s="1">
        <f t="shared" si="9"/>
        <v>0</v>
      </c>
      <c r="M48" s="6">
        <f>IF(AND(frame($C48,$D48,K$8),NOT(frame($C48,$D48,VLOOKUP(VLOOKUP(M$26,FT[],9),Teachers[],MOD(COLUMN(J48),6)+1)))),1,0)</f>
        <v>0</v>
      </c>
      <c r="N48" s="6">
        <f>IF(AND(frame($C48,$D48,L$8),NOT(frame($C48,$D48,VLOOKUP(VLOOKUP(N$26,FT[],9),Teachers[],MOD(COLUMN(K48),6)+1)))),1,0)</f>
        <v>0</v>
      </c>
      <c r="O48" s="6">
        <f>IF(AND(frame($C48,$D48,M$8),NOT(frame($C48,$D48,VLOOKUP(VLOOKUP(O$26,FT[],9),Teachers[],MOD(COLUMN(L48),6)+1)))),1,0)</f>
        <v>0</v>
      </c>
      <c r="P48" s="6">
        <f>IF(AND(frame($C48,$D48,N$8),NOT(frame($C48,$D48,VLOOKUP(VLOOKUP(P$26,FT[],9),Teachers[],MOD(COLUMN(M48),6)+1)))),1,0)</f>
        <v>0</v>
      </c>
      <c r="Q48" s="6">
        <f>IF(AND(frame($C48,$D48,O$8),NOT(frame($C48,$D48,VLOOKUP(VLOOKUP(Q$26,FT[],9),Teachers[],MOD(COLUMN(N48),6)+1)))),1,0)</f>
        <v>0</v>
      </c>
      <c r="R48" s="65">
        <f t="shared" si="10"/>
        <v>0</v>
      </c>
      <c r="S48" s="6">
        <f>IF(AND(frame($C48,$D48,Q$8),NOT(frame($C48,$D48,VLOOKUP(VLOOKUP(S$26,FT[],9),Teachers[],MOD(COLUMN(P48),6)+1)))),1,0)</f>
        <v>0</v>
      </c>
      <c r="T48" s="6">
        <f>IF(AND(frame($C48,$D48,R$8),NOT(frame($C48,$D48,VLOOKUP(VLOOKUP(T$26,FT[],9),Teachers[],MOD(COLUMN(Q48),6)+1)))),1,0)</f>
        <v>0</v>
      </c>
      <c r="U48" s="6">
        <f>IF(AND(frame($C48,$D48,S$8),NOT(frame($C48,$D48,VLOOKUP(VLOOKUP(U$26,FT[],9),Teachers[],MOD(COLUMN(R48),6)+1)))),1,0)</f>
        <v>0</v>
      </c>
      <c r="V48" s="6">
        <f>IF(AND(frame($C48,$D48,T$8),NOT(frame($C48,$D48,VLOOKUP(VLOOKUP(V$26,FT[],9),Teachers[],MOD(COLUMN(S48),6)+1)))),1,0)</f>
        <v>0</v>
      </c>
      <c r="W48" s="6">
        <f>IF(AND(frame($C48,$D48,U$8),NOT(frame($C48,$D48,VLOOKUP(VLOOKUP(W$26,FT[],9),Teachers[],MOD(COLUMN(T48),6)+1)))),1,0)</f>
        <v>0</v>
      </c>
      <c r="X48" s="6">
        <f>IF(AND(frame($C48,$D48,V$8),NOT(frame($C48,$D48,VLOOKUP(VLOOKUP(X$26,FT[],9),Teachers[],MOD(COLUMN(U48),6)+1)))),1,0)</f>
        <v>0</v>
      </c>
      <c r="Y48" s="6">
        <f>IF(AND(frame($C48,$D48,W$8),NOT(frame($C48,$D48,VLOOKUP(VLOOKUP(Y$26,FT[],9),Teachers[],MOD(COLUMN(V48),6)+1)))),1,0)</f>
        <v>0</v>
      </c>
      <c r="Z48" s="6">
        <f>IF(AND(frame($C48,$D48,X$8),NOT(frame($C48,$D48,VLOOKUP(VLOOKUP(Z$26,FT[],9),Teachers[],MOD(COLUMN(W48),6)+1)))),1,0)</f>
        <v>0</v>
      </c>
      <c r="AA48" s="6">
        <f>IF(AND(frame($C48,$D48,Y$8),NOT(frame($C48,$D48,VLOOKUP(VLOOKUP(AA$26,FT[],9),Teachers[],MOD(COLUMN(X48),6)+1)))),1,0)</f>
        <v>0</v>
      </c>
      <c r="AB48" s="6">
        <f>IF(AND(frame($C48,$D48,Z$8),NOT(frame($C48,$D48,VLOOKUP(VLOOKUP(AB$26,FT[],9),Teachers[],MOD(COLUMN(Y48),6)+1)))),1,0)</f>
        <v>0</v>
      </c>
      <c r="AC48" s="6">
        <f>IF(AND(frame($C48,$D48,AA$8),NOT(frame($C48,$D48,VLOOKUP(VLOOKUP(AC$26,FT[],9),Teachers[],MOD(COLUMN(Z48),6)+1)))),1,0)</f>
        <v>0</v>
      </c>
      <c r="AD48" s="6">
        <f>IF(AND(frame($C48,$D48,AB$8),NOT(frame($C48,$D48,VLOOKUP(VLOOKUP(AD$26,FT[],9),Teachers[],MOD(COLUMN(AA48),6)+1)))),1,0)</f>
        <v>0</v>
      </c>
      <c r="AE48" s="6">
        <f>IF(AND(frame($C48,$D48,AC$8),NOT(frame($C48,$D48,VLOOKUP(VLOOKUP(AE$26,FT[],9),Teachers[],MOD(COLUMN(AB48),6)+1)))),1,0)</f>
        <v>0</v>
      </c>
      <c r="AF48" s="6">
        <f>IF(AND(frame($C48,$D48,AD$8),NOT(frame($C48,$D48,VLOOKUP(VLOOKUP(AF$26,FT[],9),Teachers[],MOD(COLUMN(AC48),6)+1)))),1,0)</f>
        <v>0</v>
      </c>
      <c r="AG48" s="6">
        <f>IF(AND(frame($C48,$D48,AE$8),NOT(frame($C48,$D48,VLOOKUP(VLOOKUP(AG$26,FT[],9),Teachers[],MOD(COLUMN(AD48),6)+1)))),1,0)</f>
        <v>0</v>
      </c>
      <c r="AH48" s="6">
        <f>IF(AND(frame($C48,$D48,AF$8),NOT(frame($C48,$D48,VLOOKUP(VLOOKUP(AH$26,FT[],9),Teachers[],MOD(COLUMN(AE48),6)+1)))),1,0)</f>
        <v>0</v>
      </c>
      <c r="AI48" s="6">
        <f>IF(AND(frame($C48,$D48,AG$8),NOT(frame($C48,$D48,VLOOKUP(VLOOKUP(AI$26,FT[],9),Teachers[],MOD(COLUMN(AF48),6)+1)))),1,0)</f>
        <v>0</v>
      </c>
      <c r="AJ48" s="6">
        <f>IF(AND(frame($C48,$D48,AH$8),NOT(frame($C48,$D48,VLOOKUP(VLOOKUP(AJ$26,FT[],9),Teachers[],MOD(COLUMN(AG48),6)+1)))),1,0)</f>
        <v>0</v>
      </c>
      <c r="AK48" s="6">
        <f>IF(AND(frame($C48,$D48,AI$8),NOT(frame($C48,$D48,VLOOKUP(VLOOKUP(AK$26,FT[],9),Teachers[],MOD(COLUMN(AH48),6)+1)))),1,0)</f>
        <v>0</v>
      </c>
      <c r="AL48" s="6">
        <f>IF(AND(frame($C48,$D48,AJ$8),NOT(frame($C48,$D48,VLOOKUP(VLOOKUP(AL$26,FT[],9),Teachers[],MOD(COLUMN(AI48),6)+1)))),1,0)</f>
        <v>0</v>
      </c>
      <c r="AM48" s="6">
        <f>IF(AND(frame($C48,$D48,AK$8),NOT(frame($C48,$D48,VLOOKUP(VLOOKUP(AM$26,FT[],9),Teachers[],MOD(COLUMN(AJ48),6)+1)))),1,0)</f>
        <v>0</v>
      </c>
      <c r="AN48" s="6">
        <f>IF(AND(frame($C48,$D48,AL$8),NOT(frame($C48,$D48,VLOOKUP(VLOOKUP(AN$26,FT[],9),Teachers[],MOD(COLUMN(AK48),6)+1)))),1,0)</f>
        <v>0</v>
      </c>
      <c r="AO48" s="6">
        <f>IF(AND(frame($C48,$D48,AM$8),NOT(frame($C48,$D48,VLOOKUP(VLOOKUP(AO$26,FT[],9),Teachers[],MOD(COLUMN(AL48),6)+1)))),1,0)</f>
        <v>0</v>
      </c>
      <c r="AP48" s="66">
        <f t="shared" si="11"/>
        <v>0</v>
      </c>
      <c r="AQ48" s="6">
        <f>IF(AND(frame($C48,$D48,AO$8),NOT(frame($C48,$D48,VLOOKUP(VLOOKUP(AQ$26,FT[],9),Teachers[],MOD(COLUMN(AN48),6)+1)))),1,0)</f>
        <v>0</v>
      </c>
      <c r="AR48" s="6">
        <f>IF(AND(frame($C48,$D48,AP$8),NOT(frame($C48,$D48,VLOOKUP(VLOOKUP(AR$26,FT[],9),Teachers[],MOD(COLUMN(AO48),6)+1)))),1,0)</f>
        <v>0</v>
      </c>
      <c r="AS48" s="6">
        <f>IF(AND(frame($C48,$D48,AQ$8),NOT(frame($C48,$D48,VLOOKUP(VLOOKUP(AS$26,FT[],9),Teachers[],MOD(COLUMN(AP48),6)+1)))),1,0)</f>
        <v>0</v>
      </c>
      <c r="AT48" s="6">
        <f>IF(AND(frame($C48,$D48,AR$8),NOT(frame($C48,$D48,VLOOKUP(VLOOKUP(AT$26,FT[],9),Teachers[],MOD(COLUMN(AQ48),6)+1)))),1,0)</f>
        <v>0</v>
      </c>
      <c r="AU48" s="6">
        <f>IF(AND(frame($C48,$D48,AS$8),NOT(frame($C48,$D48,VLOOKUP(VLOOKUP(AU$26,FT[],9),Teachers[],MOD(COLUMN(AR48),6)+1)))),1,0)</f>
        <v>0</v>
      </c>
      <c r="AV48" s="6">
        <f>IF(AND(frame($C48,$D48,AT$8),NOT(frame($C48,$D48,VLOOKUP(VLOOKUP(AV$26,FT[],9),Teachers[],MOD(COLUMN(AS48),6)+1)))),1,0)</f>
        <v>0</v>
      </c>
      <c r="AW48" s="6">
        <f>IF(AND(frame($C48,$D48,AU$8),NOT(frame($C48,$D48,VLOOKUP(VLOOKUP(AW$26,FT[],9),Teachers[],MOD(COLUMN(AT48),6)+1)))),1,0)</f>
        <v>0</v>
      </c>
      <c r="AX48" s="6">
        <f>IF(AND(frame($C48,$D48,AV$8),NOT(frame($C48,$D48,VLOOKUP(VLOOKUP(AX$26,FT[],9),Teachers[],MOD(COLUMN(AU48),6)+1)))),1,0)</f>
        <v>0</v>
      </c>
      <c r="AY48" s="6">
        <f>IF(AND(frame($C48,$D48,AW$8),NOT(frame($C48,$D48,VLOOKUP(VLOOKUP(AY$26,FT[],9),Teachers[],MOD(COLUMN(AV48),6)+1)))),1,0)</f>
        <v>0</v>
      </c>
      <c r="AZ48" s="6">
        <f>IF(AND(frame($C48,$D48,AX$8),NOT(frame($C48,$D48,VLOOKUP(VLOOKUP(AZ$26,FT[],9),Teachers[],MOD(COLUMN(AW48),6)+1)))),1,0)</f>
        <v>0</v>
      </c>
      <c r="BA48" s="6">
        <f>IF(AND(frame($C48,$D48,AY$8),NOT(frame($C48,$D48,VLOOKUP(VLOOKUP(BA$26,FT[],9),Teachers[],MOD(COLUMN(AX48),6)+1)))),1,0)</f>
        <v>0</v>
      </c>
      <c r="BB48" s="6">
        <f>IF(AND(frame($C48,$D48,AZ$8),NOT(frame($C48,$D48,VLOOKUP(VLOOKUP(BB$26,FT[],9),Teachers[],MOD(COLUMN(AY48),6)+1)))),1,0)</f>
        <v>0</v>
      </c>
      <c r="BC48" s="6">
        <f>IF(AND(frame($C48,$D48,BA$8),NOT(frame($C48,$D48,VLOOKUP(VLOOKUP(BC$26,FT[],9),Teachers[],MOD(COLUMN(AZ48),6)+1)))),1,0)</f>
        <v>0</v>
      </c>
      <c r="BD48" s="6">
        <f>IF(AND(frame($C48,$D48,BB$8),NOT(frame($C48,$D48,VLOOKUP(VLOOKUP(BD$26,FT[],9),Teachers[],MOD(COLUMN(BA48),6)+1)))),1,0)</f>
        <v>0</v>
      </c>
      <c r="BE48" s="6">
        <f>IF(AND(frame($C48,$D48,BC$8),NOT(frame($C48,$D48,VLOOKUP(VLOOKUP(BE$26,FT[],9),Teachers[],MOD(COLUMN(BB48),6)+1)))),1,0)</f>
        <v>0</v>
      </c>
      <c r="BF48" s="6">
        <f>IF(AND(frame($C48,$D48,BD$8),NOT(frame($C48,$D48,VLOOKUP(VLOOKUP(BF$26,FT[],9),Teachers[],MOD(COLUMN(BC48),6)+1)))),1,0)</f>
        <v>0</v>
      </c>
      <c r="BG48" s="6">
        <f>IF(AND(frame($C48,$D48,BE$8),NOT(frame($C48,$D48,VLOOKUP(VLOOKUP(BG$26,FT[],9),Teachers[],MOD(COLUMN(BD48),6)+1)))),1,0)</f>
        <v>0</v>
      </c>
      <c r="BH48" s="6">
        <f>IF(AND(frame($C48,$D48,BF$8),NOT(frame($C48,$D48,VLOOKUP(VLOOKUP(BH$26,FT[],9),Teachers[],MOD(COLUMN(BE48),6)+1)))),1,0)</f>
        <v>0</v>
      </c>
      <c r="BI48" s="6">
        <f>IF(AND(frame($C48,$D48,BG$8),NOT(frame($C48,$D48,VLOOKUP(VLOOKUP(BI$26,FT[],9),Teachers[],MOD(COLUMN(BF48),6)+1)))),1,0)</f>
        <v>0</v>
      </c>
      <c r="BJ48" s="6">
        <f>IF(AND(frame($C48,$D48,BH$8),NOT(frame($C48,$D48,VLOOKUP(VLOOKUP(BJ$26,FT[],9),Teachers[],MOD(COLUMN(BG48),6)+1)))),1,0)</f>
        <v>0</v>
      </c>
      <c r="BK48" s="6">
        <f>IF(AND(frame($C48,$D48,BI$8),NOT(frame($C48,$D48,VLOOKUP(VLOOKUP(BK$26,FT[],9),Teachers[],MOD(COLUMN(BH48),6)+1)))),1,0)</f>
        <v>0</v>
      </c>
      <c r="BL48" s="6">
        <f>IF(AND(frame($C48,$D48,BJ$8),NOT(frame($C48,$D48,VLOOKUP(VLOOKUP(BL$26,FT[],9),Teachers[],MOD(COLUMN(BI48),6)+1)))),1,0)</f>
        <v>0</v>
      </c>
    </row>
    <row r="49" spans="2:64" ht="15.75" thickBot="1">
      <c r="B49" s="1">
        <v>22</v>
      </c>
      <c r="C49" s="9">
        <v>0.54166666666666663</v>
      </c>
      <c r="D49" s="9">
        <v>0.58333333333333326</v>
      </c>
      <c r="E49" s="6" t="e">
        <f ca="1">frame(СВ[[#This Row],[49]],СВ[[#This Row],[Столбец1]],C28,C42)</f>
        <v>#NAME?</v>
      </c>
      <c r="F49" s="6">
        <f>IF(AND(frame($C49,$D49,D$7),NOT(frame($C49,$D49,VLOOKUP(VLOOKUP(F$26,FT[],9),Teachers[],MOD(COLUMN(B49),6)+1)))),1,0)</f>
        <v>0</v>
      </c>
      <c r="G49" s="6">
        <f>IF(AND(frame($C49,$D49,E$7),NOT(frame($C49,$D49,VLOOKUP(VLOOKUP(G$26,FT[],9),Teachers[],MOD(COLUMN(C49),6)+1)))),1,0)</f>
        <v>0</v>
      </c>
      <c r="H49" s="6">
        <f>IF(AND(frame($C49,$D49,F$7),NOT(frame($C49,$D49,VLOOKUP(VLOOKUP(H$26,FT[],9),Teachers[],MOD(COLUMN(D49),6)+1)))),1,0)</f>
        <v>0</v>
      </c>
      <c r="I49" s="6" t="e">
        <f ca="1">IF(AND(frame($C49,$D49,G$7),NOT(frame($C49,$D49,VLOOKUP(VLOOKUP(I$26,FT[],9),Teachers[],MOD(COLUMN(E49),6)+1)))),1,0)</f>
        <v>#NAME?</v>
      </c>
      <c r="J49" s="6">
        <f>IF(AND(frame($C49,$D49,H$7),NOT(frame($C49,$D49,VLOOKUP(VLOOKUP(J$26,FT[],9),Teachers[],MOD(COLUMN(F49),6)+1)))),1,0)</f>
        <v>1</v>
      </c>
      <c r="K49" s="6">
        <f>IF(AND(frame($C49,$D49,I$8),NOT(frame($C49,$D49,VLOOKUP(VLOOKUP(K$26,FT[],9),Teachers[],MOD(COLUMN(H49),6)+1)))),1,0)</f>
        <v>0</v>
      </c>
      <c r="L49" s="1">
        <f t="shared" si="9"/>
        <v>0</v>
      </c>
      <c r="M49" s="6">
        <f>IF(AND(frame($C49,$D49,K$8),NOT(frame($C49,$D49,VLOOKUP(VLOOKUP(M$26,FT[],9),Teachers[],MOD(COLUMN(J49),6)+1)))),1,0)</f>
        <v>0</v>
      </c>
      <c r="N49" s="6">
        <f>IF(AND(frame($C49,$D49,L$8),NOT(frame($C49,$D49,VLOOKUP(VLOOKUP(N$26,FT[],9),Teachers[],MOD(COLUMN(K49),6)+1)))),1,0)</f>
        <v>0</v>
      </c>
      <c r="O49" s="6">
        <f>IF(AND(frame($C49,$D49,M$8),NOT(frame($C49,$D49,VLOOKUP(VLOOKUP(O$26,FT[],9),Teachers[],MOD(COLUMN(L49),6)+1)))),1,0)</f>
        <v>0</v>
      </c>
      <c r="P49" s="6">
        <f>IF(AND(frame($C49,$D49,N$8),NOT(frame($C49,$D49,VLOOKUP(VLOOKUP(P$26,FT[],9),Teachers[],MOD(COLUMN(M49),6)+1)))),1,0)</f>
        <v>0</v>
      </c>
      <c r="Q49" s="6">
        <f>IF(AND(frame($C49,$D49,O$8),NOT(frame($C49,$D49,VLOOKUP(VLOOKUP(Q$26,FT[],9),Teachers[],MOD(COLUMN(N49),6)+1)))),1,0)</f>
        <v>0</v>
      </c>
      <c r="R49" s="65">
        <f t="shared" si="10"/>
        <v>0</v>
      </c>
      <c r="S49" s="6">
        <f>IF(AND(frame($C49,$D49,Q$8),NOT(frame($C49,$D49,VLOOKUP(VLOOKUP(S$26,FT[],9),Teachers[],MOD(COLUMN(P49),6)+1)))),1,0)</f>
        <v>0</v>
      </c>
      <c r="T49" s="6">
        <f>IF(AND(frame($C49,$D49,R$8),NOT(frame($C49,$D49,VLOOKUP(VLOOKUP(T$26,FT[],9),Teachers[],MOD(COLUMN(Q49),6)+1)))),1,0)</f>
        <v>0</v>
      </c>
      <c r="U49" s="6">
        <f>IF(AND(frame($C49,$D49,S$8),NOT(frame($C49,$D49,VLOOKUP(VLOOKUP(U$26,FT[],9),Teachers[],MOD(COLUMN(R49),6)+1)))),1,0)</f>
        <v>0</v>
      </c>
      <c r="V49" s="6">
        <f>IF(AND(frame($C49,$D49,T$8),NOT(frame($C49,$D49,VLOOKUP(VLOOKUP(V$26,FT[],9),Teachers[],MOD(COLUMN(S49),6)+1)))),1,0)</f>
        <v>0</v>
      </c>
      <c r="W49" s="6">
        <f>IF(AND(frame($C49,$D49,U$8),NOT(frame($C49,$D49,VLOOKUP(VLOOKUP(W$26,FT[],9),Teachers[],MOD(COLUMN(T49),6)+1)))),1,0)</f>
        <v>0</v>
      </c>
      <c r="X49" s="6">
        <f>IF(AND(frame($C49,$D49,V$8),NOT(frame($C49,$D49,VLOOKUP(VLOOKUP(X$26,FT[],9),Teachers[],MOD(COLUMN(U49),6)+1)))),1,0)</f>
        <v>0</v>
      </c>
      <c r="Y49" s="6">
        <f>IF(AND(frame($C49,$D49,W$8),NOT(frame($C49,$D49,VLOOKUP(VLOOKUP(Y$26,FT[],9),Teachers[],MOD(COLUMN(V49),6)+1)))),1,0)</f>
        <v>0</v>
      </c>
      <c r="Z49" s="6">
        <f>IF(AND(frame($C49,$D49,X$8),NOT(frame($C49,$D49,VLOOKUP(VLOOKUP(Z$26,FT[],9),Teachers[],MOD(COLUMN(W49),6)+1)))),1,0)</f>
        <v>0</v>
      </c>
      <c r="AA49" s="6">
        <f>IF(AND(frame($C49,$D49,Y$8),NOT(frame($C49,$D49,VLOOKUP(VLOOKUP(AA$26,FT[],9),Teachers[],MOD(COLUMN(X49),6)+1)))),1,0)</f>
        <v>0</v>
      </c>
      <c r="AB49" s="6">
        <f>IF(AND(frame($C49,$D49,Z$8),NOT(frame($C49,$D49,VLOOKUP(VLOOKUP(AB$26,FT[],9),Teachers[],MOD(COLUMN(Y49),6)+1)))),1,0)</f>
        <v>0</v>
      </c>
      <c r="AC49" s="6">
        <f>IF(AND(frame($C49,$D49,AA$8),NOT(frame($C49,$D49,VLOOKUP(VLOOKUP(AC$26,FT[],9),Teachers[],MOD(COLUMN(Z49),6)+1)))),1,0)</f>
        <v>0</v>
      </c>
      <c r="AD49" s="6">
        <f>IF(AND(frame($C49,$D49,AB$8),NOT(frame($C49,$D49,VLOOKUP(VLOOKUP(AD$26,FT[],9),Teachers[],MOD(COLUMN(AA49),6)+1)))),1,0)</f>
        <v>0</v>
      </c>
      <c r="AE49" s="6">
        <f>IF(AND(frame($C49,$D49,AC$8),NOT(frame($C49,$D49,VLOOKUP(VLOOKUP(AE$26,FT[],9),Teachers[],MOD(COLUMN(AB49),6)+1)))),1,0)</f>
        <v>0</v>
      </c>
      <c r="AF49" s="6">
        <f>IF(AND(frame($C49,$D49,AD$8),NOT(frame($C49,$D49,VLOOKUP(VLOOKUP(AF$26,FT[],9),Teachers[],MOD(COLUMN(AC49),6)+1)))),1,0)</f>
        <v>0</v>
      </c>
      <c r="AG49" s="6">
        <f>IF(AND(frame($C49,$D49,AE$8),NOT(frame($C49,$D49,VLOOKUP(VLOOKUP(AG$26,FT[],9),Teachers[],MOD(COLUMN(AD49),6)+1)))),1,0)</f>
        <v>0</v>
      </c>
      <c r="AH49" s="6">
        <f>IF(AND(frame($C49,$D49,AF$8),NOT(frame($C49,$D49,VLOOKUP(VLOOKUP(AH$26,FT[],9),Teachers[],MOD(COLUMN(AE49),6)+1)))),1,0)</f>
        <v>0</v>
      </c>
      <c r="AI49" s="6">
        <f>IF(AND(frame($C49,$D49,AG$8),NOT(frame($C49,$D49,VLOOKUP(VLOOKUP(AI$26,FT[],9),Teachers[],MOD(COLUMN(AF49),6)+1)))),1,0)</f>
        <v>0</v>
      </c>
      <c r="AJ49" s="6">
        <f>IF(AND(frame($C49,$D49,AH$8),NOT(frame($C49,$D49,VLOOKUP(VLOOKUP(AJ$26,FT[],9),Teachers[],MOD(COLUMN(AG49),6)+1)))),1,0)</f>
        <v>0</v>
      </c>
      <c r="AK49" s="6">
        <f>IF(AND(frame($C49,$D49,AI$8),NOT(frame($C49,$D49,VLOOKUP(VLOOKUP(AK$26,FT[],9),Teachers[],MOD(COLUMN(AH49),6)+1)))),1,0)</f>
        <v>0</v>
      </c>
      <c r="AL49" s="6">
        <f>IF(AND(frame($C49,$D49,AJ$8),NOT(frame($C49,$D49,VLOOKUP(VLOOKUP(AL$26,FT[],9),Teachers[],MOD(COLUMN(AI49),6)+1)))),1,0)</f>
        <v>0</v>
      </c>
      <c r="AM49" s="6">
        <f>IF(AND(frame($C49,$D49,AK$8),NOT(frame($C49,$D49,VLOOKUP(VLOOKUP(AM$26,FT[],9),Teachers[],MOD(COLUMN(AJ49),6)+1)))),1,0)</f>
        <v>0</v>
      </c>
      <c r="AN49" s="6">
        <f>IF(AND(frame($C49,$D49,AL$8),NOT(frame($C49,$D49,VLOOKUP(VLOOKUP(AN$26,FT[],9),Teachers[],MOD(COLUMN(AK49),6)+1)))),1,0)</f>
        <v>0</v>
      </c>
      <c r="AO49" s="6">
        <f>IF(AND(frame($C49,$D49,AM$8),NOT(frame($C49,$D49,VLOOKUP(VLOOKUP(AO$26,FT[],9),Teachers[],MOD(COLUMN(AL49),6)+1)))),1,0)</f>
        <v>0</v>
      </c>
      <c r="AP49" s="66">
        <f t="shared" si="11"/>
        <v>0</v>
      </c>
      <c r="AQ49" s="6">
        <f>IF(AND(frame($C49,$D49,AO$8),NOT(frame($C49,$D49,VLOOKUP(VLOOKUP(AQ$26,FT[],9),Teachers[],MOD(COLUMN(AN49),6)+1)))),1,0)</f>
        <v>0</v>
      </c>
      <c r="AR49" s="6">
        <f>IF(AND(frame($C49,$D49,AP$8),NOT(frame($C49,$D49,VLOOKUP(VLOOKUP(AR$26,FT[],9),Teachers[],MOD(COLUMN(AO49),6)+1)))),1,0)</f>
        <v>0</v>
      </c>
      <c r="AS49" s="6">
        <f>IF(AND(frame($C49,$D49,AQ$8),NOT(frame($C49,$D49,VLOOKUP(VLOOKUP(AS$26,FT[],9),Teachers[],MOD(COLUMN(AP49),6)+1)))),1,0)</f>
        <v>0</v>
      </c>
      <c r="AT49" s="6">
        <f>IF(AND(frame($C49,$D49,AR$8),NOT(frame($C49,$D49,VLOOKUP(VLOOKUP(AT$26,FT[],9),Teachers[],MOD(COLUMN(AQ49),6)+1)))),1,0)</f>
        <v>0</v>
      </c>
      <c r="AU49" s="6">
        <f>IF(AND(frame($C49,$D49,AS$8),NOT(frame($C49,$D49,VLOOKUP(VLOOKUP(AU$26,FT[],9),Teachers[],MOD(COLUMN(AR49),6)+1)))),1,0)</f>
        <v>0</v>
      </c>
      <c r="AV49" s="6">
        <f>IF(AND(frame($C49,$D49,AT$8),NOT(frame($C49,$D49,VLOOKUP(VLOOKUP(AV$26,FT[],9),Teachers[],MOD(COLUMN(AS49),6)+1)))),1,0)</f>
        <v>0</v>
      </c>
      <c r="AW49" s="6">
        <f>IF(AND(frame($C49,$D49,AU$8),NOT(frame($C49,$D49,VLOOKUP(VLOOKUP(AW$26,FT[],9),Teachers[],MOD(COLUMN(AT49),6)+1)))),1,0)</f>
        <v>0</v>
      </c>
      <c r="AX49" s="6">
        <f>IF(AND(frame($C49,$D49,AV$8),NOT(frame($C49,$D49,VLOOKUP(VLOOKUP(AX$26,FT[],9),Teachers[],MOD(COLUMN(AU49),6)+1)))),1,0)</f>
        <v>0</v>
      </c>
      <c r="AY49" s="6">
        <f>IF(AND(frame($C49,$D49,AW$8),NOT(frame($C49,$D49,VLOOKUP(VLOOKUP(AY$26,FT[],9),Teachers[],MOD(COLUMN(AV49),6)+1)))),1,0)</f>
        <v>0</v>
      </c>
      <c r="AZ49" s="6">
        <f>IF(AND(frame($C49,$D49,AX$8),NOT(frame($C49,$D49,VLOOKUP(VLOOKUP(AZ$26,FT[],9),Teachers[],MOD(COLUMN(AW49),6)+1)))),1,0)</f>
        <v>0</v>
      </c>
      <c r="BA49" s="6">
        <f>IF(AND(frame($C49,$D49,AY$8),NOT(frame($C49,$D49,VLOOKUP(VLOOKUP(BA$26,FT[],9),Teachers[],MOD(COLUMN(AX49),6)+1)))),1,0)</f>
        <v>0</v>
      </c>
      <c r="BB49" s="6">
        <f>IF(AND(frame($C49,$D49,AZ$8),NOT(frame($C49,$D49,VLOOKUP(VLOOKUP(BB$26,FT[],9),Teachers[],MOD(COLUMN(AY49),6)+1)))),1,0)</f>
        <v>0</v>
      </c>
      <c r="BC49" s="6">
        <f>IF(AND(frame($C49,$D49,BA$8),NOT(frame($C49,$D49,VLOOKUP(VLOOKUP(BC$26,FT[],9),Teachers[],MOD(COLUMN(AZ49),6)+1)))),1,0)</f>
        <v>0</v>
      </c>
      <c r="BD49" s="6">
        <f>IF(AND(frame($C49,$D49,BB$8),NOT(frame($C49,$D49,VLOOKUP(VLOOKUP(BD$26,FT[],9),Teachers[],MOD(COLUMN(BA49),6)+1)))),1,0)</f>
        <v>0</v>
      </c>
      <c r="BE49" s="6">
        <f>IF(AND(frame($C49,$D49,BC$8),NOT(frame($C49,$D49,VLOOKUP(VLOOKUP(BE$26,FT[],9),Teachers[],MOD(COLUMN(BB49),6)+1)))),1,0)</f>
        <v>0</v>
      </c>
      <c r="BF49" s="6">
        <f>IF(AND(frame($C49,$D49,BD$8),NOT(frame($C49,$D49,VLOOKUP(VLOOKUP(BF$26,FT[],9),Teachers[],MOD(COLUMN(BC49),6)+1)))),1,0)</f>
        <v>0</v>
      </c>
      <c r="BG49" s="6">
        <f>IF(AND(frame($C49,$D49,BE$8),NOT(frame($C49,$D49,VLOOKUP(VLOOKUP(BG$26,FT[],9),Teachers[],MOD(COLUMN(BD49),6)+1)))),1,0)</f>
        <v>0</v>
      </c>
      <c r="BH49" s="6">
        <f>IF(AND(frame($C49,$D49,BF$8),NOT(frame($C49,$D49,VLOOKUP(VLOOKUP(BH$26,FT[],9),Teachers[],MOD(COLUMN(BE49),6)+1)))),1,0)</f>
        <v>0</v>
      </c>
      <c r="BI49" s="6">
        <f>IF(AND(frame($C49,$D49,BG$8),NOT(frame($C49,$D49,VLOOKUP(VLOOKUP(BI$26,FT[],9),Teachers[],MOD(COLUMN(BF49),6)+1)))),1,0)</f>
        <v>0</v>
      </c>
      <c r="BJ49" s="6">
        <f>IF(AND(frame($C49,$D49,BH$8),NOT(frame($C49,$D49,VLOOKUP(VLOOKUP(BJ$26,FT[],9),Teachers[],MOD(COLUMN(BG49),6)+1)))),1,0)</f>
        <v>0</v>
      </c>
      <c r="BK49" s="6">
        <f>IF(AND(frame($C49,$D49,BI$8),NOT(frame($C49,$D49,VLOOKUP(VLOOKUP(BK$26,FT[],9),Teachers[],MOD(COLUMN(BH49),6)+1)))),1,0)</f>
        <v>0</v>
      </c>
      <c r="BL49" s="6">
        <f>IF(AND(frame($C49,$D49,BJ$8),NOT(frame($C49,$D49,VLOOKUP(VLOOKUP(BL$26,FT[],9),Teachers[],MOD(COLUMN(BI49),6)+1)))),1,0)</f>
        <v>0</v>
      </c>
    </row>
    <row r="50" spans="2:64" ht="15.75" thickBot="1">
      <c r="B50" s="1">
        <v>23</v>
      </c>
      <c r="C50" s="9">
        <v>0.55208333333333326</v>
      </c>
      <c r="D50" s="9">
        <v>0.58333333333333326</v>
      </c>
      <c r="E50" s="6" t="e">
        <f ca="1">frame(СВ[[#This Row],[49]],СВ[[#This Row],[Столбец1]],C29,C43)</f>
        <v>#NAME?</v>
      </c>
      <c r="F50" s="6">
        <f>IF(AND(frame($C50,$D50,D$7),NOT(frame($C50,$D50,VLOOKUP(VLOOKUP(F$26,FT[],9),Teachers[],MOD(COLUMN(B50),6)+1)))),1,0)</f>
        <v>0</v>
      </c>
      <c r="G50" s="6">
        <f>IF(AND(frame($C50,$D50,E$7),NOT(frame($C50,$D50,VLOOKUP(VLOOKUP(G$26,FT[],9),Teachers[],MOD(COLUMN(C50),6)+1)))),1,0)</f>
        <v>0</v>
      </c>
      <c r="H50" s="6">
        <f>IF(AND(frame($C50,$D50,F$7),NOT(frame($C50,$D50,VLOOKUP(VLOOKUP(H$26,FT[],9),Teachers[],MOD(COLUMN(D50),6)+1)))),1,0)</f>
        <v>0</v>
      </c>
      <c r="I50" s="6" t="e">
        <f ca="1">IF(AND(frame($C50,$D50,G$7),NOT(frame($C50,$D50,VLOOKUP(VLOOKUP(I$26,FT[],9),Teachers[],MOD(COLUMN(E50),6)+1)))),1,0)</f>
        <v>#NAME?</v>
      </c>
      <c r="J50" s="6">
        <f>IF(AND(frame($C50,$D50,H$7),NOT(frame($C50,$D50,VLOOKUP(VLOOKUP(J$26,FT[],9),Teachers[],MOD(COLUMN(F50),6)+1)))),1,0)</f>
        <v>1</v>
      </c>
      <c r="K50" s="6">
        <f>IF(AND(frame($C50,$D50,I$8),NOT(frame($C50,$D50,VLOOKUP(VLOOKUP(K$26,FT[],9),Teachers[],MOD(COLUMN(H50),6)+1)))),1,0)</f>
        <v>0</v>
      </c>
      <c r="L50" s="1">
        <f t="shared" si="9"/>
        <v>0</v>
      </c>
      <c r="M50" s="6">
        <f>IF(AND(frame($C50,$D50,K$8),NOT(frame($C50,$D50,VLOOKUP(VLOOKUP(M$26,FT[],9),Teachers[],MOD(COLUMN(J50),6)+1)))),1,0)</f>
        <v>0</v>
      </c>
      <c r="N50" s="6">
        <f>IF(AND(frame($C50,$D50,L$8),NOT(frame($C50,$D50,VLOOKUP(VLOOKUP(N$26,FT[],9),Teachers[],MOD(COLUMN(K50),6)+1)))),1,0)</f>
        <v>0</v>
      </c>
      <c r="O50" s="6">
        <f>IF(AND(frame($C50,$D50,M$8),NOT(frame($C50,$D50,VLOOKUP(VLOOKUP(O$26,FT[],9),Teachers[],MOD(COLUMN(L50),6)+1)))),1,0)</f>
        <v>0</v>
      </c>
      <c r="P50" s="6">
        <f>IF(AND(frame($C50,$D50,N$8),NOT(frame($C50,$D50,VLOOKUP(VLOOKUP(P$26,FT[],9),Teachers[],MOD(COLUMN(M50),6)+1)))),1,0)</f>
        <v>0</v>
      </c>
      <c r="Q50" s="6">
        <f>IF(AND(frame($C50,$D50,O$8),NOT(frame($C50,$D50,VLOOKUP(VLOOKUP(Q$26,FT[],9),Teachers[],MOD(COLUMN(N50),6)+1)))),1,0)</f>
        <v>0</v>
      </c>
      <c r="R50" s="65">
        <f t="shared" si="10"/>
        <v>0</v>
      </c>
      <c r="S50" s="6">
        <f>IF(AND(frame($C50,$D50,Q$8),NOT(frame($C50,$D50,VLOOKUP(VLOOKUP(S$26,FT[],9),Teachers[],MOD(COLUMN(P50),6)+1)))),1,0)</f>
        <v>0</v>
      </c>
      <c r="T50" s="6">
        <f>IF(AND(frame($C50,$D50,R$8),NOT(frame($C50,$D50,VLOOKUP(VLOOKUP(T$26,FT[],9),Teachers[],MOD(COLUMN(Q50),6)+1)))),1,0)</f>
        <v>0</v>
      </c>
      <c r="U50" s="6">
        <f>IF(AND(frame($C50,$D50,S$8),NOT(frame($C50,$D50,VLOOKUP(VLOOKUP(U$26,FT[],9),Teachers[],MOD(COLUMN(R50),6)+1)))),1,0)</f>
        <v>0</v>
      </c>
      <c r="V50" s="6">
        <f>IF(AND(frame($C50,$D50,T$8),NOT(frame($C50,$D50,VLOOKUP(VLOOKUP(V$26,FT[],9),Teachers[],MOD(COLUMN(S50),6)+1)))),1,0)</f>
        <v>0</v>
      </c>
      <c r="W50" s="6">
        <f>IF(AND(frame($C50,$D50,U$8),NOT(frame($C50,$D50,VLOOKUP(VLOOKUP(W$26,FT[],9),Teachers[],MOD(COLUMN(T50),6)+1)))),1,0)</f>
        <v>0</v>
      </c>
      <c r="X50" s="6">
        <f>IF(AND(frame($C50,$D50,V$8),NOT(frame($C50,$D50,VLOOKUP(VLOOKUP(X$26,FT[],9),Teachers[],MOD(COLUMN(U50),6)+1)))),1,0)</f>
        <v>0</v>
      </c>
      <c r="Y50" s="6">
        <f>IF(AND(frame($C50,$D50,W$8),NOT(frame($C50,$D50,VLOOKUP(VLOOKUP(Y$26,FT[],9),Teachers[],MOD(COLUMN(V50),6)+1)))),1,0)</f>
        <v>0</v>
      </c>
      <c r="Z50" s="6">
        <f>IF(AND(frame($C50,$D50,X$8),NOT(frame($C50,$D50,VLOOKUP(VLOOKUP(Z$26,FT[],9),Teachers[],MOD(COLUMN(W50),6)+1)))),1,0)</f>
        <v>0</v>
      </c>
      <c r="AA50" s="6">
        <f>IF(AND(frame($C50,$D50,Y$8),NOT(frame($C50,$D50,VLOOKUP(VLOOKUP(AA$26,FT[],9),Teachers[],MOD(COLUMN(X50),6)+1)))),1,0)</f>
        <v>0</v>
      </c>
      <c r="AB50" s="6">
        <f>IF(AND(frame($C50,$D50,Z$8),NOT(frame($C50,$D50,VLOOKUP(VLOOKUP(AB$26,FT[],9),Teachers[],MOD(COLUMN(Y50),6)+1)))),1,0)</f>
        <v>0</v>
      </c>
      <c r="AC50" s="6">
        <f>IF(AND(frame($C50,$D50,AA$8),NOT(frame($C50,$D50,VLOOKUP(VLOOKUP(AC$26,FT[],9),Teachers[],MOD(COLUMN(Z50),6)+1)))),1,0)</f>
        <v>0</v>
      </c>
      <c r="AD50" s="6">
        <f>IF(AND(frame($C50,$D50,AB$8),NOT(frame($C50,$D50,VLOOKUP(VLOOKUP(AD$26,FT[],9),Teachers[],MOD(COLUMN(AA50),6)+1)))),1,0)</f>
        <v>0</v>
      </c>
      <c r="AE50" s="6">
        <f>IF(AND(frame($C50,$D50,AC$8),NOT(frame($C50,$D50,VLOOKUP(VLOOKUP(AE$26,FT[],9),Teachers[],MOD(COLUMN(AB50),6)+1)))),1,0)</f>
        <v>0</v>
      </c>
      <c r="AF50" s="6">
        <f>IF(AND(frame($C50,$D50,AD$8),NOT(frame($C50,$D50,VLOOKUP(VLOOKUP(AF$26,FT[],9),Teachers[],MOD(COLUMN(AC50),6)+1)))),1,0)</f>
        <v>0</v>
      </c>
      <c r="AG50" s="6">
        <f>IF(AND(frame($C50,$D50,AE$8),NOT(frame($C50,$D50,VLOOKUP(VLOOKUP(AG$26,FT[],9),Teachers[],MOD(COLUMN(AD50),6)+1)))),1,0)</f>
        <v>0</v>
      </c>
      <c r="AH50" s="6">
        <f>IF(AND(frame($C50,$D50,AF$8),NOT(frame($C50,$D50,VLOOKUP(VLOOKUP(AH$26,FT[],9),Teachers[],MOD(COLUMN(AE50),6)+1)))),1,0)</f>
        <v>0</v>
      </c>
      <c r="AI50" s="6">
        <f>IF(AND(frame($C50,$D50,AG$8),NOT(frame($C50,$D50,VLOOKUP(VLOOKUP(AI$26,FT[],9),Teachers[],MOD(COLUMN(AF50),6)+1)))),1,0)</f>
        <v>0</v>
      </c>
      <c r="AJ50" s="6">
        <f>IF(AND(frame($C50,$D50,AH$8),NOT(frame($C50,$D50,VLOOKUP(VLOOKUP(AJ$26,FT[],9),Teachers[],MOD(COLUMN(AG50),6)+1)))),1,0)</f>
        <v>0</v>
      </c>
      <c r="AK50" s="6">
        <f>IF(AND(frame($C50,$D50,AI$8),NOT(frame($C50,$D50,VLOOKUP(VLOOKUP(AK$26,FT[],9),Teachers[],MOD(COLUMN(AH50),6)+1)))),1,0)</f>
        <v>0</v>
      </c>
      <c r="AL50" s="6">
        <f>IF(AND(frame($C50,$D50,AJ$8),NOT(frame($C50,$D50,VLOOKUP(VLOOKUP(AL$26,FT[],9),Teachers[],MOD(COLUMN(AI50),6)+1)))),1,0)</f>
        <v>0</v>
      </c>
      <c r="AM50" s="6">
        <f>IF(AND(frame($C50,$D50,AK$8),NOT(frame($C50,$D50,VLOOKUP(VLOOKUP(AM$26,FT[],9),Teachers[],MOD(COLUMN(AJ50),6)+1)))),1,0)</f>
        <v>0</v>
      </c>
      <c r="AN50" s="6">
        <f>IF(AND(frame($C50,$D50,AL$8),NOT(frame($C50,$D50,VLOOKUP(VLOOKUP(AN$26,FT[],9),Teachers[],MOD(COLUMN(AK50),6)+1)))),1,0)</f>
        <v>0</v>
      </c>
      <c r="AO50" s="6">
        <f>IF(AND(frame($C50,$D50,AM$8),NOT(frame($C50,$D50,VLOOKUP(VLOOKUP(AO$26,FT[],9),Teachers[],MOD(COLUMN(AL50),6)+1)))),1,0)</f>
        <v>0</v>
      </c>
      <c r="AP50" s="66">
        <f t="shared" si="11"/>
        <v>0</v>
      </c>
      <c r="AQ50" s="6">
        <f>IF(AND(frame($C50,$D50,AO$8),NOT(frame($C50,$D50,VLOOKUP(VLOOKUP(AQ$26,FT[],9),Teachers[],MOD(COLUMN(AN50),6)+1)))),1,0)</f>
        <v>0</v>
      </c>
      <c r="AR50" s="6">
        <f>IF(AND(frame($C50,$D50,AP$8),NOT(frame($C50,$D50,VLOOKUP(VLOOKUP(AR$26,FT[],9),Teachers[],MOD(COLUMN(AO50),6)+1)))),1,0)</f>
        <v>0</v>
      </c>
      <c r="AS50" s="6">
        <f>IF(AND(frame($C50,$D50,AQ$8),NOT(frame($C50,$D50,VLOOKUP(VLOOKUP(AS$26,FT[],9),Teachers[],MOD(COLUMN(AP50),6)+1)))),1,0)</f>
        <v>0</v>
      </c>
      <c r="AT50" s="6">
        <f>IF(AND(frame($C50,$D50,AR$8),NOT(frame($C50,$D50,VLOOKUP(VLOOKUP(AT$26,FT[],9),Teachers[],MOD(COLUMN(AQ50),6)+1)))),1,0)</f>
        <v>0</v>
      </c>
      <c r="AU50" s="6">
        <f>IF(AND(frame($C50,$D50,AS$8),NOT(frame($C50,$D50,VLOOKUP(VLOOKUP(AU$26,FT[],9),Teachers[],MOD(COLUMN(AR50),6)+1)))),1,0)</f>
        <v>0</v>
      </c>
      <c r="AV50" s="6">
        <f>IF(AND(frame($C50,$D50,AT$8),NOT(frame($C50,$D50,VLOOKUP(VLOOKUP(AV$26,FT[],9),Teachers[],MOD(COLUMN(AS50),6)+1)))),1,0)</f>
        <v>0</v>
      </c>
      <c r="AW50" s="6">
        <f>IF(AND(frame($C50,$D50,AU$8),NOT(frame($C50,$D50,VLOOKUP(VLOOKUP(AW$26,FT[],9),Teachers[],MOD(COLUMN(AT50),6)+1)))),1,0)</f>
        <v>0</v>
      </c>
      <c r="AX50" s="6">
        <f>IF(AND(frame($C50,$D50,AV$8),NOT(frame($C50,$D50,VLOOKUP(VLOOKUP(AX$26,FT[],9),Teachers[],MOD(COLUMN(AU50),6)+1)))),1,0)</f>
        <v>0</v>
      </c>
      <c r="AY50" s="6">
        <f>IF(AND(frame($C50,$D50,AW$8),NOT(frame($C50,$D50,VLOOKUP(VLOOKUP(AY$26,FT[],9),Teachers[],MOD(COLUMN(AV50),6)+1)))),1,0)</f>
        <v>0</v>
      </c>
      <c r="AZ50" s="6">
        <f>IF(AND(frame($C50,$D50,AX$8),NOT(frame($C50,$D50,VLOOKUP(VLOOKUP(AZ$26,FT[],9),Teachers[],MOD(COLUMN(AW50),6)+1)))),1,0)</f>
        <v>0</v>
      </c>
      <c r="BA50" s="6">
        <f>IF(AND(frame($C50,$D50,AY$8),NOT(frame($C50,$D50,VLOOKUP(VLOOKUP(BA$26,FT[],9),Teachers[],MOD(COLUMN(AX50),6)+1)))),1,0)</f>
        <v>0</v>
      </c>
      <c r="BB50" s="6">
        <f>IF(AND(frame($C50,$D50,AZ$8),NOT(frame($C50,$D50,VLOOKUP(VLOOKUP(BB$26,FT[],9),Teachers[],MOD(COLUMN(AY50),6)+1)))),1,0)</f>
        <v>0</v>
      </c>
      <c r="BC50" s="6">
        <f>IF(AND(frame($C50,$D50,BA$8),NOT(frame($C50,$D50,VLOOKUP(VLOOKUP(BC$26,FT[],9),Teachers[],MOD(COLUMN(AZ50),6)+1)))),1,0)</f>
        <v>0</v>
      </c>
      <c r="BD50" s="6">
        <f>IF(AND(frame($C50,$D50,BB$8),NOT(frame($C50,$D50,VLOOKUP(VLOOKUP(BD$26,FT[],9),Teachers[],MOD(COLUMN(BA50),6)+1)))),1,0)</f>
        <v>0</v>
      </c>
      <c r="BE50" s="6">
        <f>IF(AND(frame($C50,$D50,BC$8),NOT(frame($C50,$D50,VLOOKUP(VLOOKUP(BE$26,FT[],9),Teachers[],MOD(COLUMN(BB50),6)+1)))),1,0)</f>
        <v>0</v>
      </c>
      <c r="BF50" s="6">
        <f>IF(AND(frame($C50,$D50,BD$8),NOT(frame($C50,$D50,VLOOKUP(VLOOKUP(BF$26,FT[],9),Teachers[],MOD(COLUMN(BC50),6)+1)))),1,0)</f>
        <v>0</v>
      </c>
      <c r="BG50" s="6">
        <f>IF(AND(frame($C50,$D50,BE$8),NOT(frame($C50,$D50,VLOOKUP(VLOOKUP(BG$26,FT[],9),Teachers[],MOD(COLUMN(BD50),6)+1)))),1,0)</f>
        <v>0</v>
      </c>
      <c r="BH50" s="6">
        <f>IF(AND(frame($C50,$D50,BF$8),NOT(frame($C50,$D50,VLOOKUP(VLOOKUP(BH$26,FT[],9),Teachers[],MOD(COLUMN(BE50),6)+1)))),1,0)</f>
        <v>0</v>
      </c>
      <c r="BI50" s="6">
        <f>IF(AND(frame($C50,$D50,BG$8),NOT(frame($C50,$D50,VLOOKUP(VLOOKUP(BI$26,FT[],9),Teachers[],MOD(COLUMN(BF50),6)+1)))),1,0)</f>
        <v>0</v>
      </c>
      <c r="BJ50" s="6">
        <f>IF(AND(frame($C50,$D50,BH$8),NOT(frame($C50,$D50,VLOOKUP(VLOOKUP(BJ$26,FT[],9),Teachers[],MOD(COLUMN(BG50),6)+1)))),1,0)</f>
        <v>0</v>
      </c>
      <c r="BK50" s="6">
        <f>IF(AND(frame($C50,$D50,BI$8),NOT(frame($C50,$D50,VLOOKUP(VLOOKUP(BK$26,FT[],9),Teachers[],MOD(COLUMN(BH50),6)+1)))),1,0)</f>
        <v>0</v>
      </c>
      <c r="BL50" s="6">
        <f>IF(AND(frame($C50,$D50,BJ$8),NOT(frame($C50,$D50,VLOOKUP(VLOOKUP(BL$26,FT[],9),Teachers[],MOD(COLUMN(BI50),6)+1)))),1,0)</f>
        <v>0</v>
      </c>
    </row>
    <row r="51" spans="2:64" ht="15.75" thickBot="1">
      <c r="B51" s="1">
        <v>24</v>
      </c>
      <c r="C51" s="9">
        <v>0.5625</v>
      </c>
      <c r="D51" s="9">
        <v>0.59374999999999989</v>
      </c>
      <c r="E51" s="6" t="e">
        <f ca="1">frame(СВ[[#This Row],[49]],СВ[[#This Row],[Столбец1]],C30,C44)</f>
        <v>#NAME?</v>
      </c>
      <c r="F51" s="6">
        <f>IF(AND(frame($C51,$D51,D$7),NOT(frame($C51,$D51,VLOOKUP(VLOOKUP(F$26,FT[],9),Teachers[],MOD(COLUMN(B51),6)+1)))),1,0)</f>
        <v>0</v>
      </c>
      <c r="G51" s="6">
        <f>IF(AND(frame($C51,$D51,E$7),NOT(frame($C51,$D51,VLOOKUP(VLOOKUP(G$26,FT[],9),Teachers[],MOD(COLUMN(C51),6)+1)))),1,0)</f>
        <v>0</v>
      </c>
      <c r="H51" s="6">
        <f>IF(AND(frame($C51,$D51,F$7),NOT(frame($C51,$D51,VLOOKUP(VLOOKUP(H$26,FT[],9),Teachers[],MOD(COLUMN(D51),6)+1)))),1,0)</f>
        <v>0</v>
      </c>
      <c r="I51" s="6" t="e">
        <f ca="1">IF(AND(frame($C51,$D51,G$7),NOT(frame($C51,$D51,VLOOKUP(VLOOKUP(I$26,FT[],9),Teachers[],MOD(COLUMN(E51),6)+1)))),1,0)</f>
        <v>#NAME?</v>
      </c>
      <c r="J51" s="6">
        <f>IF(AND(frame($C51,$D51,H$7),NOT(frame($C51,$D51,VLOOKUP(VLOOKUP(J$26,FT[],9),Teachers[],MOD(COLUMN(F51),6)+1)))),1,0)</f>
        <v>1</v>
      </c>
      <c r="K51" s="6">
        <f>IF(AND(frame($C51,$D51,I$8),NOT(frame($C51,$D51,VLOOKUP(VLOOKUP(K$26,FT[],9),Teachers[],MOD(COLUMN(H51),6)+1)))),1,0)</f>
        <v>0</v>
      </c>
      <c r="L51" s="1">
        <f t="shared" si="9"/>
        <v>0</v>
      </c>
      <c r="M51" s="6">
        <f>IF(AND(frame($C51,$D51,K$8),NOT(frame($C51,$D51,VLOOKUP(VLOOKUP(M$26,FT[],9),Teachers[],MOD(COLUMN(J51),6)+1)))),1,0)</f>
        <v>0</v>
      </c>
      <c r="N51" s="6">
        <f>IF(AND(frame($C51,$D51,L$8),NOT(frame($C51,$D51,VLOOKUP(VLOOKUP(N$26,FT[],9),Teachers[],MOD(COLUMN(K51),6)+1)))),1,0)</f>
        <v>0</v>
      </c>
      <c r="O51" s="6">
        <f>IF(AND(frame($C51,$D51,M$8),NOT(frame($C51,$D51,VLOOKUP(VLOOKUP(O$26,FT[],9),Teachers[],MOD(COLUMN(L51),6)+1)))),1,0)</f>
        <v>0</v>
      </c>
      <c r="P51" s="6">
        <f>IF(AND(frame($C51,$D51,N$8),NOT(frame($C51,$D51,VLOOKUP(VLOOKUP(P$26,FT[],9),Teachers[],MOD(COLUMN(M51),6)+1)))),1,0)</f>
        <v>0</v>
      </c>
      <c r="Q51" s="6">
        <f>IF(AND(frame($C51,$D51,O$8),NOT(frame($C51,$D51,VLOOKUP(VLOOKUP(Q$26,FT[],9),Teachers[],MOD(COLUMN(N51),6)+1)))),1,0)</f>
        <v>0</v>
      </c>
      <c r="R51" s="65">
        <f t="shared" si="10"/>
        <v>0</v>
      </c>
      <c r="S51" s="6">
        <f>IF(AND(frame($C51,$D51,Q$8),NOT(frame($C51,$D51,VLOOKUP(VLOOKUP(S$26,FT[],9),Teachers[],MOD(COLUMN(P51),6)+1)))),1,0)</f>
        <v>0</v>
      </c>
      <c r="T51" s="6">
        <f>IF(AND(frame($C51,$D51,R$8),NOT(frame($C51,$D51,VLOOKUP(VLOOKUP(T$26,FT[],9),Teachers[],MOD(COLUMN(Q51),6)+1)))),1,0)</f>
        <v>0</v>
      </c>
      <c r="U51" s="6">
        <f>IF(AND(frame($C51,$D51,S$8),NOT(frame($C51,$D51,VLOOKUP(VLOOKUP(U$26,FT[],9),Teachers[],MOD(COLUMN(R51),6)+1)))),1,0)</f>
        <v>0</v>
      </c>
      <c r="V51" s="6">
        <f>IF(AND(frame($C51,$D51,T$8),NOT(frame($C51,$D51,VLOOKUP(VLOOKUP(V$26,FT[],9),Teachers[],MOD(COLUMN(S51),6)+1)))),1,0)</f>
        <v>0</v>
      </c>
      <c r="W51" s="6">
        <f>IF(AND(frame($C51,$D51,U$8),NOT(frame($C51,$D51,VLOOKUP(VLOOKUP(W$26,FT[],9),Teachers[],MOD(COLUMN(T51),6)+1)))),1,0)</f>
        <v>0</v>
      </c>
      <c r="X51" s="6">
        <f>IF(AND(frame($C51,$D51,V$8),NOT(frame($C51,$D51,VLOOKUP(VLOOKUP(X$26,FT[],9),Teachers[],MOD(COLUMN(U51),6)+1)))),1,0)</f>
        <v>0</v>
      </c>
      <c r="Y51" s="6">
        <f>IF(AND(frame($C51,$D51,W$8),NOT(frame($C51,$D51,VLOOKUP(VLOOKUP(Y$26,FT[],9),Teachers[],MOD(COLUMN(V51),6)+1)))),1,0)</f>
        <v>0</v>
      </c>
      <c r="Z51" s="6">
        <f>IF(AND(frame($C51,$D51,X$8),NOT(frame($C51,$D51,VLOOKUP(VLOOKUP(Z$26,FT[],9),Teachers[],MOD(COLUMN(W51),6)+1)))),1,0)</f>
        <v>0</v>
      </c>
      <c r="AA51" s="6">
        <f>IF(AND(frame($C51,$D51,Y$8),NOT(frame($C51,$D51,VLOOKUP(VLOOKUP(AA$26,FT[],9),Teachers[],MOD(COLUMN(X51),6)+1)))),1,0)</f>
        <v>0</v>
      </c>
      <c r="AB51" s="6">
        <f>IF(AND(frame($C51,$D51,Z$8),NOT(frame($C51,$D51,VLOOKUP(VLOOKUP(AB$26,FT[],9),Teachers[],MOD(COLUMN(Y51),6)+1)))),1,0)</f>
        <v>0</v>
      </c>
      <c r="AC51" s="6">
        <f>IF(AND(frame($C51,$D51,AA$8),NOT(frame($C51,$D51,VLOOKUP(VLOOKUP(AC$26,FT[],9),Teachers[],MOD(COLUMN(Z51),6)+1)))),1,0)</f>
        <v>0</v>
      </c>
      <c r="AD51" s="6">
        <f>IF(AND(frame($C51,$D51,AB$8),NOT(frame($C51,$D51,VLOOKUP(VLOOKUP(AD$26,FT[],9),Teachers[],MOD(COLUMN(AA51),6)+1)))),1,0)</f>
        <v>0</v>
      </c>
      <c r="AE51" s="6">
        <f>IF(AND(frame($C51,$D51,AC$8),NOT(frame($C51,$D51,VLOOKUP(VLOOKUP(AE$26,FT[],9),Teachers[],MOD(COLUMN(AB51),6)+1)))),1,0)</f>
        <v>0</v>
      </c>
      <c r="AF51" s="6">
        <f>IF(AND(frame($C51,$D51,AD$8),NOT(frame($C51,$D51,VLOOKUP(VLOOKUP(AF$26,FT[],9),Teachers[],MOD(COLUMN(AC51),6)+1)))),1,0)</f>
        <v>0</v>
      </c>
      <c r="AG51" s="6">
        <f>IF(AND(frame($C51,$D51,AE$8),NOT(frame($C51,$D51,VLOOKUP(VLOOKUP(AG$26,FT[],9),Teachers[],MOD(COLUMN(AD51),6)+1)))),1,0)</f>
        <v>0</v>
      </c>
      <c r="AH51" s="6">
        <f>IF(AND(frame($C51,$D51,AF$8),NOT(frame($C51,$D51,VLOOKUP(VLOOKUP(AH$26,FT[],9),Teachers[],MOD(COLUMN(AE51),6)+1)))),1,0)</f>
        <v>0</v>
      </c>
      <c r="AI51" s="6">
        <f>IF(AND(frame($C51,$D51,AG$8),NOT(frame($C51,$D51,VLOOKUP(VLOOKUP(AI$26,FT[],9),Teachers[],MOD(COLUMN(AF51),6)+1)))),1,0)</f>
        <v>0</v>
      </c>
      <c r="AJ51" s="6">
        <f>IF(AND(frame($C51,$D51,AH$8),NOT(frame($C51,$D51,VLOOKUP(VLOOKUP(AJ$26,FT[],9),Teachers[],MOD(COLUMN(AG51),6)+1)))),1,0)</f>
        <v>0</v>
      </c>
      <c r="AK51" s="6">
        <f>IF(AND(frame($C51,$D51,AI$8),NOT(frame($C51,$D51,VLOOKUP(VLOOKUP(AK$26,FT[],9),Teachers[],MOD(COLUMN(AH51),6)+1)))),1,0)</f>
        <v>0</v>
      </c>
      <c r="AL51" s="6">
        <f>IF(AND(frame($C51,$D51,AJ$8),NOT(frame($C51,$D51,VLOOKUP(VLOOKUP(AL$26,FT[],9),Teachers[],MOD(COLUMN(AI51),6)+1)))),1,0)</f>
        <v>0</v>
      </c>
      <c r="AM51" s="6">
        <f>IF(AND(frame($C51,$D51,AK$8),NOT(frame($C51,$D51,VLOOKUP(VLOOKUP(AM$26,FT[],9),Teachers[],MOD(COLUMN(AJ51),6)+1)))),1,0)</f>
        <v>0</v>
      </c>
      <c r="AN51" s="6">
        <f>IF(AND(frame($C51,$D51,AL$8),NOT(frame($C51,$D51,VLOOKUP(VLOOKUP(AN$26,FT[],9),Teachers[],MOD(COLUMN(AK51),6)+1)))),1,0)</f>
        <v>0</v>
      </c>
      <c r="AO51" s="6">
        <f>IF(AND(frame($C51,$D51,AM$8),NOT(frame($C51,$D51,VLOOKUP(VLOOKUP(AO$26,FT[],9),Teachers[],MOD(COLUMN(AL51),6)+1)))),1,0)</f>
        <v>0</v>
      </c>
      <c r="AP51" s="66">
        <f t="shared" si="11"/>
        <v>0</v>
      </c>
      <c r="AQ51" s="6">
        <f>IF(AND(frame($C51,$D51,AO$8),NOT(frame($C51,$D51,VLOOKUP(VLOOKUP(AQ$26,FT[],9),Teachers[],MOD(COLUMN(AN51),6)+1)))),1,0)</f>
        <v>0</v>
      </c>
      <c r="AR51" s="6">
        <f>IF(AND(frame($C51,$D51,AP$8),NOT(frame($C51,$D51,VLOOKUP(VLOOKUP(AR$26,FT[],9),Teachers[],MOD(COLUMN(AO51),6)+1)))),1,0)</f>
        <v>0</v>
      </c>
      <c r="AS51" s="6">
        <f>IF(AND(frame($C51,$D51,AQ$8),NOT(frame($C51,$D51,VLOOKUP(VLOOKUP(AS$26,FT[],9),Teachers[],MOD(COLUMN(AP51),6)+1)))),1,0)</f>
        <v>0</v>
      </c>
      <c r="AT51" s="6">
        <f>IF(AND(frame($C51,$D51,AR$8),NOT(frame($C51,$D51,VLOOKUP(VLOOKUP(AT$26,FT[],9),Teachers[],MOD(COLUMN(AQ51),6)+1)))),1,0)</f>
        <v>0</v>
      </c>
      <c r="AU51" s="6">
        <f>IF(AND(frame($C51,$D51,AS$8),NOT(frame($C51,$D51,VLOOKUP(VLOOKUP(AU$26,FT[],9),Teachers[],MOD(COLUMN(AR51),6)+1)))),1,0)</f>
        <v>0</v>
      </c>
      <c r="AV51" s="6">
        <f>IF(AND(frame($C51,$D51,AT$8),NOT(frame($C51,$D51,VLOOKUP(VLOOKUP(AV$26,FT[],9),Teachers[],MOD(COLUMN(AS51),6)+1)))),1,0)</f>
        <v>0</v>
      </c>
      <c r="AW51" s="6">
        <f>IF(AND(frame($C51,$D51,AU$8),NOT(frame($C51,$D51,VLOOKUP(VLOOKUP(AW$26,FT[],9),Teachers[],MOD(COLUMN(AT51),6)+1)))),1,0)</f>
        <v>0</v>
      </c>
      <c r="AX51" s="6">
        <f>IF(AND(frame($C51,$D51,AV$8),NOT(frame($C51,$D51,VLOOKUP(VLOOKUP(AX$26,FT[],9),Teachers[],MOD(COLUMN(AU51),6)+1)))),1,0)</f>
        <v>0</v>
      </c>
      <c r="AY51" s="6">
        <f>IF(AND(frame($C51,$D51,AW$8),NOT(frame($C51,$D51,VLOOKUP(VLOOKUP(AY$26,FT[],9),Teachers[],MOD(COLUMN(AV51),6)+1)))),1,0)</f>
        <v>0</v>
      </c>
      <c r="AZ51" s="6">
        <f>IF(AND(frame($C51,$D51,AX$8),NOT(frame($C51,$D51,VLOOKUP(VLOOKUP(AZ$26,FT[],9),Teachers[],MOD(COLUMN(AW51),6)+1)))),1,0)</f>
        <v>0</v>
      </c>
      <c r="BA51" s="6">
        <f>IF(AND(frame($C51,$D51,AY$8),NOT(frame($C51,$D51,VLOOKUP(VLOOKUP(BA$26,FT[],9),Teachers[],MOD(COLUMN(AX51),6)+1)))),1,0)</f>
        <v>0</v>
      </c>
      <c r="BB51" s="6">
        <f>IF(AND(frame($C51,$D51,AZ$8),NOT(frame($C51,$D51,VLOOKUP(VLOOKUP(BB$26,FT[],9),Teachers[],MOD(COLUMN(AY51),6)+1)))),1,0)</f>
        <v>0</v>
      </c>
      <c r="BC51" s="6">
        <f>IF(AND(frame($C51,$D51,BA$8),NOT(frame($C51,$D51,VLOOKUP(VLOOKUP(BC$26,FT[],9),Teachers[],MOD(COLUMN(AZ51),6)+1)))),1,0)</f>
        <v>0</v>
      </c>
      <c r="BD51" s="6">
        <f>IF(AND(frame($C51,$D51,BB$8),NOT(frame($C51,$D51,VLOOKUP(VLOOKUP(BD$26,FT[],9),Teachers[],MOD(COLUMN(BA51),6)+1)))),1,0)</f>
        <v>0</v>
      </c>
      <c r="BE51" s="6">
        <f>IF(AND(frame($C51,$D51,BC$8),NOT(frame($C51,$D51,VLOOKUP(VLOOKUP(BE$26,FT[],9),Teachers[],MOD(COLUMN(BB51),6)+1)))),1,0)</f>
        <v>0</v>
      </c>
      <c r="BF51" s="6">
        <f>IF(AND(frame($C51,$D51,BD$8),NOT(frame($C51,$D51,VLOOKUP(VLOOKUP(BF$26,FT[],9),Teachers[],MOD(COLUMN(BC51),6)+1)))),1,0)</f>
        <v>0</v>
      </c>
      <c r="BG51" s="6">
        <f>IF(AND(frame($C51,$D51,BE$8),NOT(frame($C51,$D51,VLOOKUP(VLOOKUP(BG$26,FT[],9),Teachers[],MOD(COLUMN(BD51),6)+1)))),1,0)</f>
        <v>0</v>
      </c>
      <c r="BH51" s="6">
        <f>IF(AND(frame($C51,$D51,BF$8),NOT(frame($C51,$D51,VLOOKUP(VLOOKUP(BH$26,FT[],9),Teachers[],MOD(COLUMN(BE51),6)+1)))),1,0)</f>
        <v>0</v>
      </c>
      <c r="BI51" s="6">
        <f>IF(AND(frame($C51,$D51,BG$8),NOT(frame($C51,$D51,VLOOKUP(VLOOKUP(BI$26,FT[],9),Teachers[],MOD(COLUMN(BF51),6)+1)))),1,0)</f>
        <v>0</v>
      </c>
      <c r="BJ51" s="6">
        <f>IF(AND(frame($C51,$D51,BH$8),NOT(frame($C51,$D51,VLOOKUP(VLOOKUP(BJ$26,FT[],9),Teachers[],MOD(COLUMN(BG51),6)+1)))),1,0)</f>
        <v>0</v>
      </c>
      <c r="BK51" s="6">
        <f>IF(AND(frame($C51,$D51,BI$8),NOT(frame($C51,$D51,VLOOKUP(VLOOKUP(BK$26,FT[],9),Teachers[],MOD(COLUMN(BH51),6)+1)))),1,0)</f>
        <v>0</v>
      </c>
      <c r="BL51" s="6">
        <f>IF(AND(frame($C51,$D51,BJ$8),NOT(frame($C51,$D51,VLOOKUP(VLOOKUP(BL$26,FT[],9),Teachers[],MOD(COLUMN(BI51),6)+1)))),1,0)</f>
        <v>0</v>
      </c>
    </row>
    <row r="52" spans="2:64" ht="15.75" thickBot="1">
      <c r="B52" s="1">
        <v>25</v>
      </c>
      <c r="C52" s="9">
        <v>0.57291666666666663</v>
      </c>
      <c r="D52" s="9">
        <v>0.60416666666666663</v>
      </c>
      <c r="E52" s="6" t="e">
        <f ca="1">frame(СВ[[#This Row],[49]],СВ[[#This Row],[Столбец1]],C31,C45)</f>
        <v>#NAME?</v>
      </c>
      <c r="F52" s="6">
        <f>IF(AND(frame($C52,$D52,D$7),NOT(frame($C52,$D52,VLOOKUP(VLOOKUP(F$26,FT[],9),Teachers[],MOD(COLUMN(B52),6)+1)))),1,0)</f>
        <v>0</v>
      </c>
      <c r="G52" s="6">
        <f>IF(AND(frame($C52,$D52,E$7),NOT(frame($C52,$D52,VLOOKUP(VLOOKUP(G$26,FT[],9),Teachers[],MOD(COLUMN(C52),6)+1)))),1,0)</f>
        <v>0</v>
      </c>
      <c r="H52" s="6">
        <f>IF(AND(frame($C52,$D52,F$7),NOT(frame($C52,$D52,VLOOKUP(VLOOKUP(H$26,FT[],9),Teachers[],MOD(COLUMN(D52),6)+1)))),1,0)</f>
        <v>0</v>
      </c>
      <c r="I52" s="6" t="e">
        <f ca="1">IF(AND(frame($C52,$D52,G$7),NOT(frame($C52,$D52,VLOOKUP(VLOOKUP(I$26,FT[],9),Teachers[],MOD(COLUMN(E52),6)+1)))),1,0)</f>
        <v>#NAME?</v>
      </c>
      <c r="J52" s="6">
        <f>IF(AND(frame($C52,$D52,H$7),NOT(frame($C52,$D52,VLOOKUP(VLOOKUP(J$26,FT[],9),Teachers[],MOD(COLUMN(F52),6)+1)))),1,0)</f>
        <v>1</v>
      </c>
      <c r="K52" s="6">
        <f>IF(AND(frame($C52,$D52,I$8),NOT(frame($C52,$D52,VLOOKUP(VLOOKUP(K$26,FT[],9),Teachers[],MOD(COLUMN(H52),6)+1)))),1,0)</f>
        <v>0</v>
      </c>
      <c r="L52" s="1">
        <f t="shared" si="9"/>
        <v>0</v>
      </c>
      <c r="M52" s="6">
        <f>IF(AND(frame($C52,$D52,K$8),NOT(frame($C52,$D52,VLOOKUP(VLOOKUP(M$26,FT[],9),Teachers[],MOD(COLUMN(J52),6)+1)))),1,0)</f>
        <v>0</v>
      </c>
      <c r="N52" s="6">
        <f>IF(AND(frame($C52,$D52,L$8),NOT(frame($C52,$D52,VLOOKUP(VLOOKUP(N$26,FT[],9),Teachers[],MOD(COLUMN(K52),6)+1)))),1,0)</f>
        <v>0</v>
      </c>
      <c r="O52" s="6">
        <f>IF(AND(frame($C52,$D52,M$8),NOT(frame($C52,$D52,VLOOKUP(VLOOKUP(O$26,FT[],9),Teachers[],MOD(COLUMN(L52),6)+1)))),1,0)</f>
        <v>0</v>
      </c>
      <c r="P52" s="6">
        <f>IF(AND(frame($C52,$D52,N$8),NOT(frame($C52,$D52,VLOOKUP(VLOOKUP(P$26,FT[],9),Teachers[],MOD(COLUMN(M52),6)+1)))),1,0)</f>
        <v>0</v>
      </c>
      <c r="Q52" s="6">
        <f>IF(AND(frame($C52,$D52,O$8),NOT(frame($C52,$D52,VLOOKUP(VLOOKUP(Q$26,FT[],9),Teachers[],MOD(COLUMN(N52),6)+1)))),1,0)</f>
        <v>0</v>
      </c>
      <c r="R52" s="65">
        <f t="shared" si="10"/>
        <v>0</v>
      </c>
      <c r="S52" s="6">
        <f>IF(AND(frame($C52,$D52,Q$8),NOT(frame($C52,$D52,VLOOKUP(VLOOKUP(S$26,FT[],9),Teachers[],MOD(COLUMN(P52),6)+1)))),1,0)</f>
        <v>0</v>
      </c>
      <c r="T52" s="6">
        <f>IF(AND(frame($C52,$D52,R$8),NOT(frame($C52,$D52,VLOOKUP(VLOOKUP(T$26,FT[],9),Teachers[],MOD(COLUMN(Q52),6)+1)))),1,0)</f>
        <v>0</v>
      </c>
      <c r="U52" s="6">
        <f>IF(AND(frame($C52,$D52,S$8),NOT(frame($C52,$D52,VLOOKUP(VLOOKUP(U$26,FT[],9),Teachers[],MOD(COLUMN(R52),6)+1)))),1,0)</f>
        <v>0</v>
      </c>
      <c r="V52" s="6">
        <f>IF(AND(frame($C52,$D52,T$8),NOT(frame($C52,$D52,VLOOKUP(VLOOKUP(V$26,FT[],9),Teachers[],MOD(COLUMN(S52),6)+1)))),1,0)</f>
        <v>0</v>
      </c>
      <c r="W52" s="6">
        <f>IF(AND(frame($C52,$D52,U$8),NOT(frame($C52,$D52,VLOOKUP(VLOOKUP(W$26,FT[],9),Teachers[],MOD(COLUMN(T52),6)+1)))),1,0)</f>
        <v>0</v>
      </c>
      <c r="X52" s="6">
        <f>IF(AND(frame($C52,$D52,V$8),NOT(frame($C52,$D52,VLOOKUP(VLOOKUP(X$26,FT[],9),Teachers[],MOD(COLUMN(U52),6)+1)))),1,0)</f>
        <v>0</v>
      </c>
      <c r="Y52" s="6">
        <f>IF(AND(frame($C52,$D52,W$8),NOT(frame($C52,$D52,VLOOKUP(VLOOKUP(Y$26,FT[],9),Teachers[],MOD(COLUMN(V52),6)+1)))),1,0)</f>
        <v>0</v>
      </c>
      <c r="Z52" s="6">
        <f>IF(AND(frame($C52,$D52,X$8),NOT(frame($C52,$D52,VLOOKUP(VLOOKUP(Z$26,FT[],9),Teachers[],MOD(COLUMN(W52),6)+1)))),1,0)</f>
        <v>0</v>
      </c>
      <c r="AA52" s="6">
        <f>IF(AND(frame($C52,$D52,Y$8),NOT(frame($C52,$D52,VLOOKUP(VLOOKUP(AA$26,FT[],9),Teachers[],MOD(COLUMN(X52),6)+1)))),1,0)</f>
        <v>0</v>
      </c>
      <c r="AB52" s="6">
        <f>IF(AND(frame($C52,$D52,Z$8),NOT(frame($C52,$D52,VLOOKUP(VLOOKUP(AB$26,FT[],9),Teachers[],MOD(COLUMN(Y52),6)+1)))),1,0)</f>
        <v>0</v>
      </c>
      <c r="AC52" s="6">
        <f>IF(AND(frame($C52,$D52,AA$8),NOT(frame($C52,$D52,VLOOKUP(VLOOKUP(AC$26,FT[],9),Teachers[],MOD(COLUMN(Z52),6)+1)))),1,0)</f>
        <v>0</v>
      </c>
      <c r="AD52" s="6">
        <f>IF(AND(frame($C52,$D52,AB$8),NOT(frame($C52,$D52,VLOOKUP(VLOOKUP(AD$26,FT[],9),Teachers[],MOD(COLUMN(AA52),6)+1)))),1,0)</f>
        <v>0</v>
      </c>
      <c r="AE52" s="6">
        <f>IF(AND(frame($C52,$D52,AC$8),NOT(frame($C52,$D52,VLOOKUP(VLOOKUP(AE$26,FT[],9),Teachers[],MOD(COLUMN(AB52),6)+1)))),1,0)</f>
        <v>0</v>
      </c>
      <c r="AF52" s="6">
        <f>IF(AND(frame($C52,$D52,AD$8),NOT(frame($C52,$D52,VLOOKUP(VLOOKUP(AF$26,FT[],9),Teachers[],MOD(COLUMN(AC52),6)+1)))),1,0)</f>
        <v>0</v>
      </c>
      <c r="AG52" s="6">
        <f>IF(AND(frame($C52,$D52,AE$8),NOT(frame($C52,$D52,VLOOKUP(VLOOKUP(AG$26,FT[],9),Teachers[],MOD(COLUMN(AD52),6)+1)))),1,0)</f>
        <v>0</v>
      </c>
      <c r="AH52" s="6">
        <f>IF(AND(frame($C52,$D52,AF$8),NOT(frame($C52,$D52,VLOOKUP(VLOOKUP(AH$26,FT[],9),Teachers[],MOD(COLUMN(AE52),6)+1)))),1,0)</f>
        <v>0</v>
      </c>
      <c r="AI52" s="6">
        <f>IF(AND(frame($C52,$D52,AG$8),NOT(frame($C52,$D52,VLOOKUP(VLOOKUP(AI$26,FT[],9),Teachers[],MOD(COLUMN(AF52),6)+1)))),1,0)</f>
        <v>0</v>
      </c>
      <c r="AJ52" s="6">
        <f>IF(AND(frame($C52,$D52,AH$8),NOT(frame($C52,$D52,VLOOKUP(VLOOKUP(AJ$26,FT[],9),Teachers[],MOD(COLUMN(AG52),6)+1)))),1,0)</f>
        <v>0</v>
      </c>
      <c r="AK52" s="6">
        <f>IF(AND(frame($C52,$D52,AI$8),NOT(frame($C52,$D52,VLOOKUP(VLOOKUP(AK$26,FT[],9),Teachers[],MOD(COLUMN(AH52),6)+1)))),1,0)</f>
        <v>0</v>
      </c>
      <c r="AL52" s="6">
        <f>IF(AND(frame($C52,$D52,AJ$8),NOT(frame($C52,$D52,VLOOKUP(VLOOKUP(AL$26,FT[],9),Teachers[],MOD(COLUMN(AI52),6)+1)))),1,0)</f>
        <v>0</v>
      </c>
      <c r="AM52" s="6">
        <f>IF(AND(frame($C52,$D52,AK$8),NOT(frame($C52,$D52,VLOOKUP(VLOOKUP(AM$26,FT[],9),Teachers[],MOD(COLUMN(AJ52),6)+1)))),1,0)</f>
        <v>0</v>
      </c>
      <c r="AN52" s="6">
        <f>IF(AND(frame($C52,$D52,AL$8),NOT(frame($C52,$D52,VLOOKUP(VLOOKUP(AN$26,FT[],9),Teachers[],MOD(COLUMN(AK52),6)+1)))),1,0)</f>
        <v>0</v>
      </c>
      <c r="AO52" s="6">
        <f>IF(AND(frame($C52,$D52,AM$8),NOT(frame($C52,$D52,VLOOKUP(VLOOKUP(AO$26,FT[],9),Teachers[],MOD(COLUMN(AL52),6)+1)))),1,0)</f>
        <v>0</v>
      </c>
      <c r="AP52" s="66">
        <f t="shared" si="11"/>
        <v>0</v>
      </c>
      <c r="AQ52" s="6">
        <f>IF(AND(frame($C52,$D52,AO$8),NOT(frame($C52,$D52,VLOOKUP(VLOOKUP(AQ$26,FT[],9),Teachers[],MOD(COLUMN(AN52),6)+1)))),1,0)</f>
        <v>0</v>
      </c>
      <c r="AR52" s="6">
        <f>IF(AND(frame($C52,$D52,AP$8),NOT(frame($C52,$D52,VLOOKUP(VLOOKUP(AR$26,FT[],9),Teachers[],MOD(COLUMN(AO52),6)+1)))),1,0)</f>
        <v>0</v>
      </c>
      <c r="AS52" s="6">
        <f>IF(AND(frame($C52,$D52,AQ$8),NOT(frame($C52,$D52,VLOOKUP(VLOOKUP(AS$26,FT[],9),Teachers[],MOD(COLUMN(AP52),6)+1)))),1,0)</f>
        <v>0</v>
      </c>
      <c r="AT52" s="6">
        <f>IF(AND(frame($C52,$D52,AR$8),NOT(frame($C52,$D52,VLOOKUP(VLOOKUP(AT$26,FT[],9),Teachers[],MOD(COLUMN(AQ52),6)+1)))),1,0)</f>
        <v>0</v>
      </c>
      <c r="AU52" s="6">
        <f>IF(AND(frame($C52,$D52,AS$8),NOT(frame($C52,$D52,VLOOKUP(VLOOKUP(AU$26,FT[],9),Teachers[],MOD(COLUMN(AR52),6)+1)))),1,0)</f>
        <v>0</v>
      </c>
      <c r="AV52" s="6">
        <f>IF(AND(frame($C52,$D52,AT$8),NOT(frame($C52,$D52,VLOOKUP(VLOOKUP(AV$26,FT[],9),Teachers[],MOD(COLUMN(AS52),6)+1)))),1,0)</f>
        <v>0</v>
      </c>
      <c r="AW52" s="6">
        <f>IF(AND(frame($C52,$D52,AU$8),NOT(frame($C52,$D52,VLOOKUP(VLOOKUP(AW$26,FT[],9),Teachers[],MOD(COLUMN(AT52),6)+1)))),1,0)</f>
        <v>0</v>
      </c>
      <c r="AX52" s="6">
        <f>IF(AND(frame($C52,$D52,AV$8),NOT(frame($C52,$D52,VLOOKUP(VLOOKUP(AX$26,FT[],9),Teachers[],MOD(COLUMN(AU52),6)+1)))),1,0)</f>
        <v>0</v>
      </c>
      <c r="AY52" s="6">
        <f>IF(AND(frame($C52,$D52,AW$8),NOT(frame($C52,$D52,VLOOKUP(VLOOKUP(AY$26,FT[],9),Teachers[],MOD(COLUMN(AV52),6)+1)))),1,0)</f>
        <v>0</v>
      </c>
      <c r="AZ52" s="6">
        <f>IF(AND(frame($C52,$D52,AX$8),NOT(frame($C52,$D52,VLOOKUP(VLOOKUP(AZ$26,FT[],9),Teachers[],MOD(COLUMN(AW52),6)+1)))),1,0)</f>
        <v>0</v>
      </c>
      <c r="BA52" s="6">
        <f>IF(AND(frame($C52,$D52,AY$8),NOT(frame($C52,$D52,VLOOKUP(VLOOKUP(BA$26,FT[],9),Teachers[],MOD(COLUMN(AX52),6)+1)))),1,0)</f>
        <v>0</v>
      </c>
      <c r="BB52" s="6">
        <f>IF(AND(frame($C52,$D52,AZ$8),NOT(frame($C52,$D52,VLOOKUP(VLOOKUP(BB$26,FT[],9),Teachers[],MOD(COLUMN(AY52),6)+1)))),1,0)</f>
        <v>0</v>
      </c>
      <c r="BC52" s="6">
        <f>IF(AND(frame($C52,$D52,BA$8),NOT(frame($C52,$D52,VLOOKUP(VLOOKUP(BC$26,FT[],9),Teachers[],MOD(COLUMN(AZ52),6)+1)))),1,0)</f>
        <v>0</v>
      </c>
      <c r="BD52" s="6">
        <f>IF(AND(frame($C52,$D52,BB$8),NOT(frame($C52,$D52,VLOOKUP(VLOOKUP(BD$26,FT[],9),Teachers[],MOD(COLUMN(BA52),6)+1)))),1,0)</f>
        <v>0</v>
      </c>
      <c r="BE52" s="6">
        <f>IF(AND(frame($C52,$D52,BC$8),NOT(frame($C52,$D52,VLOOKUP(VLOOKUP(BE$26,FT[],9),Teachers[],MOD(COLUMN(BB52),6)+1)))),1,0)</f>
        <v>0</v>
      </c>
      <c r="BF52" s="6">
        <f>IF(AND(frame($C52,$D52,BD$8),NOT(frame($C52,$D52,VLOOKUP(VLOOKUP(BF$26,FT[],9),Teachers[],MOD(COLUMN(BC52),6)+1)))),1,0)</f>
        <v>0</v>
      </c>
      <c r="BG52" s="6">
        <f>IF(AND(frame($C52,$D52,BE$8),NOT(frame($C52,$D52,VLOOKUP(VLOOKUP(BG$26,FT[],9),Teachers[],MOD(COLUMN(BD52),6)+1)))),1,0)</f>
        <v>0</v>
      </c>
      <c r="BH52" s="6">
        <f>IF(AND(frame($C52,$D52,BF$8),NOT(frame($C52,$D52,VLOOKUP(VLOOKUP(BH$26,FT[],9),Teachers[],MOD(COLUMN(BE52),6)+1)))),1,0)</f>
        <v>0</v>
      </c>
      <c r="BI52" s="6">
        <f>IF(AND(frame($C52,$D52,BG$8),NOT(frame($C52,$D52,VLOOKUP(VLOOKUP(BI$26,FT[],9),Teachers[],MOD(COLUMN(BF52),6)+1)))),1,0)</f>
        <v>0</v>
      </c>
      <c r="BJ52" s="6">
        <f>IF(AND(frame($C52,$D52,BH$8),NOT(frame($C52,$D52,VLOOKUP(VLOOKUP(BJ$26,FT[],9),Teachers[],MOD(COLUMN(BG52),6)+1)))),1,0)</f>
        <v>0</v>
      </c>
      <c r="BK52" s="6">
        <f>IF(AND(frame($C52,$D52,BI$8),NOT(frame($C52,$D52,VLOOKUP(VLOOKUP(BK$26,FT[],9),Teachers[],MOD(COLUMN(BH52),6)+1)))),1,0)</f>
        <v>0</v>
      </c>
      <c r="BL52" s="6">
        <f>IF(AND(frame($C52,$D52,BJ$8),NOT(frame($C52,$D52,VLOOKUP(VLOOKUP(BL$26,FT[],9),Teachers[],MOD(COLUMN(BI52),6)+1)))),1,0)</f>
        <v>0</v>
      </c>
    </row>
    <row r="53" spans="2:64" ht="15.75" thickBot="1">
      <c r="B53" s="1">
        <v>26</v>
      </c>
      <c r="C53" s="9">
        <v>0.58333333333333326</v>
      </c>
      <c r="D53" s="9">
        <v>0.62499999999999989</v>
      </c>
      <c r="E53" s="6" t="e">
        <f ca="1">frame(СВ[[#This Row],[49]],СВ[[#This Row],[Столбец1]],C32,C46)</f>
        <v>#NAME?</v>
      </c>
      <c r="F53" s="6">
        <f>IF(AND(frame($C53,$D53,D$7),NOT(frame($C53,$D53,VLOOKUP(VLOOKUP(F$26,FT[],9),Teachers[],MOD(COLUMN(B53),6)+1)))),1,0)</f>
        <v>1</v>
      </c>
      <c r="G53" s="6">
        <f>IF(AND(frame($C53,$D53,E$7),NOT(frame($C53,$D53,VLOOKUP(VLOOKUP(G$26,FT[],9),Teachers[],MOD(COLUMN(C53),6)+1)))),1,0)</f>
        <v>0</v>
      </c>
      <c r="H53" s="6">
        <f>IF(AND(frame($C53,$D53,F$7),NOT(frame($C53,$D53,VLOOKUP(VLOOKUP(H$26,FT[],9),Teachers[],MOD(COLUMN(D53),6)+1)))),1,0)</f>
        <v>0</v>
      </c>
      <c r="I53" s="6" t="e">
        <f ca="1">IF(AND(frame($C53,$D53,G$7),NOT(frame($C53,$D53,VLOOKUP(VLOOKUP(I$26,FT[],9),Teachers[],MOD(COLUMN(E53),6)+1)))),1,0)</f>
        <v>#NAME?</v>
      </c>
      <c r="J53" s="6">
        <f>IF(AND(frame($C53,$D53,H$7),NOT(frame($C53,$D53,VLOOKUP(VLOOKUP(J$26,FT[],9),Teachers[],MOD(COLUMN(F53),6)+1)))),1,0)</f>
        <v>1</v>
      </c>
      <c r="K53" s="6">
        <f>IF(AND(frame($C53,$D53,I$8),NOT(frame($C53,$D53,VLOOKUP(VLOOKUP(K$26,FT[],9),Teachers[],MOD(COLUMN(H53),6)+1)))),1,0)</f>
        <v>0</v>
      </c>
      <c r="L53" s="1">
        <f t="shared" si="9"/>
        <v>0</v>
      </c>
      <c r="M53" s="6">
        <f>IF(AND(frame($C53,$D53,K$8),NOT(frame($C53,$D53,VLOOKUP(VLOOKUP(M$26,FT[],9),Teachers[],MOD(COLUMN(J53),6)+1)))),1,0)</f>
        <v>0</v>
      </c>
      <c r="N53" s="6">
        <f>IF(AND(frame($C53,$D53,L$8),NOT(frame($C53,$D53,VLOOKUP(VLOOKUP(N$26,FT[],9),Teachers[],MOD(COLUMN(K53),6)+1)))),1,0)</f>
        <v>0</v>
      </c>
      <c r="O53" s="6">
        <f>IF(AND(frame($C53,$D53,M$8),NOT(frame($C53,$D53,VLOOKUP(VLOOKUP(O$26,FT[],9),Teachers[],MOD(COLUMN(L53),6)+1)))),1,0)</f>
        <v>0</v>
      </c>
      <c r="P53" s="6">
        <f>IF(AND(frame($C53,$D53,N$8),NOT(frame($C53,$D53,VLOOKUP(VLOOKUP(P$26,FT[],9),Teachers[],MOD(COLUMN(M53),6)+1)))),1,0)</f>
        <v>0</v>
      </c>
      <c r="Q53" s="6">
        <f>IF(AND(frame($C53,$D53,O$8),NOT(frame($C53,$D53,VLOOKUP(VLOOKUP(Q$26,FT[],9),Teachers[],MOD(COLUMN(N53),6)+1)))),1,0)</f>
        <v>0</v>
      </c>
      <c r="R53" s="65">
        <f t="shared" si="10"/>
        <v>0</v>
      </c>
      <c r="S53" s="6">
        <f>IF(AND(frame($C53,$D53,Q$8),NOT(frame($C53,$D53,VLOOKUP(VLOOKUP(S$26,FT[],9),Teachers[],MOD(COLUMN(P53),6)+1)))),1,0)</f>
        <v>0</v>
      </c>
      <c r="T53" s="6">
        <f>IF(AND(frame($C53,$D53,R$8),NOT(frame($C53,$D53,VLOOKUP(VLOOKUP(T$26,FT[],9),Teachers[],MOD(COLUMN(Q53),6)+1)))),1,0)</f>
        <v>0</v>
      </c>
      <c r="U53" s="6">
        <f>IF(AND(frame($C53,$D53,S$8),NOT(frame($C53,$D53,VLOOKUP(VLOOKUP(U$26,FT[],9),Teachers[],MOD(COLUMN(R53),6)+1)))),1,0)</f>
        <v>0</v>
      </c>
      <c r="V53" s="6">
        <f>IF(AND(frame($C53,$D53,T$8),NOT(frame($C53,$D53,VLOOKUP(VLOOKUP(V$26,FT[],9),Teachers[],MOD(COLUMN(S53),6)+1)))),1,0)</f>
        <v>0</v>
      </c>
      <c r="W53" s="6">
        <f>IF(AND(frame($C53,$D53,U$8),NOT(frame($C53,$D53,VLOOKUP(VLOOKUP(W$26,FT[],9),Teachers[],MOD(COLUMN(T53),6)+1)))),1,0)</f>
        <v>0</v>
      </c>
      <c r="X53" s="6">
        <f>IF(AND(frame($C53,$D53,V$8),NOT(frame($C53,$D53,VLOOKUP(VLOOKUP(X$26,FT[],9),Teachers[],MOD(COLUMN(U53),6)+1)))),1,0)</f>
        <v>0</v>
      </c>
      <c r="Y53" s="6">
        <f>IF(AND(frame($C53,$D53,W$8),NOT(frame($C53,$D53,VLOOKUP(VLOOKUP(Y$26,FT[],9),Teachers[],MOD(COLUMN(V53),6)+1)))),1,0)</f>
        <v>0</v>
      </c>
      <c r="Z53" s="6">
        <f>IF(AND(frame($C53,$D53,X$8),NOT(frame($C53,$D53,VLOOKUP(VLOOKUP(Z$26,FT[],9),Teachers[],MOD(COLUMN(W53),6)+1)))),1,0)</f>
        <v>0</v>
      </c>
      <c r="AA53" s="6">
        <f>IF(AND(frame($C53,$D53,Y$8),NOT(frame($C53,$D53,VLOOKUP(VLOOKUP(AA$26,FT[],9),Teachers[],MOD(COLUMN(X53),6)+1)))),1,0)</f>
        <v>0</v>
      </c>
      <c r="AB53" s="6">
        <f>IF(AND(frame($C53,$D53,Z$8),NOT(frame($C53,$D53,VLOOKUP(VLOOKUP(AB$26,FT[],9),Teachers[],MOD(COLUMN(Y53),6)+1)))),1,0)</f>
        <v>0</v>
      </c>
      <c r="AC53" s="6">
        <f>IF(AND(frame($C53,$D53,AA$8),NOT(frame($C53,$D53,VLOOKUP(VLOOKUP(AC$26,FT[],9),Teachers[],MOD(COLUMN(Z53),6)+1)))),1,0)</f>
        <v>0</v>
      </c>
      <c r="AD53" s="6">
        <f>IF(AND(frame($C53,$D53,AB$8),NOT(frame($C53,$D53,VLOOKUP(VLOOKUP(AD$26,FT[],9),Teachers[],MOD(COLUMN(AA53),6)+1)))),1,0)</f>
        <v>0</v>
      </c>
      <c r="AE53" s="6">
        <f>IF(AND(frame($C53,$D53,AC$8),NOT(frame($C53,$D53,VLOOKUP(VLOOKUP(AE$26,FT[],9),Teachers[],MOD(COLUMN(AB53),6)+1)))),1,0)</f>
        <v>0</v>
      </c>
      <c r="AF53" s="6">
        <f>IF(AND(frame($C53,$D53,AD$8),NOT(frame($C53,$D53,VLOOKUP(VLOOKUP(AF$26,FT[],9),Teachers[],MOD(COLUMN(AC53),6)+1)))),1,0)</f>
        <v>0</v>
      </c>
      <c r="AG53" s="6">
        <f>IF(AND(frame($C53,$D53,AE$8),NOT(frame($C53,$D53,VLOOKUP(VLOOKUP(AG$26,FT[],9),Teachers[],MOD(COLUMN(AD53),6)+1)))),1,0)</f>
        <v>0</v>
      </c>
      <c r="AH53" s="6">
        <f>IF(AND(frame($C53,$D53,AF$8),NOT(frame($C53,$D53,VLOOKUP(VLOOKUP(AH$26,FT[],9),Teachers[],MOD(COLUMN(AE53),6)+1)))),1,0)</f>
        <v>0</v>
      </c>
      <c r="AI53" s="6">
        <f>IF(AND(frame($C53,$D53,AG$8),NOT(frame($C53,$D53,VLOOKUP(VLOOKUP(AI$26,FT[],9),Teachers[],MOD(COLUMN(AF53),6)+1)))),1,0)</f>
        <v>0</v>
      </c>
      <c r="AJ53" s="6">
        <f>IF(AND(frame($C53,$D53,AH$8),NOT(frame($C53,$D53,VLOOKUP(VLOOKUP(AJ$26,FT[],9),Teachers[],MOD(COLUMN(AG53),6)+1)))),1,0)</f>
        <v>0</v>
      </c>
      <c r="AK53" s="6">
        <f>IF(AND(frame($C53,$D53,AI$8),NOT(frame($C53,$D53,VLOOKUP(VLOOKUP(AK$26,FT[],9),Teachers[],MOD(COLUMN(AH53),6)+1)))),1,0)</f>
        <v>0</v>
      </c>
      <c r="AL53" s="6">
        <f>IF(AND(frame($C53,$D53,AJ$8),NOT(frame($C53,$D53,VLOOKUP(VLOOKUP(AL$26,FT[],9),Teachers[],MOD(COLUMN(AI53),6)+1)))),1,0)</f>
        <v>0</v>
      </c>
      <c r="AM53" s="6">
        <f>IF(AND(frame($C53,$D53,AK$8),NOT(frame($C53,$D53,VLOOKUP(VLOOKUP(AM$26,FT[],9),Teachers[],MOD(COLUMN(AJ53),6)+1)))),1,0)</f>
        <v>0</v>
      </c>
      <c r="AN53" s="6">
        <f>IF(AND(frame($C53,$D53,AL$8),NOT(frame($C53,$D53,VLOOKUP(VLOOKUP(AN$26,FT[],9),Teachers[],MOD(COLUMN(AK53),6)+1)))),1,0)</f>
        <v>0</v>
      </c>
      <c r="AO53" s="6">
        <f>IF(AND(frame($C53,$D53,AM$8),NOT(frame($C53,$D53,VLOOKUP(VLOOKUP(AO$26,FT[],9),Teachers[],MOD(COLUMN(AL53),6)+1)))),1,0)</f>
        <v>0</v>
      </c>
      <c r="AP53" s="66">
        <f t="shared" si="11"/>
        <v>0</v>
      </c>
      <c r="AQ53" s="6">
        <f>IF(AND(frame($C53,$D53,AO$8),NOT(frame($C53,$D53,VLOOKUP(VLOOKUP(AQ$26,FT[],9),Teachers[],MOD(COLUMN(AN53),6)+1)))),1,0)</f>
        <v>0</v>
      </c>
      <c r="AR53" s="6">
        <f>IF(AND(frame($C53,$D53,AP$8),NOT(frame($C53,$D53,VLOOKUP(VLOOKUP(AR$26,FT[],9),Teachers[],MOD(COLUMN(AO53),6)+1)))),1,0)</f>
        <v>0</v>
      </c>
      <c r="AS53" s="6">
        <f>IF(AND(frame($C53,$D53,AQ$8),NOT(frame($C53,$D53,VLOOKUP(VLOOKUP(AS$26,FT[],9),Teachers[],MOD(COLUMN(AP53),6)+1)))),1,0)</f>
        <v>0</v>
      </c>
      <c r="AT53" s="6">
        <f>IF(AND(frame($C53,$D53,AR$8),NOT(frame($C53,$D53,VLOOKUP(VLOOKUP(AT$26,FT[],9),Teachers[],MOD(COLUMN(AQ53),6)+1)))),1,0)</f>
        <v>0</v>
      </c>
      <c r="AU53" s="6">
        <f>IF(AND(frame($C53,$D53,AS$8),NOT(frame($C53,$D53,VLOOKUP(VLOOKUP(AU$26,FT[],9),Teachers[],MOD(COLUMN(AR53),6)+1)))),1,0)</f>
        <v>0</v>
      </c>
      <c r="AV53" s="6">
        <f>IF(AND(frame($C53,$D53,AT$8),NOT(frame($C53,$D53,VLOOKUP(VLOOKUP(AV$26,FT[],9),Teachers[],MOD(COLUMN(AS53),6)+1)))),1,0)</f>
        <v>0</v>
      </c>
      <c r="AW53" s="6">
        <f>IF(AND(frame($C53,$D53,AU$8),NOT(frame($C53,$D53,VLOOKUP(VLOOKUP(AW$26,FT[],9),Teachers[],MOD(COLUMN(AT53),6)+1)))),1,0)</f>
        <v>0</v>
      </c>
      <c r="AX53" s="6">
        <f>IF(AND(frame($C53,$D53,AV$8),NOT(frame($C53,$D53,VLOOKUP(VLOOKUP(AX$26,FT[],9),Teachers[],MOD(COLUMN(AU53),6)+1)))),1,0)</f>
        <v>0</v>
      </c>
      <c r="AY53" s="6">
        <f>IF(AND(frame($C53,$D53,AW$8),NOT(frame($C53,$D53,VLOOKUP(VLOOKUP(AY$26,FT[],9),Teachers[],MOD(COLUMN(AV53),6)+1)))),1,0)</f>
        <v>0</v>
      </c>
      <c r="AZ53" s="6">
        <f>IF(AND(frame($C53,$D53,AX$8),NOT(frame($C53,$D53,VLOOKUP(VLOOKUP(AZ$26,FT[],9),Teachers[],MOD(COLUMN(AW53),6)+1)))),1,0)</f>
        <v>0</v>
      </c>
      <c r="BA53" s="6">
        <f>IF(AND(frame($C53,$D53,AY$8),NOT(frame($C53,$D53,VLOOKUP(VLOOKUP(BA$26,FT[],9),Teachers[],MOD(COLUMN(AX53),6)+1)))),1,0)</f>
        <v>0</v>
      </c>
      <c r="BB53" s="6">
        <f>IF(AND(frame($C53,$D53,AZ$8),NOT(frame($C53,$D53,VLOOKUP(VLOOKUP(BB$26,FT[],9),Teachers[],MOD(COLUMN(AY53),6)+1)))),1,0)</f>
        <v>0</v>
      </c>
      <c r="BC53" s="6">
        <f>IF(AND(frame($C53,$D53,BA$8),NOT(frame($C53,$D53,VLOOKUP(VLOOKUP(BC$26,FT[],9),Teachers[],MOD(COLUMN(AZ53),6)+1)))),1,0)</f>
        <v>0</v>
      </c>
      <c r="BD53" s="6">
        <f>IF(AND(frame($C53,$D53,BB$8),NOT(frame($C53,$D53,VLOOKUP(VLOOKUP(BD$26,FT[],9),Teachers[],MOD(COLUMN(BA53),6)+1)))),1,0)</f>
        <v>0</v>
      </c>
      <c r="BE53" s="6">
        <f>IF(AND(frame($C53,$D53,BC$8),NOT(frame($C53,$D53,VLOOKUP(VLOOKUP(BE$26,FT[],9),Teachers[],MOD(COLUMN(BB53),6)+1)))),1,0)</f>
        <v>0</v>
      </c>
      <c r="BF53" s="6">
        <f>IF(AND(frame($C53,$D53,BD$8),NOT(frame($C53,$D53,VLOOKUP(VLOOKUP(BF$26,FT[],9),Teachers[],MOD(COLUMN(BC53),6)+1)))),1,0)</f>
        <v>0</v>
      </c>
      <c r="BG53" s="6">
        <f>IF(AND(frame($C53,$D53,BE$8),NOT(frame($C53,$D53,VLOOKUP(VLOOKUP(BG$26,FT[],9),Teachers[],MOD(COLUMN(BD53),6)+1)))),1,0)</f>
        <v>0</v>
      </c>
      <c r="BH53" s="6">
        <f>IF(AND(frame($C53,$D53,BF$8),NOT(frame($C53,$D53,VLOOKUP(VLOOKUP(BH$26,FT[],9),Teachers[],MOD(COLUMN(BE53),6)+1)))),1,0)</f>
        <v>0</v>
      </c>
      <c r="BI53" s="6">
        <f>IF(AND(frame($C53,$D53,BG$8),NOT(frame($C53,$D53,VLOOKUP(VLOOKUP(BI$26,FT[],9),Teachers[],MOD(COLUMN(BF53),6)+1)))),1,0)</f>
        <v>0</v>
      </c>
      <c r="BJ53" s="6">
        <f>IF(AND(frame($C53,$D53,BH$8),NOT(frame($C53,$D53,VLOOKUP(VLOOKUP(BJ$26,FT[],9),Teachers[],MOD(COLUMN(BG53),6)+1)))),1,0)</f>
        <v>0</v>
      </c>
      <c r="BK53" s="6">
        <f>IF(AND(frame($C53,$D53,BI$8),NOT(frame($C53,$D53,VLOOKUP(VLOOKUP(BK$26,FT[],9),Teachers[],MOD(COLUMN(BH53),6)+1)))),1,0)</f>
        <v>0</v>
      </c>
      <c r="BL53" s="6">
        <f>IF(AND(frame($C53,$D53,BJ$8),NOT(frame($C53,$D53,VLOOKUP(VLOOKUP(BL$26,FT[],9),Teachers[],MOD(COLUMN(BI53),6)+1)))),1,0)</f>
        <v>0</v>
      </c>
    </row>
    <row r="54" spans="2:64" ht="15.75" thickBot="1">
      <c r="B54" s="1">
        <v>27</v>
      </c>
      <c r="C54" s="9">
        <v>0.59374999999999989</v>
      </c>
      <c r="D54" s="9">
        <v>0.62499999999999989</v>
      </c>
      <c r="E54" s="6" t="e">
        <f ca="1">frame(СВ[[#This Row],[49]],СВ[[#This Row],[Столбец1]],C33,C47)</f>
        <v>#NAME?</v>
      </c>
      <c r="F54" s="6">
        <f>IF(AND(frame($C54,$D54,D$7),NOT(frame($C54,$D54,VLOOKUP(VLOOKUP(F$26,FT[],9),Teachers[],MOD(COLUMN(B54),6)+1)))),1,0)</f>
        <v>1</v>
      </c>
      <c r="G54" s="6">
        <f>IF(AND(frame($C54,$D54,E$7),NOT(frame($C54,$D54,VLOOKUP(VLOOKUP(G$26,FT[],9),Teachers[],MOD(COLUMN(C54),6)+1)))),1,0)</f>
        <v>0</v>
      </c>
      <c r="H54" s="6">
        <f>IF(AND(frame($C54,$D54,F$7),NOT(frame($C54,$D54,VLOOKUP(VLOOKUP(H$26,FT[],9),Teachers[],MOD(COLUMN(D54),6)+1)))),1,0)</f>
        <v>0</v>
      </c>
      <c r="I54" s="6" t="e">
        <f ca="1">IF(AND(frame($C54,$D54,G$7),NOT(frame($C54,$D54,VLOOKUP(VLOOKUP(I$26,FT[],9),Teachers[],MOD(COLUMN(E54),6)+1)))),1,0)</f>
        <v>#NAME?</v>
      </c>
      <c r="J54" s="6">
        <f>IF(AND(frame($C54,$D54,H$7),NOT(frame($C54,$D54,VLOOKUP(VLOOKUP(J$26,FT[],9),Teachers[],MOD(COLUMN(F54),6)+1)))),1,0)</f>
        <v>1</v>
      </c>
      <c r="K54" s="6">
        <f>IF(AND(frame($C54,$D54,I$8),NOT(frame($C54,$D54,VLOOKUP(VLOOKUP(K$26,FT[],9),Teachers[],MOD(COLUMN(H54),6)+1)))),1,0)</f>
        <v>0</v>
      </c>
      <c r="L54" s="1">
        <f t="shared" si="9"/>
        <v>0</v>
      </c>
      <c r="M54" s="6">
        <f>IF(AND(frame($C54,$D54,K$8),NOT(frame($C54,$D54,VLOOKUP(VLOOKUP(M$26,FT[],9),Teachers[],MOD(COLUMN(J54),6)+1)))),1,0)</f>
        <v>0</v>
      </c>
      <c r="N54" s="6">
        <f>IF(AND(frame($C54,$D54,L$8),NOT(frame($C54,$D54,VLOOKUP(VLOOKUP(N$26,FT[],9),Teachers[],MOD(COLUMN(K54),6)+1)))),1,0)</f>
        <v>0</v>
      </c>
      <c r="O54" s="6">
        <f>IF(AND(frame($C54,$D54,M$8),NOT(frame($C54,$D54,VLOOKUP(VLOOKUP(O$26,FT[],9),Teachers[],MOD(COLUMN(L54),6)+1)))),1,0)</f>
        <v>0</v>
      </c>
      <c r="P54" s="6">
        <f>IF(AND(frame($C54,$D54,N$8),NOT(frame($C54,$D54,VLOOKUP(VLOOKUP(P$26,FT[],9),Teachers[],MOD(COLUMN(M54),6)+1)))),1,0)</f>
        <v>0</v>
      </c>
      <c r="Q54" s="6">
        <f>IF(AND(frame($C54,$D54,O$8),NOT(frame($C54,$D54,VLOOKUP(VLOOKUP(Q$26,FT[],9),Teachers[],MOD(COLUMN(N54),6)+1)))),1,0)</f>
        <v>0</v>
      </c>
      <c r="R54" s="65">
        <f t="shared" si="10"/>
        <v>0</v>
      </c>
      <c r="S54" s="6">
        <f>IF(AND(frame($C54,$D54,Q$8),NOT(frame($C54,$D54,VLOOKUP(VLOOKUP(S$26,FT[],9),Teachers[],MOD(COLUMN(P54),6)+1)))),1,0)</f>
        <v>0</v>
      </c>
      <c r="T54" s="6">
        <f>IF(AND(frame($C54,$D54,R$8),NOT(frame($C54,$D54,VLOOKUP(VLOOKUP(T$26,FT[],9),Teachers[],MOD(COLUMN(Q54),6)+1)))),1,0)</f>
        <v>0</v>
      </c>
      <c r="U54" s="6">
        <f>IF(AND(frame($C54,$D54,S$8),NOT(frame($C54,$D54,VLOOKUP(VLOOKUP(U$26,FT[],9),Teachers[],MOD(COLUMN(R54),6)+1)))),1,0)</f>
        <v>0</v>
      </c>
      <c r="V54" s="6">
        <f>IF(AND(frame($C54,$D54,T$8),NOT(frame($C54,$D54,VLOOKUP(VLOOKUP(V$26,FT[],9),Teachers[],MOD(COLUMN(S54),6)+1)))),1,0)</f>
        <v>0</v>
      </c>
      <c r="W54" s="6">
        <f>IF(AND(frame($C54,$D54,U$8),NOT(frame($C54,$D54,VLOOKUP(VLOOKUP(W$26,FT[],9),Teachers[],MOD(COLUMN(T54),6)+1)))),1,0)</f>
        <v>0</v>
      </c>
      <c r="X54" s="6">
        <f>IF(AND(frame($C54,$D54,V$8),NOT(frame($C54,$D54,VLOOKUP(VLOOKUP(X$26,FT[],9),Teachers[],MOD(COLUMN(U54),6)+1)))),1,0)</f>
        <v>0</v>
      </c>
      <c r="Y54" s="6">
        <f>IF(AND(frame($C54,$D54,W$8),NOT(frame($C54,$D54,VLOOKUP(VLOOKUP(Y$26,FT[],9),Teachers[],MOD(COLUMN(V54),6)+1)))),1,0)</f>
        <v>0</v>
      </c>
      <c r="Z54" s="6">
        <f>IF(AND(frame($C54,$D54,X$8),NOT(frame($C54,$D54,VLOOKUP(VLOOKUP(Z$26,FT[],9),Teachers[],MOD(COLUMN(W54),6)+1)))),1,0)</f>
        <v>0</v>
      </c>
      <c r="AA54" s="6">
        <f>IF(AND(frame($C54,$D54,Y$8),NOT(frame($C54,$D54,VLOOKUP(VLOOKUP(AA$26,FT[],9),Teachers[],MOD(COLUMN(X54),6)+1)))),1,0)</f>
        <v>0</v>
      </c>
      <c r="AB54" s="6">
        <f>IF(AND(frame($C54,$D54,Z$8),NOT(frame($C54,$D54,VLOOKUP(VLOOKUP(AB$26,FT[],9),Teachers[],MOD(COLUMN(Y54),6)+1)))),1,0)</f>
        <v>0</v>
      </c>
      <c r="AC54" s="6">
        <f>IF(AND(frame($C54,$D54,AA$8),NOT(frame($C54,$D54,VLOOKUP(VLOOKUP(AC$26,FT[],9),Teachers[],MOD(COLUMN(Z54),6)+1)))),1,0)</f>
        <v>0</v>
      </c>
      <c r="AD54" s="6">
        <f>IF(AND(frame($C54,$D54,AB$8),NOT(frame($C54,$D54,VLOOKUP(VLOOKUP(AD$26,FT[],9),Teachers[],MOD(COLUMN(AA54),6)+1)))),1,0)</f>
        <v>0</v>
      </c>
      <c r="AE54" s="6">
        <f>IF(AND(frame($C54,$D54,AC$8),NOT(frame($C54,$D54,VLOOKUP(VLOOKUP(AE$26,FT[],9),Teachers[],MOD(COLUMN(AB54),6)+1)))),1,0)</f>
        <v>0</v>
      </c>
      <c r="AF54" s="6">
        <f>IF(AND(frame($C54,$D54,AD$8),NOT(frame($C54,$D54,VLOOKUP(VLOOKUP(AF$26,FT[],9),Teachers[],MOD(COLUMN(AC54),6)+1)))),1,0)</f>
        <v>0</v>
      </c>
      <c r="AG54" s="6">
        <f>IF(AND(frame($C54,$D54,AE$8),NOT(frame($C54,$D54,VLOOKUP(VLOOKUP(AG$26,FT[],9),Teachers[],MOD(COLUMN(AD54),6)+1)))),1,0)</f>
        <v>0</v>
      </c>
      <c r="AH54" s="6">
        <f>IF(AND(frame($C54,$D54,AF$8),NOT(frame($C54,$D54,VLOOKUP(VLOOKUP(AH$26,FT[],9),Teachers[],MOD(COLUMN(AE54),6)+1)))),1,0)</f>
        <v>0</v>
      </c>
      <c r="AI54" s="6">
        <f>IF(AND(frame($C54,$D54,AG$8),NOT(frame($C54,$D54,VLOOKUP(VLOOKUP(AI$26,FT[],9),Teachers[],MOD(COLUMN(AF54),6)+1)))),1,0)</f>
        <v>0</v>
      </c>
      <c r="AJ54" s="6">
        <f>IF(AND(frame($C54,$D54,AH$8),NOT(frame($C54,$D54,VLOOKUP(VLOOKUP(AJ$26,FT[],9),Teachers[],MOD(COLUMN(AG54),6)+1)))),1,0)</f>
        <v>0</v>
      </c>
      <c r="AK54" s="6">
        <f>IF(AND(frame($C54,$D54,AI$8),NOT(frame($C54,$D54,VLOOKUP(VLOOKUP(AK$26,FT[],9),Teachers[],MOD(COLUMN(AH54),6)+1)))),1,0)</f>
        <v>0</v>
      </c>
      <c r="AL54" s="6">
        <f>IF(AND(frame($C54,$D54,AJ$8),NOT(frame($C54,$D54,VLOOKUP(VLOOKUP(AL$26,FT[],9),Teachers[],MOD(COLUMN(AI54),6)+1)))),1,0)</f>
        <v>0</v>
      </c>
      <c r="AM54" s="6">
        <f>IF(AND(frame($C54,$D54,AK$8),NOT(frame($C54,$D54,VLOOKUP(VLOOKUP(AM$26,FT[],9),Teachers[],MOD(COLUMN(AJ54),6)+1)))),1,0)</f>
        <v>0</v>
      </c>
      <c r="AN54" s="6">
        <f>IF(AND(frame($C54,$D54,AL$8),NOT(frame($C54,$D54,VLOOKUP(VLOOKUP(AN$26,FT[],9),Teachers[],MOD(COLUMN(AK54),6)+1)))),1,0)</f>
        <v>0</v>
      </c>
      <c r="AO54" s="6">
        <f>IF(AND(frame($C54,$D54,AM$8),NOT(frame($C54,$D54,VLOOKUP(VLOOKUP(AO$26,FT[],9),Teachers[],MOD(COLUMN(AL54),6)+1)))),1,0)</f>
        <v>0</v>
      </c>
      <c r="AP54" s="66">
        <f t="shared" si="11"/>
        <v>0</v>
      </c>
      <c r="AQ54" s="6">
        <f>IF(AND(frame($C54,$D54,AO$8),NOT(frame($C54,$D54,VLOOKUP(VLOOKUP(AQ$26,FT[],9),Teachers[],MOD(COLUMN(AN54),6)+1)))),1,0)</f>
        <v>0</v>
      </c>
      <c r="AR54" s="6">
        <f>IF(AND(frame($C54,$D54,AP$8),NOT(frame($C54,$D54,VLOOKUP(VLOOKUP(AR$26,FT[],9),Teachers[],MOD(COLUMN(AO54),6)+1)))),1,0)</f>
        <v>0</v>
      </c>
      <c r="AS54" s="6">
        <f>IF(AND(frame($C54,$D54,AQ$8),NOT(frame($C54,$D54,VLOOKUP(VLOOKUP(AS$26,FT[],9),Teachers[],MOD(COLUMN(AP54),6)+1)))),1,0)</f>
        <v>0</v>
      </c>
      <c r="AT54" s="6">
        <f>IF(AND(frame($C54,$D54,AR$8),NOT(frame($C54,$D54,VLOOKUP(VLOOKUP(AT$26,FT[],9),Teachers[],MOD(COLUMN(AQ54),6)+1)))),1,0)</f>
        <v>0</v>
      </c>
      <c r="AU54" s="6">
        <f>IF(AND(frame($C54,$D54,AS$8),NOT(frame($C54,$D54,VLOOKUP(VLOOKUP(AU$26,FT[],9),Teachers[],MOD(COLUMN(AR54),6)+1)))),1,0)</f>
        <v>0</v>
      </c>
      <c r="AV54" s="6">
        <f>IF(AND(frame($C54,$D54,AT$8),NOT(frame($C54,$D54,VLOOKUP(VLOOKUP(AV$26,FT[],9),Teachers[],MOD(COLUMN(AS54),6)+1)))),1,0)</f>
        <v>0</v>
      </c>
      <c r="AW54" s="6">
        <f>IF(AND(frame($C54,$D54,AU$8),NOT(frame($C54,$D54,VLOOKUP(VLOOKUP(AW$26,FT[],9),Teachers[],MOD(COLUMN(AT54),6)+1)))),1,0)</f>
        <v>0</v>
      </c>
      <c r="AX54" s="6">
        <f>IF(AND(frame($C54,$D54,AV$8),NOT(frame($C54,$D54,VLOOKUP(VLOOKUP(AX$26,FT[],9),Teachers[],MOD(COLUMN(AU54),6)+1)))),1,0)</f>
        <v>0</v>
      </c>
      <c r="AY54" s="6">
        <f>IF(AND(frame($C54,$D54,AW$8),NOT(frame($C54,$D54,VLOOKUP(VLOOKUP(AY$26,FT[],9),Teachers[],MOD(COLUMN(AV54),6)+1)))),1,0)</f>
        <v>0</v>
      </c>
      <c r="AZ54" s="6">
        <f>IF(AND(frame($C54,$D54,AX$8),NOT(frame($C54,$D54,VLOOKUP(VLOOKUP(AZ$26,FT[],9),Teachers[],MOD(COLUMN(AW54),6)+1)))),1,0)</f>
        <v>0</v>
      </c>
      <c r="BA54" s="6">
        <f>IF(AND(frame($C54,$D54,AY$8),NOT(frame($C54,$D54,VLOOKUP(VLOOKUP(BA$26,FT[],9),Teachers[],MOD(COLUMN(AX54),6)+1)))),1,0)</f>
        <v>0</v>
      </c>
      <c r="BB54" s="6">
        <f>IF(AND(frame($C54,$D54,AZ$8),NOT(frame($C54,$D54,VLOOKUP(VLOOKUP(BB$26,FT[],9),Teachers[],MOD(COLUMN(AY54),6)+1)))),1,0)</f>
        <v>0</v>
      </c>
      <c r="BC54" s="6">
        <f>IF(AND(frame($C54,$D54,BA$8),NOT(frame($C54,$D54,VLOOKUP(VLOOKUP(BC$26,FT[],9),Teachers[],MOD(COLUMN(AZ54),6)+1)))),1,0)</f>
        <v>0</v>
      </c>
      <c r="BD54" s="6">
        <f>IF(AND(frame($C54,$D54,BB$8),NOT(frame($C54,$D54,VLOOKUP(VLOOKUP(BD$26,FT[],9),Teachers[],MOD(COLUMN(BA54),6)+1)))),1,0)</f>
        <v>0</v>
      </c>
      <c r="BE54" s="6">
        <f>IF(AND(frame($C54,$D54,BC$8),NOT(frame($C54,$D54,VLOOKUP(VLOOKUP(BE$26,FT[],9),Teachers[],MOD(COLUMN(BB54),6)+1)))),1,0)</f>
        <v>0</v>
      </c>
      <c r="BF54" s="6">
        <f>IF(AND(frame($C54,$D54,BD$8),NOT(frame($C54,$D54,VLOOKUP(VLOOKUP(BF$26,FT[],9),Teachers[],MOD(COLUMN(BC54),6)+1)))),1,0)</f>
        <v>0</v>
      </c>
      <c r="BG54" s="6">
        <f>IF(AND(frame($C54,$D54,BE$8),NOT(frame($C54,$D54,VLOOKUP(VLOOKUP(BG$26,FT[],9),Teachers[],MOD(COLUMN(BD54),6)+1)))),1,0)</f>
        <v>0</v>
      </c>
      <c r="BH54" s="6">
        <f>IF(AND(frame($C54,$D54,BF$8),NOT(frame($C54,$D54,VLOOKUP(VLOOKUP(BH$26,FT[],9),Teachers[],MOD(COLUMN(BE54),6)+1)))),1,0)</f>
        <v>0</v>
      </c>
      <c r="BI54" s="6">
        <f>IF(AND(frame($C54,$D54,BG$8),NOT(frame($C54,$D54,VLOOKUP(VLOOKUP(BI$26,FT[],9),Teachers[],MOD(COLUMN(BF54),6)+1)))),1,0)</f>
        <v>0</v>
      </c>
      <c r="BJ54" s="6">
        <f>IF(AND(frame($C54,$D54,BH$8),NOT(frame($C54,$D54,VLOOKUP(VLOOKUP(BJ$26,FT[],9),Teachers[],MOD(COLUMN(BG54),6)+1)))),1,0)</f>
        <v>0</v>
      </c>
      <c r="BK54" s="6">
        <f>IF(AND(frame($C54,$D54,BI$8),NOT(frame($C54,$D54,VLOOKUP(VLOOKUP(BK$26,FT[],9),Teachers[],MOD(COLUMN(BH54),6)+1)))),1,0)</f>
        <v>0</v>
      </c>
      <c r="BL54" s="6">
        <f>IF(AND(frame($C54,$D54,BJ$8),NOT(frame($C54,$D54,VLOOKUP(VLOOKUP(BL$26,FT[],9),Teachers[],MOD(COLUMN(BI54),6)+1)))),1,0)</f>
        <v>0</v>
      </c>
    </row>
    <row r="55" spans="2:64" ht="15.75" thickBot="1">
      <c r="B55" s="1">
        <v>28</v>
      </c>
      <c r="C55" s="9">
        <v>0.60416666666666663</v>
      </c>
      <c r="D55" s="9">
        <v>0.63541666666666652</v>
      </c>
      <c r="E55" s="6" t="e">
        <f ca="1">frame(СВ[[#This Row],[49]],СВ[[#This Row],[Столбец1]],C34,C48)</f>
        <v>#NAME?</v>
      </c>
      <c r="F55" s="6">
        <f>IF(AND(frame($C55,$D55,D$7),NOT(frame($C55,$D55,VLOOKUP(VLOOKUP(F$26,FT[],9),Teachers[],MOD(COLUMN(B55),6)+1)))),1,0)</f>
        <v>1</v>
      </c>
      <c r="G55" s="6">
        <f>IF(AND(frame($C55,$D55,E$7),NOT(frame($C55,$D55,VLOOKUP(VLOOKUP(G$26,FT[],9),Teachers[],MOD(COLUMN(C55),6)+1)))),1,0)</f>
        <v>0</v>
      </c>
      <c r="H55" s="6">
        <f>IF(AND(frame($C55,$D55,F$7),NOT(frame($C55,$D55,VLOOKUP(VLOOKUP(H$26,FT[],9),Teachers[],MOD(COLUMN(D55),6)+1)))),1,0)</f>
        <v>0</v>
      </c>
      <c r="I55" s="6" t="e">
        <f ca="1">IF(AND(frame($C55,$D55,G$7),NOT(frame($C55,$D55,VLOOKUP(VLOOKUP(I$26,FT[],9),Teachers[],MOD(COLUMN(E55),6)+1)))),1,0)</f>
        <v>#NAME?</v>
      </c>
      <c r="J55" s="6">
        <f>IF(AND(frame($C55,$D55,H$7),NOT(frame($C55,$D55,VLOOKUP(VLOOKUP(J$26,FT[],9),Teachers[],MOD(COLUMN(F55),6)+1)))),1,0)</f>
        <v>1</v>
      </c>
      <c r="K55" s="6">
        <f>IF(AND(frame($C55,$D55,I$8),NOT(frame($C55,$D55,VLOOKUP(VLOOKUP(K$26,FT[],9),Teachers[],MOD(COLUMN(H55),6)+1)))),1,0)</f>
        <v>0</v>
      </c>
      <c r="L55" s="1">
        <f t="shared" si="9"/>
        <v>0</v>
      </c>
      <c r="M55" s="6">
        <f>IF(AND(frame($C55,$D55,K$8),NOT(frame($C55,$D55,VLOOKUP(VLOOKUP(M$26,FT[],9),Teachers[],MOD(COLUMN(J55),6)+1)))),1,0)</f>
        <v>0</v>
      </c>
      <c r="N55" s="6">
        <f>IF(AND(frame($C55,$D55,L$8),NOT(frame($C55,$D55,VLOOKUP(VLOOKUP(N$26,FT[],9),Teachers[],MOD(COLUMN(K55),6)+1)))),1,0)</f>
        <v>0</v>
      </c>
      <c r="O55" s="6">
        <f>IF(AND(frame($C55,$D55,M$8),NOT(frame($C55,$D55,VLOOKUP(VLOOKUP(O$26,FT[],9),Teachers[],MOD(COLUMN(L55),6)+1)))),1,0)</f>
        <v>0</v>
      </c>
      <c r="P55" s="6">
        <f>IF(AND(frame($C55,$D55,N$8),NOT(frame($C55,$D55,VLOOKUP(VLOOKUP(P$26,FT[],9),Teachers[],MOD(COLUMN(M55),6)+1)))),1,0)</f>
        <v>0</v>
      </c>
      <c r="Q55" s="6">
        <f>IF(AND(frame($C55,$D55,O$8),NOT(frame($C55,$D55,VLOOKUP(VLOOKUP(Q$26,FT[],9),Teachers[],MOD(COLUMN(N55),6)+1)))),1,0)</f>
        <v>0</v>
      </c>
      <c r="R55" s="65">
        <f t="shared" si="10"/>
        <v>0</v>
      </c>
      <c r="S55" s="6">
        <f>IF(AND(frame($C55,$D55,Q$8),NOT(frame($C55,$D55,VLOOKUP(VLOOKUP(S$26,FT[],9),Teachers[],MOD(COLUMN(P55),6)+1)))),1,0)</f>
        <v>0</v>
      </c>
      <c r="T55" s="6">
        <f>IF(AND(frame($C55,$D55,R$8),NOT(frame($C55,$D55,VLOOKUP(VLOOKUP(T$26,FT[],9),Teachers[],MOD(COLUMN(Q55),6)+1)))),1,0)</f>
        <v>0</v>
      </c>
      <c r="U55" s="6">
        <f>IF(AND(frame($C55,$D55,S$8),NOT(frame($C55,$D55,VLOOKUP(VLOOKUP(U$26,FT[],9),Teachers[],MOD(COLUMN(R55),6)+1)))),1,0)</f>
        <v>0</v>
      </c>
      <c r="V55" s="6">
        <f>IF(AND(frame($C55,$D55,T$8),NOT(frame($C55,$D55,VLOOKUP(VLOOKUP(V$26,FT[],9),Teachers[],MOD(COLUMN(S55),6)+1)))),1,0)</f>
        <v>0</v>
      </c>
      <c r="W55" s="6">
        <f>IF(AND(frame($C55,$D55,U$8),NOT(frame($C55,$D55,VLOOKUP(VLOOKUP(W$26,FT[],9),Teachers[],MOD(COLUMN(T55),6)+1)))),1,0)</f>
        <v>0</v>
      </c>
      <c r="X55" s="6">
        <f>IF(AND(frame($C55,$D55,V$8),NOT(frame($C55,$D55,VLOOKUP(VLOOKUP(X$26,FT[],9),Teachers[],MOD(COLUMN(U55),6)+1)))),1,0)</f>
        <v>0</v>
      </c>
      <c r="Y55" s="6">
        <f>IF(AND(frame($C55,$D55,W$8),NOT(frame($C55,$D55,VLOOKUP(VLOOKUP(Y$26,FT[],9),Teachers[],MOD(COLUMN(V55),6)+1)))),1,0)</f>
        <v>0</v>
      </c>
      <c r="Z55" s="6">
        <f>IF(AND(frame($C55,$D55,X$8),NOT(frame($C55,$D55,VLOOKUP(VLOOKUP(Z$26,FT[],9),Teachers[],MOD(COLUMN(W55),6)+1)))),1,0)</f>
        <v>0</v>
      </c>
      <c r="AA55" s="6">
        <f>IF(AND(frame($C55,$D55,Y$8),NOT(frame($C55,$D55,VLOOKUP(VLOOKUP(AA$26,FT[],9),Teachers[],MOD(COLUMN(X55),6)+1)))),1,0)</f>
        <v>0</v>
      </c>
      <c r="AB55" s="6">
        <f>IF(AND(frame($C55,$D55,Z$8),NOT(frame($C55,$D55,VLOOKUP(VLOOKUP(AB$26,FT[],9),Teachers[],MOD(COLUMN(Y55),6)+1)))),1,0)</f>
        <v>0</v>
      </c>
      <c r="AC55" s="6">
        <f>IF(AND(frame($C55,$D55,AA$8),NOT(frame($C55,$D55,VLOOKUP(VLOOKUP(AC$26,FT[],9),Teachers[],MOD(COLUMN(Z55),6)+1)))),1,0)</f>
        <v>0</v>
      </c>
      <c r="AD55" s="6">
        <f>IF(AND(frame($C55,$D55,AB$8),NOT(frame($C55,$D55,VLOOKUP(VLOOKUP(AD$26,FT[],9),Teachers[],MOD(COLUMN(AA55),6)+1)))),1,0)</f>
        <v>0</v>
      </c>
      <c r="AE55" s="6">
        <f>IF(AND(frame($C55,$D55,AC$8),NOT(frame($C55,$D55,VLOOKUP(VLOOKUP(AE$26,FT[],9),Teachers[],MOD(COLUMN(AB55),6)+1)))),1,0)</f>
        <v>0</v>
      </c>
      <c r="AF55" s="6">
        <f>IF(AND(frame($C55,$D55,AD$8),NOT(frame($C55,$D55,VLOOKUP(VLOOKUP(AF$26,FT[],9),Teachers[],MOD(COLUMN(AC55),6)+1)))),1,0)</f>
        <v>0</v>
      </c>
      <c r="AG55" s="6">
        <f>IF(AND(frame($C55,$D55,AE$8),NOT(frame($C55,$D55,VLOOKUP(VLOOKUP(AG$26,FT[],9),Teachers[],MOD(COLUMN(AD55),6)+1)))),1,0)</f>
        <v>0</v>
      </c>
      <c r="AH55" s="6">
        <f>IF(AND(frame($C55,$D55,AF$8),NOT(frame($C55,$D55,VLOOKUP(VLOOKUP(AH$26,FT[],9),Teachers[],MOD(COLUMN(AE55),6)+1)))),1,0)</f>
        <v>0</v>
      </c>
      <c r="AI55" s="6">
        <f>IF(AND(frame($C55,$D55,AG$8),NOT(frame($C55,$D55,VLOOKUP(VLOOKUP(AI$26,FT[],9),Teachers[],MOD(COLUMN(AF55),6)+1)))),1,0)</f>
        <v>0</v>
      </c>
      <c r="AJ55" s="6">
        <f>IF(AND(frame($C55,$D55,AH$8),NOT(frame($C55,$D55,VLOOKUP(VLOOKUP(AJ$26,FT[],9),Teachers[],MOD(COLUMN(AG55),6)+1)))),1,0)</f>
        <v>0</v>
      </c>
      <c r="AK55" s="6">
        <f>IF(AND(frame($C55,$D55,AI$8),NOT(frame($C55,$D55,VLOOKUP(VLOOKUP(AK$26,FT[],9),Teachers[],MOD(COLUMN(AH55),6)+1)))),1,0)</f>
        <v>0</v>
      </c>
      <c r="AL55" s="6">
        <f>IF(AND(frame($C55,$D55,AJ$8),NOT(frame($C55,$D55,VLOOKUP(VLOOKUP(AL$26,FT[],9),Teachers[],MOD(COLUMN(AI55),6)+1)))),1,0)</f>
        <v>0</v>
      </c>
      <c r="AM55" s="6">
        <f>IF(AND(frame($C55,$D55,AK$8),NOT(frame($C55,$D55,VLOOKUP(VLOOKUP(AM$26,FT[],9),Teachers[],MOD(COLUMN(AJ55),6)+1)))),1,0)</f>
        <v>0</v>
      </c>
      <c r="AN55" s="6">
        <f>IF(AND(frame($C55,$D55,AL$8),NOT(frame($C55,$D55,VLOOKUP(VLOOKUP(AN$26,FT[],9),Teachers[],MOD(COLUMN(AK55),6)+1)))),1,0)</f>
        <v>0</v>
      </c>
      <c r="AO55" s="6">
        <f>IF(AND(frame($C55,$D55,AM$8),NOT(frame($C55,$D55,VLOOKUP(VLOOKUP(AO$26,FT[],9),Teachers[],MOD(COLUMN(AL55),6)+1)))),1,0)</f>
        <v>0</v>
      </c>
      <c r="AP55" s="66">
        <f t="shared" si="11"/>
        <v>0</v>
      </c>
      <c r="AQ55" s="6">
        <f>IF(AND(frame($C55,$D55,AO$8),NOT(frame($C55,$D55,VLOOKUP(VLOOKUP(AQ$26,FT[],9),Teachers[],MOD(COLUMN(AN55),6)+1)))),1,0)</f>
        <v>0</v>
      </c>
      <c r="AR55" s="6">
        <f>IF(AND(frame($C55,$D55,AP$8),NOT(frame($C55,$D55,VLOOKUP(VLOOKUP(AR$26,FT[],9),Teachers[],MOD(COLUMN(AO55),6)+1)))),1,0)</f>
        <v>0</v>
      </c>
      <c r="AS55" s="6">
        <f>IF(AND(frame($C55,$D55,AQ$8),NOT(frame($C55,$D55,VLOOKUP(VLOOKUP(AS$26,FT[],9),Teachers[],MOD(COLUMN(AP55),6)+1)))),1,0)</f>
        <v>0</v>
      </c>
      <c r="AT55" s="6">
        <f>IF(AND(frame($C55,$D55,AR$8),NOT(frame($C55,$D55,VLOOKUP(VLOOKUP(AT$26,FT[],9),Teachers[],MOD(COLUMN(AQ55),6)+1)))),1,0)</f>
        <v>0</v>
      </c>
      <c r="AU55" s="6">
        <f>IF(AND(frame($C55,$D55,AS$8),NOT(frame($C55,$D55,VLOOKUP(VLOOKUP(AU$26,FT[],9),Teachers[],MOD(COLUMN(AR55),6)+1)))),1,0)</f>
        <v>0</v>
      </c>
      <c r="AV55" s="6">
        <f>IF(AND(frame($C55,$D55,AT$8),NOT(frame($C55,$D55,VLOOKUP(VLOOKUP(AV$26,FT[],9),Teachers[],MOD(COLUMN(AS55),6)+1)))),1,0)</f>
        <v>0</v>
      </c>
      <c r="AW55" s="6">
        <f>IF(AND(frame($C55,$D55,AU$8),NOT(frame($C55,$D55,VLOOKUP(VLOOKUP(AW$26,FT[],9),Teachers[],MOD(COLUMN(AT55),6)+1)))),1,0)</f>
        <v>0</v>
      </c>
      <c r="AX55" s="6">
        <f>IF(AND(frame($C55,$D55,AV$8),NOT(frame($C55,$D55,VLOOKUP(VLOOKUP(AX$26,FT[],9),Teachers[],MOD(COLUMN(AU55),6)+1)))),1,0)</f>
        <v>0</v>
      </c>
      <c r="AY55" s="6">
        <f>IF(AND(frame($C55,$D55,AW$8),NOT(frame($C55,$D55,VLOOKUP(VLOOKUP(AY$26,FT[],9),Teachers[],MOD(COLUMN(AV55),6)+1)))),1,0)</f>
        <v>0</v>
      </c>
      <c r="AZ55" s="6">
        <f>IF(AND(frame($C55,$D55,AX$8),NOT(frame($C55,$D55,VLOOKUP(VLOOKUP(AZ$26,FT[],9),Teachers[],MOD(COLUMN(AW55),6)+1)))),1,0)</f>
        <v>0</v>
      </c>
      <c r="BA55" s="6">
        <f>IF(AND(frame($C55,$D55,AY$8),NOT(frame($C55,$D55,VLOOKUP(VLOOKUP(BA$26,FT[],9),Teachers[],MOD(COLUMN(AX55),6)+1)))),1,0)</f>
        <v>0</v>
      </c>
      <c r="BB55" s="6">
        <f>IF(AND(frame($C55,$D55,AZ$8),NOT(frame($C55,$D55,VLOOKUP(VLOOKUP(BB$26,FT[],9),Teachers[],MOD(COLUMN(AY55),6)+1)))),1,0)</f>
        <v>0</v>
      </c>
      <c r="BC55" s="6">
        <f>IF(AND(frame($C55,$D55,BA$8),NOT(frame($C55,$D55,VLOOKUP(VLOOKUP(BC$26,FT[],9),Teachers[],MOD(COLUMN(AZ55),6)+1)))),1,0)</f>
        <v>0</v>
      </c>
      <c r="BD55" s="6">
        <f>IF(AND(frame($C55,$D55,BB$8),NOT(frame($C55,$D55,VLOOKUP(VLOOKUP(BD$26,FT[],9),Teachers[],MOD(COLUMN(BA55),6)+1)))),1,0)</f>
        <v>0</v>
      </c>
      <c r="BE55" s="6">
        <f>IF(AND(frame($C55,$D55,BC$8),NOT(frame($C55,$D55,VLOOKUP(VLOOKUP(BE$26,FT[],9),Teachers[],MOD(COLUMN(BB55),6)+1)))),1,0)</f>
        <v>0</v>
      </c>
      <c r="BF55" s="6">
        <f>IF(AND(frame($C55,$D55,BD$8),NOT(frame($C55,$D55,VLOOKUP(VLOOKUP(BF$26,FT[],9),Teachers[],MOD(COLUMN(BC55),6)+1)))),1,0)</f>
        <v>0</v>
      </c>
      <c r="BG55" s="6">
        <f>IF(AND(frame($C55,$D55,BE$8),NOT(frame($C55,$D55,VLOOKUP(VLOOKUP(BG$26,FT[],9),Teachers[],MOD(COLUMN(BD55),6)+1)))),1,0)</f>
        <v>0</v>
      </c>
      <c r="BH55" s="6">
        <f>IF(AND(frame($C55,$D55,BF$8),NOT(frame($C55,$D55,VLOOKUP(VLOOKUP(BH$26,FT[],9),Teachers[],MOD(COLUMN(BE55),6)+1)))),1,0)</f>
        <v>0</v>
      </c>
      <c r="BI55" s="6">
        <f>IF(AND(frame($C55,$D55,BG$8),NOT(frame($C55,$D55,VLOOKUP(VLOOKUP(BI$26,FT[],9),Teachers[],MOD(COLUMN(BF55),6)+1)))),1,0)</f>
        <v>0</v>
      </c>
      <c r="BJ55" s="6">
        <f>IF(AND(frame($C55,$D55,BH$8),NOT(frame($C55,$D55,VLOOKUP(VLOOKUP(BJ$26,FT[],9),Teachers[],MOD(COLUMN(BG55),6)+1)))),1,0)</f>
        <v>0</v>
      </c>
      <c r="BK55" s="6">
        <f>IF(AND(frame($C55,$D55,BI$8),NOT(frame($C55,$D55,VLOOKUP(VLOOKUP(BK$26,FT[],9),Teachers[],MOD(COLUMN(BH55),6)+1)))),1,0)</f>
        <v>0</v>
      </c>
      <c r="BL55" s="6">
        <f>IF(AND(frame($C55,$D55,BJ$8),NOT(frame($C55,$D55,VLOOKUP(VLOOKUP(BL$26,FT[],9),Teachers[],MOD(COLUMN(BI55),6)+1)))),1,0)</f>
        <v>0</v>
      </c>
    </row>
    <row r="56" spans="2:64" ht="15.75" thickBot="1">
      <c r="B56" s="1">
        <v>29</v>
      </c>
      <c r="C56" s="9">
        <v>0.61458333333333326</v>
      </c>
      <c r="D56" s="9">
        <v>0.64583333333333326</v>
      </c>
      <c r="E56" s="6" t="e">
        <f ca="1">frame(СВ[[#This Row],[49]],СВ[[#This Row],[Столбец1]],C35,C49)</f>
        <v>#NAME?</v>
      </c>
      <c r="F56" s="6">
        <f>IF(AND(frame($C56,$D56,D$7),NOT(frame($C56,$D56,VLOOKUP(VLOOKUP(F$26,FT[],9),Teachers[],MOD(COLUMN(B56),6)+1)))),1,0)</f>
        <v>1</v>
      </c>
      <c r="G56" s="6">
        <f>IF(AND(frame($C56,$D56,E$7),NOT(frame($C56,$D56,VLOOKUP(VLOOKUP(G$26,FT[],9),Teachers[],MOD(COLUMN(C56),6)+1)))),1,0)</f>
        <v>0</v>
      </c>
      <c r="H56" s="6">
        <f>IF(AND(frame($C56,$D56,F$7),NOT(frame($C56,$D56,VLOOKUP(VLOOKUP(H$26,FT[],9),Teachers[],MOD(COLUMN(D56),6)+1)))),1,0)</f>
        <v>0</v>
      </c>
      <c r="I56" s="6" t="e">
        <f ca="1">IF(AND(frame($C56,$D56,G$7),NOT(frame($C56,$D56,VLOOKUP(VLOOKUP(I$26,FT[],9),Teachers[],MOD(COLUMN(E56),6)+1)))),1,0)</f>
        <v>#NAME?</v>
      </c>
      <c r="J56" s="6">
        <f>IF(AND(frame($C56,$D56,H$7),NOT(frame($C56,$D56,VLOOKUP(VLOOKUP(J$26,FT[],9),Teachers[],MOD(COLUMN(F56),6)+1)))),1,0)</f>
        <v>1</v>
      </c>
      <c r="K56" s="6">
        <f>IF(AND(frame($C56,$D56,I$8),NOT(frame($C56,$D56,VLOOKUP(VLOOKUP(K$26,FT[],9),Teachers[],MOD(COLUMN(H56),6)+1)))),1,0)</f>
        <v>0</v>
      </c>
      <c r="L56" s="1">
        <f t="shared" si="9"/>
        <v>0</v>
      </c>
      <c r="M56" s="6">
        <f>IF(AND(frame($C56,$D56,K$8),NOT(frame($C56,$D56,VLOOKUP(VLOOKUP(M$26,FT[],9),Teachers[],MOD(COLUMN(J56),6)+1)))),1,0)</f>
        <v>0</v>
      </c>
      <c r="N56" s="6">
        <f>IF(AND(frame($C56,$D56,L$8),NOT(frame($C56,$D56,VLOOKUP(VLOOKUP(N$26,FT[],9),Teachers[],MOD(COLUMN(K56),6)+1)))),1,0)</f>
        <v>0</v>
      </c>
      <c r="O56" s="6">
        <f>IF(AND(frame($C56,$D56,M$8),NOT(frame($C56,$D56,VLOOKUP(VLOOKUP(O$26,FT[],9),Teachers[],MOD(COLUMN(L56),6)+1)))),1,0)</f>
        <v>0</v>
      </c>
      <c r="P56" s="6">
        <f>IF(AND(frame($C56,$D56,N$8),NOT(frame($C56,$D56,VLOOKUP(VLOOKUP(P$26,FT[],9),Teachers[],MOD(COLUMN(M56),6)+1)))),1,0)</f>
        <v>0</v>
      </c>
      <c r="Q56" s="6">
        <f>IF(AND(frame($C56,$D56,O$8),NOT(frame($C56,$D56,VLOOKUP(VLOOKUP(Q$26,FT[],9),Teachers[],MOD(COLUMN(N56),6)+1)))),1,0)</f>
        <v>0</v>
      </c>
      <c r="R56" s="65">
        <f t="shared" si="10"/>
        <v>0</v>
      </c>
      <c r="S56" s="6">
        <f>IF(AND(frame($C56,$D56,Q$8),NOT(frame($C56,$D56,VLOOKUP(VLOOKUP(S$26,FT[],9),Teachers[],MOD(COLUMN(P56),6)+1)))),1,0)</f>
        <v>0</v>
      </c>
      <c r="T56" s="6">
        <f>IF(AND(frame($C56,$D56,R$8),NOT(frame($C56,$D56,VLOOKUP(VLOOKUP(T$26,FT[],9),Teachers[],MOD(COLUMN(Q56),6)+1)))),1,0)</f>
        <v>0</v>
      </c>
      <c r="U56" s="6">
        <f>IF(AND(frame($C56,$D56,S$8),NOT(frame($C56,$D56,VLOOKUP(VLOOKUP(U$26,FT[],9),Teachers[],MOD(COLUMN(R56),6)+1)))),1,0)</f>
        <v>0</v>
      </c>
      <c r="V56" s="6">
        <f>IF(AND(frame($C56,$D56,T$8),NOT(frame($C56,$D56,VLOOKUP(VLOOKUP(V$26,FT[],9),Teachers[],MOD(COLUMN(S56),6)+1)))),1,0)</f>
        <v>0</v>
      </c>
      <c r="W56" s="6">
        <f>IF(AND(frame($C56,$D56,U$8),NOT(frame($C56,$D56,VLOOKUP(VLOOKUP(W$26,FT[],9),Teachers[],MOD(COLUMN(T56),6)+1)))),1,0)</f>
        <v>0</v>
      </c>
      <c r="X56" s="6">
        <f>IF(AND(frame($C56,$D56,V$8),NOT(frame($C56,$D56,VLOOKUP(VLOOKUP(X$26,FT[],9),Teachers[],MOD(COLUMN(U56),6)+1)))),1,0)</f>
        <v>0</v>
      </c>
      <c r="Y56" s="6">
        <f>IF(AND(frame($C56,$D56,W$8),NOT(frame($C56,$D56,VLOOKUP(VLOOKUP(Y$26,FT[],9),Teachers[],MOD(COLUMN(V56),6)+1)))),1,0)</f>
        <v>0</v>
      </c>
      <c r="Z56" s="6">
        <f>IF(AND(frame($C56,$D56,X$8),NOT(frame($C56,$D56,VLOOKUP(VLOOKUP(Z$26,FT[],9),Teachers[],MOD(COLUMN(W56),6)+1)))),1,0)</f>
        <v>0</v>
      </c>
      <c r="AA56" s="6">
        <f>IF(AND(frame($C56,$D56,Y$8),NOT(frame($C56,$D56,VLOOKUP(VLOOKUP(AA$26,FT[],9),Teachers[],MOD(COLUMN(X56),6)+1)))),1,0)</f>
        <v>0</v>
      </c>
      <c r="AB56" s="6">
        <f>IF(AND(frame($C56,$D56,Z$8),NOT(frame($C56,$D56,VLOOKUP(VLOOKUP(AB$26,FT[],9),Teachers[],MOD(COLUMN(Y56),6)+1)))),1,0)</f>
        <v>0</v>
      </c>
      <c r="AC56" s="6">
        <f>IF(AND(frame($C56,$D56,AA$8),NOT(frame($C56,$D56,VLOOKUP(VLOOKUP(AC$26,FT[],9),Teachers[],MOD(COLUMN(Z56),6)+1)))),1,0)</f>
        <v>0</v>
      </c>
      <c r="AD56" s="6">
        <f>IF(AND(frame($C56,$D56,AB$8),NOT(frame($C56,$D56,VLOOKUP(VLOOKUP(AD$26,FT[],9),Teachers[],MOD(COLUMN(AA56),6)+1)))),1,0)</f>
        <v>0</v>
      </c>
      <c r="AE56" s="6">
        <f>IF(AND(frame($C56,$D56,AC$8),NOT(frame($C56,$D56,VLOOKUP(VLOOKUP(AE$26,FT[],9),Teachers[],MOD(COLUMN(AB56),6)+1)))),1,0)</f>
        <v>0</v>
      </c>
      <c r="AF56" s="6">
        <f>IF(AND(frame($C56,$D56,AD$8),NOT(frame($C56,$D56,VLOOKUP(VLOOKUP(AF$26,FT[],9),Teachers[],MOD(COLUMN(AC56),6)+1)))),1,0)</f>
        <v>0</v>
      </c>
      <c r="AG56" s="6">
        <f>IF(AND(frame($C56,$D56,AE$8),NOT(frame($C56,$D56,VLOOKUP(VLOOKUP(AG$26,FT[],9),Teachers[],MOD(COLUMN(AD56),6)+1)))),1,0)</f>
        <v>0</v>
      </c>
      <c r="AH56" s="6">
        <f>IF(AND(frame($C56,$D56,AF$8),NOT(frame($C56,$D56,VLOOKUP(VLOOKUP(AH$26,FT[],9),Teachers[],MOD(COLUMN(AE56),6)+1)))),1,0)</f>
        <v>0</v>
      </c>
      <c r="AI56" s="6">
        <f>IF(AND(frame($C56,$D56,AG$8),NOT(frame($C56,$D56,VLOOKUP(VLOOKUP(AI$26,FT[],9),Teachers[],MOD(COLUMN(AF56),6)+1)))),1,0)</f>
        <v>0</v>
      </c>
      <c r="AJ56" s="6">
        <f>IF(AND(frame($C56,$D56,AH$8),NOT(frame($C56,$D56,VLOOKUP(VLOOKUP(AJ$26,FT[],9),Teachers[],MOD(COLUMN(AG56),6)+1)))),1,0)</f>
        <v>0</v>
      </c>
      <c r="AK56" s="6">
        <f>IF(AND(frame($C56,$D56,AI$8),NOT(frame($C56,$D56,VLOOKUP(VLOOKUP(AK$26,FT[],9),Teachers[],MOD(COLUMN(AH56),6)+1)))),1,0)</f>
        <v>0</v>
      </c>
      <c r="AL56" s="6">
        <f>IF(AND(frame($C56,$D56,AJ$8),NOT(frame($C56,$D56,VLOOKUP(VLOOKUP(AL$26,FT[],9),Teachers[],MOD(COLUMN(AI56),6)+1)))),1,0)</f>
        <v>0</v>
      </c>
      <c r="AM56" s="6">
        <f>IF(AND(frame($C56,$D56,AK$8),NOT(frame($C56,$D56,VLOOKUP(VLOOKUP(AM$26,FT[],9),Teachers[],MOD(COLUMN(AJ56),6)+1)))),1,0)</f>
        <v>0</v>
      </c>
      <c r="AN56" s="6">
        <f>IF(AND(frame($C56,$D56,AL$8),NOT(frame($C56,$D56,VLOOKUP(VLOOKUP(AN$26,FT[],9),Teachers[],MOD(COLUMN(AK56),6)+1)))),1,0)</f>
        <v>0</v>
      </c>
      <c r="AO56" s="6">
        <f>IF(AND(frame($C56,$D56,AM$8),NOT(frame($C56,$D56,VLOOKUP(VLOOKUP(AO$26,FT[],9),Teachers[],MOD(COLUMN(AL56),6)+1)))),1,0)</f>
        <v>0</v>
      </c>
      <c r="AP56" s="66">
        <f t="shared" si="11"/>
        <v>0</v>
      </c>
      <c r="AQ56" s="6">
        <f>IF(AND(frame($C56,$D56,AO$8),NOT(frame($C56,$D56,VLOOKUP(VLOOKUP(AQ$26,FT[],9),Teachers[],MOD(COLUMN(AN56),6)+1)))),1,0)</f>
        <v>0</v>
      </c>
      <c r="AR56" s="6">
        <f>IF(AND(frame($C56,$D56,AP$8),NOT(frame($C56,$D56,VLOOKUP(VLOOKUP(AR$26,FT[],9),Teachers[],MOD(COLUMN(AO56),6)+1)))),1,0)</f>
        <v>0</v>
      </c>
      <c r="AS56" s="6">
        <f>IF(AND(frame($C56,$D56,AQ$8),NOT(frame($C56,$D56,VLOOKUP(VLOOKUP(AS$26,FT[],9),Teachers[],MOD(COLUMN(AP56),6)+1)))),1,0)</f>
        <v>0</v>
      </c>
      <c r="AT56" s="6">
        <f>IF(AND(frame($C56,$D56,AR$8),NOT(frame($C56,$D56,VLOOKUP(VLOOKUP(AT$26,FT[],9),Teachers[],MOD(COLUMN(AQ56),6)+1)))),1,0)</f>
        <v>0</v>
      </c>
      <c r="AU56" s="6">
        <f>IF(AND(frame($C56,$D56,AS$8),NOT(frame($C56,$D56,VLOOKUP(VLOOKUP(AU$26,FT[],9),Teachers[],MOD(COLUMN(AR56),6)+1)))),1,0)</f>
        <v>0</v>
      </c>
      <c r="AV56" s="6">
        <f>IF(AND(frame($C56,$D56,AT$8),NOT(frame($C56,$D56,VLOOKUP(VLOOKUP(AV$26,FT[],9),Teachers[],MOD(COLUMN(AS56),6)+1)))),1,0)</f>
        <v>0</v>
      </c>
      <c r="AW56" s="6">
        <f>IF(AND(frame($C56,$D56,AU$8),NOT(frame($C56,$D56,VLOOKUP(VLOOKUP(AW$26,FT[],9),Teachers[],MOD(COLUMN(AT56),6)+1)))),1,0)</f>
        <v>0</v>
      </c>
      <c r="AX56" s="6">
        <f>IF(AND(frame($C56,$D56,AV$8),NOT(frame($C56,$D56,VLOOKUP(VLOOKUP(AX$26,FT[],9),Teachers[],MOD(COLUMN(AU56),6)+1)))),1,0)</f>
        <v>0</v>
      </c>
      <c r="AY56" s="6">
        <f>IF(AND(frame($C56,$D56,AW$8),NOT(frame($C56,$D56,VLOOKUP(VLOOKUP(AY$26,FT[],9),Teachers[],MOD(COLUMN(AV56),6)+1)))),1,0)</f>
        <v>0</v>
      </c>
      <c r="AZ56" s="6">
        <f>IF(AND(frame($C56,$D56,AX$8),NOT(frame($C56,$D56,VLOOKUP(VLOOKUP(AZ$26,FT[],9),Teachers[],MOD(COLUMN(AW56),6)+1)))),1,0)</f>
        <v>0</v>
      </c>
      <c r="BA56" s="6">
        <f>IF(AND(frame($C56,$D56,AY$8),NOT(frame($C56,$D56,VLOOKUP(VLOOKUP(BA$26,FT[],9),Teachers[],MOD(COLUMN(AX56),6)+1)))),1,0)</f>
        <v>0</v>
      </c>
      <c r="BB56" s="6">
        <f>IF(AND(frame($C56,$D56,AZ$8),NOT(frame($C56,$D56,VLOOKUP(VLOOKUP(BB$26,FT[],9),Teachers[],MOD(COLUMN(AY56),6)+1)))),1,0)</f>
        <v>0</v>
      </c>
      <c r="BC56" s="6">
        <f>IF(AND(frame($C56,$D56,BA$8),NOT(frame($C56,$D56,VLOOKUP(VLOOKUP(BC$26,FT[],9),Teachers[],MOD(COLUMN(AZ56),6)+1)))),1,0)</f>
        <v>0</v>
      </c>
      <c r="BD56" s="6">
        <f>IF(AND(frame($C56,$D56,BB$8),NOT(frame($C56,$D56,VLOOKUP(VLOOKUP(BD$26,FT[],9),Teachers[],MOD(COLUMN(BA56),6)+1)))),1,0)</f>
        <v>0</v>
      </c>
      <c r="BE56" s="6">
        <f>IF(AND(frame($C56,$D56,BC$8),NOT(frame($C56,$D56,VLOOKUP(VLOOKUP(BE$26,FT[],9),Teachers[],MOD(COLUMN(BB56),6)+1)))),1,0)</f>
        <v>0</v>
      </c>
      <c r="BF56" s="6">
        <f>IF(AND(frame($C56,$D56,BD$8),NOT(frame($C56,$D56,VLOOKUP(VLOOKUP(BF$26,FT[],9),Teachers[],MOD(COLUMN(BC56),6)+1)))),1,0)</f>
        <v>0</v>
      </c>
      <c r="BG56" s="6">
        <f>IF(AND(frame($C56,$D56,BE$8),NOT(frame($C56,$D56,VLOOKUP(VLOOKUP(BG$26,FT[],9),Teachers[],MOD(COLUMN(BD56),6)+1)))),1,0)</f>
        <v>0</v>
      </c>
      <c r="BH56" s="6">
        <f>IF(AND(frame($C56,$D56,BF$8),NOT(frame($C56,$D56,VLOOKUP(VLOOKUP(BH$26,FT[],9),Teachers[],MOD(COLUMN(BE56),6)+1)))),1,0)</f>
        <v>0</v>
      </c>
      <c r="BI56" s="6">
        <f>IF(AND(frame($C56,$D56,BG$8),NOT(frame($C56,$D56,VLOOKUP(VLOOKUP(BI$26,FT[],9),Teachers[],MOD(COLUMN(BF56),6)+1)))),1,0)</f>
        <v>0</v>
      </c>
      <c r="BJ56" s="6">
        <f>IF(AND(frame($C56,$D56,BH$8),NOT(frame($C56,$D56,VLOOKUP(VLOOKUP(BJ$26,FT[],9),Teachers[],MOD(COLUMN(BG56),6)+1)))),1,0)</f>
        <v>0</v>
      </c>
      <c r="BK56" s="6">
        <f>IF(AND(frame($C56,$D56,BI$8),NOT(frame($C56,$D56,VLOOKUP(VLOOKUP(BK$26,FT[],9),Teachers[],MOD(COLUMN(BH56),6)+1)))),1,0)</f>
        <v>0</v>
      </c>
      <c r="BL56" s="6">
        <f>IF(AND(frame($C56,$D56,BJ$8),NOT(frame($C56,$D56,VLOOKUP(VLOOKUP(BL$26,FT[],9),Teachers[],MOD(COLUMN(BI56),6)+1)))),1,0)</f>
        <v>0</v>
      </c>
    </row>
    <row r="57" spans="2:64" ht="15.75" thickBot="1">
      <c r="B57" s="1">
        <v>30</v>
      </c>
      <c r="C57" s="9">
        <v>0.62499999999999989</v>
      </c>
      <c r="D57" s="9">
        <v>0.66666666666666652</v>
      </c>
      <c r="E57" s="6" t="e">
        <f ca="1">frame(СВ[[#This Row],[49]],СВ[[#This Row],[Столбец1]],C36,C50)</f>
        <v>#NAME?</v>
      </c>
      <c r="F57" s="6">
        <f>IF(AND(frame($C57,$D57,D$7),NOT(frame($C57,$D57,VLOOKUP(VLOOKUP(F$26,FT[],9),Teachers[],MOD(COLUMN(B57),6)+1)))),1,0)</f>
        <v>1</v>
      </c>
      <c r="G57" s="6">
        <f>IF(AND(frame($C57,$D57,E$7),NOT(frame($C57,$D57,VLOOKUP(VLOOKUP(G$26,FT[],9),Teachers[],MOD(COLUMN(C57),6)+1)))),1,0)</f>
        <v>0</v>
      </c>
      <c r="H57" s="6">
        <f>IF(AND(frame($C57,$D57,F$7),NOT(frame($C57,$D57,VLOOKUP(VLOOKUP(H$26,FT[],9),Teachers[],MOD(COLUMN(D57),6)+1)))),1,0)</f>
        <v>1</v>
      </c>
      <c r="I57" s="6" t="e">
        <f ca="1">IF(AND(frame($C57,$D57,G$7),NOT(frame($C57,$D57,VLOOKUP(VLOOKUP(I$26,FT[],9),Teachers[],MOD(COLUMN(E57),6)+1)))),1,0)</f>
        <v>#NAME?</v>
      </c>
      <c r="J57" s="6">
        <f>IF(AND(frame($C57,$D57,H$7),NOT(frame($C57,$D57,VLOOKUP(VLOOKUP(J$26,FT[],9),Teachers[],MOD(COLUMN(F57),6)+1)))),1,0)</f>
        <v>1</v>
      </c>
      <c r="K57" s="6">
        <f>IF(AND(frame($C57,$D57,I$8),NOT(frame($C57,$D57,VLOOKUP(VLOOKUP(K$26,FT[],9),Teachers[],MOD(COLUMN(H57),6)+1)))),1,0)</f>
        <v>0</v>
      </c>
      <c r="L57" s="1">
        <f t="shared" si="9"/>
        <v>0</v>
      </c>
      <c r="M57" s="6">
        <f>IF(AND(frame($C57,$D57,K$8),NOT(frame($C57,$D57,VLOOKUP(VLOOKUP(M$26,FT[],9),Teachers[],MOD(COLUMN(J57),6)+1)))),1,0)</f>
        <v>0</v>
      </c>
      <c r="N57" s="6">
        <f>IF(AND(frame($C57,$D57,L$8),NOT(frame($C57,$D57,VLOOKUP(VLOOKUP(N$26,FT[],9),Teachers[],MOD(COLUMN(K57),6)+1)))),1,0)</f>
        <v>0</v>
      </c>
      <c r="O57" s="6">
        <f>IF(AND(frame($C57,$D57,M$8),NOT(frame($C57,$D57,VLOOKUP(VLOOKUP(O$26,FT[],9),Teachers[],MOD(COLUMN(L57),6)+1)))),1,0)</f>
        <v>0</v>
      </c>
      <c r="P57" s="6">
        <f>IF(AND(frame($C57,$D57,N$8),NOT(frame($C57,$D57,VLOOKUP(VLOOKUP(P$26,FT[],9),Teachers[],MOD(COLUMN(M57),6)+1)))),1,0)</f>
        <v>0</v>
      </c>
      <c r="Q57" s="6">
        <f>IF(AND(frame($C57,$D57,O$8),NOT(frame($C57,$D57,VLOOKUP(VLOOKUP(Q$26,FT[],9),Teachers[],MOD(COLUMN(N57),6)+1)))),1,0)</f>
        <v>0</v>
      </c>
      <c r="R57" s="65">
        <f t="shared" si="10"/>
        <v>0</v>
      </c>
      <c r="S57" s="6">
        <f>IF(AND(frame($C57,$D57,Q$8),NOT(frame($C57,$D57,VLOOKUP(VLOOKUP(S$26,FT[],9),Teachers[],MOD(COLUMN(P57),6)+1)))),1,0)</f>
        <v>0</v>
      </c>
      <c r="T57" s="6">
        <f>IF(AND(frame($C57,$D57,R$8),NOT(frame($C57,$D57,VLOOKUP(VLOOKUP(T$26,FT[],9),Teachers[],MOD(COLUMN(Q57),6)+1)))),1,0)</f>
        <v>0</v>
      </c>
      <c r="U57" s="6">
        <f>IF(AND(frame($C57,$D57,S$8),NOT(frame($C57,$D57,VLOOKUP(VLOOKUP(U$26,FT[],9),Teachers[],MOD(COLUMN(R57),6)+1)))),1,0)</f>
        <v>0</v>
      </c>
      <c r="V57" s="6">
        <f>IF(AND(frame($C57,$D57,T$8),NOT(frame($C57,$D57,VLOOKUP(VLOOKUP(V$26,FT[],9),Teachers[],MOD(COLUMN(S57),6)+1)))),1,0)</f>
        <v>0</v>
      </c>
      <c r="W57" s="6">
        <f>IF(AND(frame($C57,$D57,U$8),NOT(frame($C57,$D57,VLOOKUP(VLOOKUP(W$26,FT[],9),Teachers[],MOD(COLUMN(T57),6)+1)))),1,0)</f>
        <v>0</v>
      </c>
      <c r="X57" s="6">
        <f>IF(AND(frame($C57,$D57,V$8),NOT(frame($C57,$D57,VLOOKUP(VLOOKUP(X$26,FT[],9),Teachers[],MOD(COLUMN(U57),6)+1)))),1,0)</f>
        <v>0</v>
      </c>
      <c r="Y57" s="6">
        <f>IF(AND(frame($C57,$D57,W$8),NOT(frame($C57,$D57,VLOOKUP(VLOOKUP(Y$26,FT[],9),Teachers[],MOD(COLUMN(V57),6)+1)))),1,0)</f>
        <v>0</v>
      </c>
      <c r="Z57" s="6">
        <f>IF(AND(frame($C57,$D57,X$8),NOT(frame($C57,$D57,VLOOKUP(VLOOKUP(Z$26,FT[],9),Teachers[],MOD(COLUMN(W57),6)+1)))),1,0)</f>
        <v>0</v>
      </c>
      <c r="AA57" s="6">
        <f>IF(AND(frame($C57,$D57,Y$8),NOT(frame($C57,$D57,VLOOKUP(VLOOKUP(AA$26,FT[],9),Teachers[],MOD(COLUMN(X57),6)+1)))),1,0)</f>
        <v>0</v>
      </c>
      <c r="AB57" s="6">
        <f>IF(AND(frame($C57,$D57,Z$8),NOT(frame($C57,$D57,VLOOKUP(VLOOKUP(AB$26,FT[],9),Teachers[],MOD(COLUMN(Y57),6)+1)))),1,0)</f>
        <v>0</v>
      </c>
      <c r="AC57" s="6">
        <f>IF(AND(frame($C57,$D57,AA$8),NOT(frame($C57,$D57,VLOOKUP(VLOOKUP(AC$26,FT[],9),Teachers[],MOD(COLUMN(Z57),6)+1)))),1,0)</f>
        <v>0</v>
      </c>
      <c r="AD57" s="6">
        <f>IF(AND(frame($C57,$D57,AB$8),NOT(frame($C57,$D57,VLOOKUP(VLOOKUP(AD$26,FT[],9),Teachers[],MOD(COLUMN(AA57),6)+1)))),1,0)</f>
        <v>0</v>
      </c>
      <c r="AE57" s="6">
        <f>IF(AND(frame($C57,$D57,AC$8),NOT(frame($C57,$D57,VLOOKUP(VLOOKUP(AE$26,FT[],9),Teachers[],MOD(COLUMN(AB57),6)+1)))),1,0)</f>
        <v>0</v>
      </c>
      <c r="AF57" s="6">
        <f>IF(AND(frame($C57,$D57,AD$8),NOT(frame($C57,$D57,VLOOKUP(VLOOKUP(AF$26,FT[],9),Teachers[],MOD(COLUMN(AC57),6)+1)))),1,0)</f>
        <v>0</v>
      </c>
      <c r="AG57" s="6">
        <f>IF(AND(frame($C57,$D57,AE$8),NOT(frame($C57,$D57,VLOOKUP(VLOOKUP(AG$26,FT[],9),Teachers[],MOD(COLUMN(AD57),6)+1)))),1,0)</f>
        <v>0</v>
      </c>
      <c r="AH57" s="6">
        <f>IF(AND(frame($C57,$D57,AF$8),NOT(frame($C57,$D57,VLOOKUP(VLOOKUP(AH$26,FT[],9),Teachers[],MOD(COLUMN(AE57),6)+1)))),1,0)</f>
        <v>0</v>
      </c>
      <c r="AI57" s="6">
        <f>IF(AND(frame($C57,$D57,AG$8),NOT(frame($C57,$D57,VLOOKUP(VLOOKUP(AI$26,FT[],9),Teachers[],MOD(COLUMN(AF57),6)+1)))),1,0)</f>
        <v>0</v>
      </c>
      <c r="AJ57" s="6">
        <f>IF(AND(frame($C57,$D57,AH$8),NOT(frame($C57,$D57,VLOOKUP(VLOOKUP(AJ$26,FT[],9),Teachers[],MOD(COLUMN(AG57),6)+1)))),1,0)</f>
        <v>0</v>
      </c>
      <c r="AK57" s="6">
        <f>IF(AND(frame($C57,$D57,AI$8),NOT(frame($C57,$D57,VLOOKUP(VLOOKUP(AK$26,FT[],9),Teachers[],MOD(COLUMN(AH57),6)+1)))),1,0)</f>
        <v>0</v>
      </c>
      <c r="AL57" s="6">
        <f>IF(AND(frame($C57,$D57,AJ$8),NOT(frame($C57,$D57,VLOOKUP(VLOOKUP(AL$26,FT[],9),Teachers[],MOD(COLUMN(AI57),6)+1)))),1,0)</f>
        <v>0</v>
      </c>
      <c r="AM57" s="6">
        <f>IF(AND(frame($C57,$D57,AK$8),NOT(frame($C57,$D57,VLOOKUP(VLOOKUP(AM$26,FT[],9),Teachers[],MOD(COLUMN(AJ57),6)+1)))),1,0)</f>
        <v>0</v>
      </c>
      <c r="AN57" s="6">
        <f>IF(AND(frame($C57,$D57,AL$8),NOT(frame($C57,$D57,VLOOKUP(VLOOKUP(AN$26,FT[],9),Teachers[],MOD(COLUMN(AK57),6)+1)))),1,0)</f>
        <v>0</v>
      </c>
      <c r="AO57" s="6">
        <f>IF(AND(frame($C57,$D57,AM$8),NOT(frame($C57,$D57,VLOOKUP(VLOOKUP(AO$26,FT[],9),Teachers[],MOD(COLUMN(AL57),6)+1)))),1,0)</f>
        <v>0</v>
      </c>
      <c r="AP57" s="66">
        <f t="shared" si="11"/>
        <v>0</v>
      </c>
      <c r="AQ57" s="6">
        <f>IF(AND(frame($C57,$D57,AO$8),NOT(frame($C57,$D57,VLOOKUP(VLOOKUP(AQ$26,FT[],9),Teachers[],MOD(COLUMN(AN57),6)+1)))),1,0)</f>
        <v>0</v>
      </c>
      <c r="AR57" s="6">
        <f>IF(AND(frame($C57,$D57,AP$8),NOT(frame($C57,$D57,VLOOKUP(VLOOKUP(AR$26,FT[],9),Teachers[],MOD(COLUMN(AO57),6)+1)))),1,0)</f>
        <v>0</v>
      </c>
      <c r="AS57" s="6">
        <f>IF(AND(frame($C57,$D57,AQ$8),NOT(frame($C57,$D57,VLOOKUP(VLOOKUP(AS$26,FT[],9),Teachers[],MOD(COLUMN(AP57),6)+1)))),1,0)</f>
        <v>0</v>
      </c>
      <c r="AT57" s="6">
        <f>IF(AND(frame($C57,$D57,AR$8),NOT(frame($C57,$D57,VLOOKUP(VLOOKUP(AT$26,FT[],9),Teachers[],MOD(COLUMN(AQ57),6)+1)))),1,0)</f>
        <v>0</v>
      </c>
      <c r="AU57" s="6">
        <f>IF(AND(frame($C57,$D57,AS$8),NOT(frame($C57,$D57,VLOOKUP(VLOOKUP(AU$26,FT[],9),Teachers[],MOD(COLUMN(AR57),6)+1)))),1,0)</f>
        <v>0</v>
      </c>
      <c r="AV57" s="6">
        <f>IF(AND(frame($C57,$D57,AT$8),NOT(frame($C57,$D57,VLOOKUP(VLOOKUP(AV$26,FT[],9),Teachers[],MOD(COLUMN(AS57),6)+1)))),1,0)</f>
        <v>0</v>
      </c>
      <c r="AW57" s="6">
        <f>IF(AND(frame($C57,$D57,AU$8),NOT(frame($C57,$D57,VLOOKUP(VLOOKUP(AW$26,FT[],9),Teachers[],MOD(COLUMN(AT57),6)+1)))),1,0)</f>
        <v>0</v>
      </c>
      <c r="AX57" s="6">
        <f>IF(AND(frame($C57,$D57,AV$8),NOT(frame($C57,$D57,VLOOKUP(VLOOKUP(AX$26,FT[],9),Teachers[],MOD(COLUMN(AU57),6)+1)))),1,0)</f>
        <v>0</v>
      </c>
      <c r="AY57" s="6">
        <f>IF(AND(frame($C57,$D57,AW$8),NOT(frame($C57,$D57,VLOOKUP(VLOOKUP(AY$26,FT[],9),Teachers[],MOD(COLUMN(AV57),6)+1)))),1,0)</f>
        <v>0</v>
      </c>
      <c r="AZ57" s="6">
        <f>IF(AND(frame($C57,$D57,AX$8),NOT(frame($C57,$D57,VLOOKUP(VLOOKUP(AZ$26,FT[],9),Teachers[],MOD(COLUMN(AW57),6)+1)))),1,0)</f>
        <v>0</v>
      </c>
      <c r="BA57" s="6">
        <f>IF(AND(frame($C57,$D57,AY$8),NOT(frame($C57,$D57,VLOOKUP(VLOOKUP(BA$26,FT[],9),Teachers[],MOD(COLUMN(AX57),6)+1)))),1,0)</f>
        <v>0</v>
      </c>
      <c r="BB57" s="6">
        <f>IF(AND(frame($C57,$D57,AZ$8),NOT(frame($C57,$D57,VLOOKUP(VLOOKUP(BB$26,FT[],9),Teachers[],MOD(COLUMN(AY57),6)+1)))),1,0)</f>
        <v>0</v>
      </c>
      <c r="BC57" s="6">
        <f>IF(AND(frame($C57,$D57,BA$8),NOT(frame($C57,$D57,VLOOKUP(VLOOKUP(BC$26,FT[],9),Teachers[],MOD(COLUMN(AZ57),6)+1)))),1,0)</f>
        <v>0</v>
      </c>
      <c r="BD57" s="6">
        <f>IF(AND(frame($C57,$D57,BB$8),NOT(frame($C57,$D57,VLOOKUP(VLOOKUP(BD$26,FT[],9),Teachers[],MOD(COLUMN(BA57),6)+1)))),1,0)</f>
        <v>0</v>
      </c>
      <c r="BE57" s="6">
        <f>IF(AND(frame($C57,$D57,BC$8),NOT(frame($C57,$D57,VLOOKUP(VLOOKUP(BE$26,FT[],9),Teachers[],MOD(COLUMN(BB57),6)+1)))),1,0)</f>
        <v>0</v>
      </c>
      <c r="BF57" s="6">
        <f>IF(AND(frame($C57,$D57,BD$8),NOT(frame($C57,$D57,VLOOKUP(VLOOKUP(BF$26,FT[],9),Teachers[],MOD(COLUMN(BC57),6)+1)))),1,0)</f>
        <v>0</v>
      </c>
      <c r="BG57" s="6">
        <f>IF(AND(frame($C57,$D57,BE$8),NOT(frame($C57,$D57,VLOOKUP(VLOOKUP(BG$26,FT[],9),Teachers[],MOD(COLUMN(BD57),6)+1)))),1,0)</f>
        <v>0</v>
      </c>
      <c r="BH57" s="6">
        <f>IF(AND(frame($C57,$D57,BF$8),NOT(frame($C57,$D57,VLOOKUP(VLOOKUP(BH$26,FT[],9),Teachers[],MOD(COLUMN(BE57),6)+1)))),1,0)</f>
        <v>0</v>
      </c>
      <c r="BI57" s="6">
        <f>IF(AND(frame($C57,$D57,BG$8),NOT(frame($C57,$D57,VLOOKUP(VLOOKUP(BI$26,FT[],9),Teachers[],MOD(COLUMN(BF57),6)+1)))),1,0)</f>
        <v>0</v>
      </c>
      <c r="BJ57" s="6">
        <f>IF(AND(frame($C57,$D57,BH$8),NOT(frame($C57,$D57,VLOOKUP(VLOOKUP(BJ$26,FT[],9),Teachers[],MOD(COLUMN(BG57),6)+1)))),1,0)</f>
        <v>0</v>
      </c>
      <c r="BK57" s="6">
        <f>IF(AND(frame($C57,$D57,BI$8),NOT(frame($C57,$D57,VLOOKUP(VLOOKUP(BK$26,FT[],9),Teachers[],MOD(COLUMN(BH57),6)+1)))),1,0)</f>
        <v>0</v>
      </c>
      <c r="BL57" s="6">
        <f>IF(AND(frame($C57,$D57,BJ$8),NOT(frame($C57,$D57,VLOOKUP(VLOOKUP(BL$26,FT[],9),Teachers[],MOD(COLUMN(BI57),6)+1)))),1,0)</f>
        <v>0</v>
      </c>
    </row>
    <row r="58" spans="2:64" ht="15.75" thickBot="1">
      <c r="B58" s="1">
        <v>31</v>
      </c>
      <c r="C58" s="9">
        <v>0.63541666666666652</v>
      </c>
      <c r="D58" s="9">
        <v>0.66666666666666652</v>
      </c>
      <c r="E58" s="6" t="e">
        <f ca="1">frame(СВ[[#This Row],[49]],СВ[[#This Row],[Столбец1]],C37,C51)</f>
        <v>#NAME?</v>
      </c>
      <c r="F58" s="6">
        <f>IF(AND(frame($C58,$D58,D$7),NOT(frame($C58,$D58,VLOOKUP(VLOOKUP(F$26,FT[],9),Teachers[],MOD(COLUMN(B58),6)+1)))),1,0)</f>
        <v>1</v>
      </c>
      <c r="G58" s="6">
        <f>IF(AND(frame($C58,$D58,E$7),NOT(frame($C58,$D58,VLOOKUP(VLOOKUP(G$26,FT[],9),Teachers[],MOD(COLUMN(C58),6)+1)))),1,0)</f>
        <v>0</v>
      </c>
      <c r="H58" s="6">
        <f>IF(AND(frame($C58,$D58,F$7),NOT(frame($C58,$D58,VLOOKUP(VLOOKUP(H$26,FT[],9),Teachers[],MOD(COLUMN(D58),6)+1)))),1,0)</f>
        <v>1</v>
      </c>
      <c r="I58" s="6" t="e">
        <f ca="1">IF(AND(frame($C58,$D58,G$7),NOT(frame($C58,$D58,VLOOKUP(VLOOKUP(I$26,FT[],9),Teachers[],MOD(COLUMN(E58),6)+1)))),1,0)</f>
        <v>#NAME?</v>
      </c>
      <c r="J58" s="6">
        <f>IF(AND(frame($C58,$D58,H$7),NOT(frame($C58,$D58,VLOOKUP(VLOOKUP(J$26,FT[],9),Teachers[],MOD(COLUMN(F58),6)+1)))),1,0)</f>
        <v>1</v>
      </c>
      <c r="K58" s="6">
        <f>IF(AND(frame($C58,$D58,I$8),NOT(frame($C58,$D58,VLOOKUP(VLOOKUP(K$26,FT[],9),Teachers[],MOD(COLUMN(H58),6)+1)))),1,0)</f>
        <v>0</v>
      </c>
      <c r="L58" s="1">
        <f t="shared" si="9"/>
        <v>0</v>
      </c>
      <c r="M58" s="6">
        <f>IF(AND(frame($C58,$D58,K$8),NOT(frame($C58,$D58,VLOOKUP(VLOOKUP(M$26,FT[],9),Teachers[],MOD(COLUMN(J58),6)+1)))),1,0)</f>
        <v>0</v>
      </c>
      <c r="N58" s="6">
        <f>IF(AND(frame($C58,$D58,L$8),NOT(frame($C58,$D58,VLOOKUP(VLOOKUP(N$26,FT[],9),Teachers[],MOD(COLUMN(K58),6)+1)))),1,0)</f>
        <v>0</v>
      </c>
      <c r="O58" s="6">
        <f>IF(AND(frame($C58,$D58,M$8),NOT(frame($C58,$D58,VLOOKUP(VLOOKUP(O$26,FT[],9),Teachers[],MOD(COLUMN(L58),6)+1)))),1,0)</f>
        <v>0</v>
      </c>
      <c r="P58" s="6">
        <f>IF(AND(frame($C58,$D58,N$8),NOT(frame($C58,$D58,VLOOKUP(VLOOKUP(P$26,FT[],9),Teachers[],MOD(COLUMN(M58),6)+1)))),1,0)</f>
        <v>0</v>
      </c>
      <c r="Q58" s="6">
        <f>IF(AND(frame($C58,$D58,O$8),NOT(frame($C58,$D58,VLOOKUP(VLOOKUP(Q$26,FT[],9),Teachers[],MOD(COLUMN(N58),6)+1)))),1,0)</f>
        <v>0</v>
      </c>
      <c r="R58" s="65">
        <f t="shared" si="10"/>
        <v>0</v>
      </c>
      <c r="S58" s="6">
        <f>IF(AND(frame($C58,$D58,Q$8),NOT(frame($C58,$D58,VLOOKUP(VLOOKUP(S$26,FT[],9),Teachers[],MOD(COLUMN(P58),6)+1)))),1,0)</f>
        <v>0</v>
      </c>
      <c r="T58" s="6">
        <f>IF(AND(frame($C58,$D58,R$8),NOT(frame($C58,$D58,VLOOKUP(VLOOKUP(T$26,FT[],9),Teachers[],MOD(COLUMN(Q58),6)+1)))),1,0)</f>
        <v>0</v>
      </c>
      <c r="U58" s="6">
        <f>IF(AND(frame($C58,$D58,S$8),NOT(frame($C58,$D58,VLOOKUP(VLOOKUP(U$26,FT[],9),Teachers[],MOD(COLUMN(R58),6)+1)))),1,0)</f>
        <v>0</v>
      </c>
      <c r="V58" s="6">
        <f>IF(AND(frame($C58,$D58,T$8),NOT(frame($C58,$D58,VLOOKUP(VLOOKUP(V$26,FT[],9),Teachers[],MOD(COLUMN(S58),6)+1)))),1,0)</f>
        <v>0</v>
      </c>
      <c r="W58" s="6">
        <f>IF(AND(frame($C58,$D58,U$8),NOT(frame($C58,$D58,VLOOKUP(VLOOKUP(W$26,FT[],9),Teachers[],MOD(COLUMN(T58),6)+1)))),1,0)</f>
        <v>0</v>
      </c>
      <c r="X58" s="6">
        <f>IF(AND(frame($C58,$D58,V$8),NOT(frame($C58,$D58,VLOOKUP(VLOOKUP(X$26,FT[],9),Teachers[],MOD(COLUMN(U58),6)+1)))),1,0)</f>
        <v>0</v>
      </c>
      <c r="Y58" s="6">
        <f>IF(AND(frame($C58,$D58,W$8),NOT(frame($C58,$D58,VLOOKUP(VLOOKUP(Y$26,FT[],9),Teachers[],MOD(COLUMN(V58),6)+1)))),1,0)</f>
        <v>0</v>
      </c>
      <c r="Z58" s="6">
        <f>IF(AND(frame($C58,$D58,X$8),NOT(frame($C58,$D58,VLOOKUP(VLOOKUP(Z$26,FT[],9),Teachers[],MOD(COLUMN(W58),6)+1)))),1,0)</f>
        <v>0</v>
      </c>
      <c r="AA58" s="6">
        <f>IF(AND(frame($C58,$D58,Y$8),NOT(frame($C58,$D58,VLOOKUP(VLOOKUP(AA$26,FT[],9),Teachers[],MOD(COLUMN(X58),6)+1)))),1,0)</f>
        <v>0</v>
      </c>
      <c r="AB58" s="6">
        <f>IF(AND(frame($C58,$D58,Z$8),NOT(frame($C58,$D58,VLOOKUP(VLOOKUP(AB$26,FT[],9),Teachers[],MOD(COLUMN(Y58),6)+1)))),1,0)</f>
        <v>0</v>
      </c>
      <c r="AC58" s="6">
        <f>IF(AND(frame($C58,$D58,AA$8),NOT(frame($C58,$D58,VLOOKUP(VLOOKUP(AC$26,FT[],9),Teachers[],MOD(COLUMN(Z58),6)+1)))),1,0)</f>
        <v>0</v>
      </c>
      <c r="AD58" s="6">
        <f>IF(AND(frame($C58,$D58,AB$8),NOT(frame($C58,$D58,VLOOKUP(VLOOKUP(AD$26,FT[],9),Teachers[],MOD(COLUMN(AA58),6)+1)))),1,0)</f>
        <v>0</v>
      </c>
      <c r="AE58" s="6">
        <f>IF(AND(frame($C58,$D58,AC$8),NOT(frame($C58,$D58,VLOOKUP(VLOOKUP(AE$26,FT[],9),Teachers[],MOD(COLUMN(AB58),6)+1)))),1,0)</f>
        <v>0</v>
      </c>
      <c r="AF58" s="6">
        <f>IF(AND(frame($C58,$D58,AD$8),NOT(frame($C58,$D58,VLOOKUP(VLOOKUP(AF$26,FT[],9),Teachers[],MOD(COLUMN(AC58),6)+1)))),1,0)</f>
        <v>0</v>
      </c>
      <c r="AG58" s="6">
        <f>IF(AND(frame($C58,$D58,AE$8),NOT(frame($C58,$D58,VLOOKUP(VLOOKUP(AG$26,FT[],9),Teachers[],MOD(COLUMN(AD58),6)+1)))),1,0)</f>
        <v>0</v>
      </c>
      <c r="AH58" s="6">
        <f>IF(AND(frame($C58,$D58,AF$8),NOT(frame($C58,$D58,VLOOKUP(VLOOKUP(AH$26,FT[],9),Teachers[],MOD(COLUMN(AE58),6)+1)))),1,0)</f>
        <v>0</v>
      </c>
      <c r="AI58" s="6">
        <f>IF(AND(frame($C58,$D58,AG$8),NOT(frame($C58,$D58,VLOOKUP(VLOOKUP(AI$26,FT[],9),Teachers[],MOD(COLUMN(AF58),6)+1)))),1,0)</f>
        <v>0</v>
      </c>
      <c r="AJ58" s="6">
        <f>IF(AND(frame($C58,$D58,AH$8),NOT(frame($C58,$D58,VLOOKUP(VLOOKUP(AJ$26,FT[],9),Teachers[],MOD(COLUMN(AG58),6)+1)))),1,0)</f>
        <v>0</v>
      </c>
      <c r="AK58" s="6">
        <f>IF(AND(frame($C58,$D58,AI$8),NOT(frame($C58,$D58,VLOOKUP(VLOOKUP(AK$26,FT[],9),Teachers[],MOD(COLUMN(AH58),6)+1)))),1,0)</f>
        <v>0</v>
      </c>
      <c r="AL58" s="6">
        <f>IF(AND(frame($C58,$D58,AJ$8),NOT(frame($C58,$D58,VLOOKUP(VLOOKUP(AL$26,FT[],9),Teachers[],MOD(COLUMN(AI58),6)+1)))),1,0)</f>
        <v>0</v>
      </c>
      <c r="AM58" s="6">
        <f>IF(AND(frame($C58,$D58,AK$8),NOT(frame($C58,$D58,VLOOKUP(VLOOKUP(AM$26,FT[],9),Teachers[],MOD(COLUMN(AJ58),6)+1)))),1,0)</f>
        <v>0</v>
      </c>
      <c r="AN58" s="6">
        <f>IF(AND(frame($C58,$D58,AL$8),NOT(frame($C58,$D58,VLOOKUP(VLOOKUP(AN$26,FT[],9),Teachers[],MOD(COLUMN(AK58),6)+1)))),1,0)</f>
        <v>0</v>
      </c>
      <c r="AO58" s="6">
        <f>IF(AND(frame($C58,$D58,AM$8),NOT(frame($C58,$D58,VLOOKUP(VLOOKUP(AO$26,FT[],9),Teachers[],MOD(COLUMN(AL58),6)+1)))),1,0)</f>
        <v>0</v>
      </c>
      <c r="AP58" s="66">
        <f t="shared" si="11"/>
        <v>0</v>
      </c>
      <c r="AQ58" s="6">
        <f>IF(AND(frame($C58,$D58,AO$8),NOT(frame($C58,$D58,VLOOKUP(VLOOKUP(AQ$26,FT[],9),Teachers[],MOD(COLUMN(AN58),6)+1)))),1,0)</f>
        <v>0</v>
      </c>
      <c r="AR58" s="6">
        <f>IF(AND(frame($C58,$D58,AP$8),NOT(frame($C58,$D58,VLOOKUP(VLOOKUP(AR$26,FT[],9),Teachers[],MOD(COLUMN(AO58),6)+1)))),1,0)</f>
        <v>0</v>
      </c>
      <c r="AS58" s="6">
        <f>IF(AND(frame($C58,$D58,AQ$8),NOT(frame($C58,$D58,VLOOKUP(VLOOKUP(AS$26,FT[],9),Teachers[],MOD(COLUMN(AP58),6)+1)))),1,0)</f>
        <v>0</v>
      </c>
      <c r="AT58" s="6">
        <f>IF(AND(frame($C58,$D58,AR$8),NOT(frame($C58,$D58,VLOOKUP(VLOOKUP(AT$26,FT[],9),Teachers[],MOD(COLUMN(AQ58),6)+1)))),1,0)</f>
        <v>0</v>
      </c>
      <c r="AU58" s="6">
        <f>IF(AND(frame($C58,$D58,AS$8),NOT(frame($C58,$D58,VLOOKUP(VLOOKUP(AU$26,FT[],9),Teachers[],MOD(COLUMN(AR58),6)+1)))),1,0)</f>
        <v>0</v>
      </c>
      <c r="AV58" s="6">
        <f>IF(AND(frame($C58,$D58,AT$8),NOT(frame($C58,$D58,VLOOKUP(VLOOKUP(AV$26,FT[],9),Teachers[],MOD(COLUMN(AS58),6)+1)))),1,0)</f>
        <v>0</v>
      </c>
      <c r="AW58" s="6">
        <f>IF(AND(frame($C58,$D58,AU$8),NOT(frame($C58,$D58,VLOOKUP(VLOOKUP(AW$26,FT[],9),Teachers[],MOD(COLUMN(AT58),6)+1)))),1,0)</f>
        <v>0</v>
      </c>
      <c r="AX58" s="6">
        <f>IF(AND(frame($C58,$D58,AV$8),NOT(frame($C58,$D58,VLOOKUP(VLOOKUP(AX$26,FT[],9),Teachers[],MOD(COLUMN(AU58),6)+1)))),1,0)</f>
        <v>0</v>
      </c>
      <c r="AY58" s="6">
        <f>IF(AND(frame($C58,$D58,AW$8),NOT(frame($C58,$D58,VLOOKUP(VLOOKUP(AY$26,FT[],9),Teachers[],MOD(COLUMN(AV58),6)+1)))),1,0)</f>
        <v>0</v>
      </c>
      <c r="AZ58" s="6">
        <f>IF(AND(frame($C58,$D58,AX$8),NOT(frame($C58,$D58,VLOOKUP(VLOOKUP(AZ$26,FT[],9),Teachers[],MOD(COLUMN(AW58),6)+1)))),1,0)</f>
        <v>0</v>
      </c>
      <c r="BA58" s="6">
        <f>IF(AND(frame($C58,$D58,AY$8),NOT(frame($C58,$D58,VLOOKUP(VLOOKUP(BA$26,FT[],9),Teachers[],MOD(COLUMN(AX58),6)+1)))),1,0)</f>
        <v>0</v>
      </c>
      <c r="BB58" s="6">
        <f>IF(AND(frame($C58,$D58,AZ$8),NOT(frame($C58,$D58,VLOOKUP(VLOOKUP(BB$26,FT[],9),Teachers[],MOD(COLUMN(AY58),6)+1)))),1,0)</f>
        <v>0</v>
      </c>
      <c r="BC58" s="6">
        <f>IF(AND(frame($C58,$D58,BA$8),NOT(frame($C58,$D58,VLOOKUP(VLOOKUP(BC$26,FT[],9),Teachers[],MOD(COLUMN(AZ58),6)+1)))),1,0)</f>
        <v>0</v>
      </c>
      <c r="BD58" s="6">
        <f>IF(AND(frame($C58,$D58,BB$8),NOT(frame($C58,$D58,VLOOKUP(VLOOKUP(BD$26,FT[],9),Teachers[],MOD(COLUMN(BA58),6)+1)))),1,0)</f>
        <v>0</v>
      </c>
      <c r="BE58" s="6">
        <f>IF(AND(frame($C58,$D58,BC$8),NOT(frame($C58,$D58,VLOOKUP(VLOOKUP(BE$26,FT[],9),Teachers[],MOD(COLUMN(BB58),6)+1)))),1,0)</f>
        <v>0</v>
      </c>
      <c r="BF58" s="6">
        <f>IF(AND(frame($C58,$D58,BD$8),NOT(frame($C58,$D58,VLOOKUP(VLOOKUP(BF$26,FT[],9),Teachers[],MOD(COLUMN(BC58),6)+1)))),1,0)</f>
        <v>0</v>
      </c>
      <c r="BG58" s="6">
        <f>IF(AND(frame($C58,$D58,BE$8),NOT(frame($C58,$D58,VLOOKUP(VLOOKUP(BG$26,FT[],9),Teachers[],MOD(COLUMN(BD58),6)+1)))),1,0)</f>
        <v>0</v>
      </c>
      <c r="BH58" s="6">
        <f>IF(AND(frame($C58,$D58,BF$8),NOT(frame($C58,$D58,VLOOKUP(VLOOKUP(BH$26,FT[],9),Teachers[],MOD(COLUMN(BE58),6)+1)))),1,0)</f>
        <v>0</v>
      </c>
      <c r="BI58" s="6">
        <f>IF(AND(frame($C58,$D58,BG$8),NOT(frame($C58,$D58,VLOOKUP(VLOOKUP(BI$26,FT[],9),Teachers[],MOD(COLUMN(BF58),6)+1)))),1,0)</f>
        <v>0</v>
      </c>
      <c r="BJ58" s="6">
        <f>IF(AND(frame($C58,$D58,BH$8),NOT(frame($C58,$D58,VLOOKUP(VLOOKUP(BJ$26,FT[],9),Teachers[],MOD(COLUMN(BG58),6)+1)))),1,0)</f>
        <v>0</v>
      </c>
      <c r="BK58" s="6">
        <f>IF(AND(frame($C58,$D58,BI$8),NOT(frame($C58,$D58,VLOOKUP(VLOOKUP(BK$26,FT[],9),Teachers[],MOD(COLUMN(BH58),6)+1)))),1,0)</f>
        <v>0</v>
      </c>
      <c r="BL58" s="6">
        <f>IF(AND(frame($C58,$D58,BJ$8),NOT(frame($C58,$D58,VLOOKUP(VLOOKUP(BL$26,FT[],9),Teachers[],MOD(COLUMN(BI58),6)+1)))),1,0)</f>
        <v>0</v>
      </c>
    </row>
    <row r="59" spans="2:64" ht="15.75" thickBot="1">
      <c r="B59" s="1">
        <v>32</v>
      </c>
      <c r="C59" s="9">
        <v>0.64583333333333326</v>
      </c>
      <c r="D59" s="9">
        <v>0.67708333333333315</v>
      </c>
      <c r="E59" s="6" t="e">
        <f ca="1">frame(СВ[[#This Row],[49]],СВ[[#This Row],[Столбец1]],C38,C52)</f>
        <v>#NAME?</v>
      </c>
      <c r="F59" s="6">
        <f>IF(AND(frame($C59,$D59,D$7),NOT(frame($C59,$D59,VLOOKUP(VLOOKUP(F$26,FT[],9),Teachers[],MOD(COLUMN(B59),6)+1)))),1,0)</f>
        <v>1</v>
      </c>
      <c r="G59" s="6">
        <f>IF(AND(frame($C59,$D59,E$7),NOT(frame($C59,$D59,VLOOKUP(VLOOKUP(G$26,FT[],9),Teachers[],MOD(COLUMN(C59),6)+1)))),1,0)</f>
        <v>0</v>
      </c>
      <c r="H59" s="6">
        <f>IF(AND(frame($C59,$D59,F$7),NOT(frame($C59,$D59,VLOOKUP(VLOOKUP(H$26,FT[],9),Teachers[],MOD(COLUMN(D59),6)+1)))),1,0)</f>
        <v>1</v>
      </c>
      <c r="I59" s="6" t="e">
        <f ca="1">IF(AND(frame($C59,$D59,G$7),NOT(frame($C59,$D59,VLOOKUP(VLOOKUP(I$26,FT[],9),Teachers[],MOD(COLUMN(E59),6)+1)))),1,0)</f>
        <v>#NAME?</v>
      </c>
      <c r="J59" s="6">
        <f>IF(AND(frame($C59,$D59,H$7),NOT(frame($C59,$D59,VLOOKUP(VLOOKUP(J$26,FT[],9),Teachers[],MOD(COLUMN(F59),6)+1)))),1,0)</f>
        <v>1</v>
      </c>
      <c r="K59" s="6">
        <f>IF(AND(frame($C59,$D59,I$8),NOT(frame($C59,$D59,VLOOKUP(VLOOKUP(K$26,FT[],9),Teachers[],MOD(COLUMN(H59),6)+1)))),1,0)</f>
        <v>0</v>
      </c>
      <c r="L59" s="1">
        <f t="shared" si="9"/>
        <v>0</v>
      </c>
      <c r="M59" s="6">
        <f>IF(AND(frame($C59,$D59,K$8),NOT(frame($C59,$D59,VLOOKUP(VLOOKUP(M$26,FT[],9),Teachers[],MOD(COLUMN(J59),6)+1)))),1,0)</f>
        <v>0</v>
      </c>
      <c r="N59" s="6">
        <f>IF(AND(frame($C59,$D59,L$8),NOT(frame($C59,$D59,VLOOKUP(VLOOKUP(N$26,FT[],9),Teachers[],MOD(COLUMN(K59),6)+1)))),1,0)</f>
        <v>0</v>
      </c>
      <c r="O59" s="6">
        <f>IF(AND(frame($C59,$D59,M$8),NOT(frame($C59,$D59,VLOOKUP(VLOOKUP(O$26,FT[],9),Teachers[],MOD(COLUMN(L59),6)+1)))),1,0)</f>
        <v>0</v>
      </c>
      <c r="P59" s="6">
        <f>IF(AND(frame($C59,$D59,N$8),NOT(frame($C59,$D59,VLOOKUP(VLOOKUP(P$26,FT[],9),Teachers[],MOD(COLUMN(M59),6)+1)))),1,0)</f>
        <v>0</v>
      </c>
      <c r="Q59" s="6">
        <f>IF(AND(frame($C59,$D59,O$8),NOT(frame($C59,$D59,VLOOKUP(VLOOKUP(Q$26,FT[],9),Teachers[],MOD(COLUMN(N59),6)+1)))),1,0)</f>
        <v>0</v>
      </c>
      <c r="R59" s="65">
        <f t="shared" si="10"/>
        <v>0</v>
      </c>
      <c r="S59" s="6">
        <f>IF(AND(frame($C59,$D59,Q$8),NOT(frame($C59,$D59,VLOOKUP(VLOOKUP(S$26,FT[],9),Teachers[],MOD(COLUMN(P59),6)+1)))),1,0)</f>
        <v>0</v>
      </c>
      <c r="T59" s="6">
        <f>IF(AND(frame($C59,$D59,R$8),NOT(frame($C59,$D59,VLOOKUP(VLOOKUP(T$26,FT[],9),Teachers[],MOD(COLUMN(Q59),6)+1)))),1,0)</f>
        <v>0</v>
      </c>
      <c r="U59" s="6">
        <f>IF(AND(frame($C59,$D59,S$8),NOT(frame($C59,$D59,VLOOKUP(VLOOKUP(U$26,FT[],9),Teachers[],MOD(COLUMN(R59),6)+1)))),1,0)</f>
        <v>0</v>
      </c>
      <c r="V59" s="6">
        <f>IF(AND(frame($C59,$D59,T$8),NOT(frame($C59,$D59,VLOOKUP(VLOOKUP(V$26,FT[],9),Teachers[],MOD(COLUMN(S59),6)+1)))),1,0)</f>
        <v>0</v>
      </c>
      <c r="W59" s="6">
        <f>IF(AND(frame($C59,$D59,U$8),NOT(frame($C59,$D59,VLOOKUP(VLOOKUP(W$26,FT[],9),Teachers[],MOD(COLUMN(T59),6)+1)))),1,0)</f>
        <v>0</v>
      </c>
      <c r="X59" s="6">
        <f>IF(AND(frame($C59,$D59,V$8),NOT(frame($C59,$D59,VLOOKUP(VLOOKUP(X$26,FT[],9),Teachers[],MOD(COLUMN(U59),6)+1)))),1,0)</f>
        <v>0</v>
      </c>
      <c r="Y59" s="6">
        <f>IF(AND(frame($C59,$D59,W$8),NOT(frame($C59,$D59,VLOOKUP(VLOOKUP(Y$26,FT[],9),Teachers[],MOD(COLUMN(V59),6)+1)))),1,0)</f>
        <v>0</v>
      </c>
      <c r="Z59" s="6">
        <f>IF(AND(frame($C59,$D59,X$8),NOT(frame($C59,$D59,VLOOKUP(VLOOKUP(Z$26,FT[],9),Teachers[],MOD(COLUMN(W59),6)+1)))),1,0)</f>
        <v>0</v>
      </c>
      <c r="AA59" s="6">
        <f>IF(AND(frame($C59,$D59,Y$8),NOT(frame($C59,$D59,VLOOKUP(VLOOKUP(AA$26,FT[],9),Teachers[],MOD(COLUMN(X59),6)+1)))),1,0)</f>
        <v>0</v>
      </c>
      <c r="AB59" s="6">
        <f>IF(AND(frame($C59,$D59,Z$8),NOT(frame($C59,$D59,VLOOKUP(VLOOKUP(AB$26,FT[],9),Teachers[],MOD(COLUMN(Y59),6)+1)))),1,0)</f>
        <v>0</v>
      </c>
      <c r="AC59" s="6">
        <f>IF(AND(frame($C59,$D59,AA$8),NOT(frame($C59,$D59,VLOOKUP(VLOOKUP(AC$26,FT[],9),Teachers[],MOD(COLUMN(Z59),6)+1)))),1,0)</f>
        <v>0</v>
      </c>
      <c r="AD59" s="6">
        <f>IF(AND(frame($C59,$D59,AB$8),NOT(frame($C59,$D59,VLOOKUP(VLOOKUP(AD$26,FT[],9),Teachers[],MOD(COLUMN(AA59),6)+1)))),1,0)</f>
        <v>0</v>
      </c>
      <c r="AE59" s="6">
        <f>IF(AND(frame($C59,$D59,AC$8),NOT(frame($C59,$D59,VLOOKUP(VLOOKUP(AE$26,FT[],9),Teachers[],MOD(COLUMN(AB59),6)+1)))),1,0)</f>
        <v>0</v>
      </c>
      <c r="AF59" s="6">
        <f>IF(AND(frame($C59,$D59,AD$8),NOT(frame($C59,$D59,VLOOKUP(VLOOKUP(AF$26,FT[],9),Teachers[],MOD(COLUMN(AC59),6)+1)))),1,0)</f>
        <v>0</v>
      </c>
      <c r="AG59" s="6">
        <f>IF(AND(frame($C59,$D59,AE$8),NOT(frame($C59,$D59,VLOOKUP(VLOOKUP(AG$26,FT[],9),Teachers[],MOD(COLUMN(AD59),6)+1)))),1,0)</f>
        <v>0</v>
      </c>
      <c r="AH59" s="6">
        <f>IF(AND(frame($C59,$D59,AF$8),NOT(frame($C59,$D59,VLOOKUP(VLOOKUP(AH$26,FT[],9),Teachers[],MOD(COLUMN(AE59),6)+1)))),1,0)</f>
        <v>0</v>
      </c>
      <c r="AI59" s="6">
        <f>IF(AND(frame($C59,$D59,AG$8),NOT(frame($C59,$D59,VLOOKUP(VLOOKUP(AI$26,FT[],9),Teachers[],MOD(COLUMN(AF59),6)+1)))),1,0)</f>
        <v>0</v>
      </c>
      <c r="AJ59" s="6">
        <f>IF(AND(frame($C59,$D59,AH$8),NOT(frame($C59,$D59,VLOOKUP(VLOOKUP(AJ$26,FT[],9),Teachers[],MOD(COLUMN(AG59),6)+1)))),1,0)</f>
        <v>0</v>
      </c>
      <c r="AK59" s="6">
        <f>IF(AND(frame($C59,$D59,AI$8),NOT(frame($C59,$D59,VLOOKUP(VLOOKUP(AK$26,FT[],9),Teachers[],MOD(COLUMN(AH59),6)+1)))),1,0)</f>
        <v>0</v>
      </c>
      <c r="AL59" s="6">
        <f>IF(AND(frame($C59,$D59,AJ$8),NOT(frame($C59,$D59,VLOOKUP(VLOOKUP(AL$26,FT[],9),Teachers[],MOD(COLUMN(AI59),6)+1)))),1,0)</f>
        <v>0</v>
      </c>
      <c r="AM59" s="6">
        <f>IF(AND(frame($C59,$D59,AK$8),NOT(frame($C59,$D59,VLOOKUP(VLOOKUP(AM$26,FT[],9),Teachers[],MOD(COLUMN(AJ59),6)+1)))),1,0)</f>
        <v>0</v>
      </c>
      <c r="AN59" s="6">
        <f>IF(AND(frame($C59,$D59,AL$8),NOT(frame($C59,$D59,VLOOKUP(VLOOKUP(AN$26,FT[],9),Teachers[],MOD(COLUMN(AK59),6)+1)))),1,0)</f>
        <v>0</v>
      </c>
      <c r="AO59" s="6">
        <f>IF(AND(frame($C59,$D59,AM$8),NOT(frame($C59,$D59,VLOOKUP(VLOOKUP(AO$26,FT[],9),Teachers[],MOD(COLUMN(AL59),6)+1)))),1,0)</f>
        <v>0</v>
      </c>
      <c r="AP59" s="66">
        <f t="shared" si="11"/>
        <v>0</v>
      </c>
      <c r="AQ59" s="6">
        <f>IF(AND(frame($C59,$D59,AO$8),NOT(frame($C59,$D59,VLOOKUP(VLOOKUP(AQ$26,FT[],9),Teachers[],MOD(COLUMN(AN59),6)+1)))),1,0)</f>
        <v>0</v>
      </c>
      <c r="AR59" s="6">
        <f>IF(AND(frame($C59,$D59,AP$8),NOT(frame($C59,$D59,VLOOKUP(VLOOKUP(AR$26,FT[],9),Teachers[],MOD(COLUMN(AO59),6)+1)))),1,0)</f>
        <v>0</v>
      </c>
      <c r="AS59" s="6">
        <f>IF(AND(frame($C59,$D59,AQ$8),NOT(frame($C59,$D59,VLOOKUP(VLOOKUP(AS$26,FT[],9),Teachers[],MOD(COLUMN(AP59),6)+1)))),1,0)</f>
        <v>0</v>
      </c>
      <c r="AT59" s="6">
        <f>IF(AND(frame($C59,$D59,AR$8),NOT(frame($C59,$D59,VLOOKUP(VLOOKUP(AT$26,FT[],9),Teachers[],MOD(COLUMN(AQ59),6)+1)))),1,0)</f>
        <v>0</v>
      </c>
      <c r="AU59" s="6">
        <f>IF(AND(frame($C59,$D59,AS$8),NOT(frame($C59,$D59,VLOOKUP(VLOOKUP(AU$26,FT[],9),Teachers[],MOD(COLUMN(AR59),6)+1)))),1,0)</f>
        <v>0</v>
      </c>
      <c r="AV59" s="6">
        <f>IF(AND(frame($C59,$D59,AT$8),NOT(frame($C59,$D59,VLOOKUP(VLOOKUP(AV$26,FT[],9),Teachers[],MOD(COLUMN(AS59),6)+1)))),1,0)</f>
        <v>0</v>
      </c>
      <c r="AW59" s="6">
        <f>IF(AND(frame($C59,$D59,AU$8),NOT(frame($C59,$D59,VLOOKUP(VLOOKUP(AW$26,FT[],9),Teachers[],MOD(COLUMN(AT59),6)+1)))),1,0)</f>
        <v>0</v>
      </c>
      <c r="AX59" s="6">
        <f>IF(AND(frame($C59,$D59,AV$8),NOT(frame($C59,$D59,VLOOKUP(VLOOKUP(AX$26,FT[],9),Teachers[],MOD(COLUMN(AU59),6)+1)))),1,0)</f>
        <v>0</v>
      </c>
      <c r="AY59" s="6">
        <f>IF(AND(frame($C59,$D59,AW$8),NOT(frame($C59,$D59,VLOOKUP(VLOOKUP(AY$26,FT[],9),Teachers[],MOD(COLUMN(AV59),6)+1)))),1,0)</f>
        <v>0</v>
      </c>
      <c r="AZ59" s="6">
        <f>IF(AND(frame($C59,$D59,AX$8),NOT(frame($C59,$D59,VLOOKUP(VLOOKUP(AZ$26,FT[],9),Teachers[],MOD(COLUMN(AW59),6)+1)))),1,0)</f>
        <v>0</v>
      </c>
      <c r="BA59" s="6">
        <f>IF(AND(frame($C59,$D59,AY$8),NOT(frame($C59,$D59,VLOOKUP(VLOOKUP(BA$26,FT[],9),Teachers[],MOD(COLUMN(AX59),6)+1)))),1,0)</f>
        <v>0</v>
      </c>
      <c r="BB59" s="6">
        <f>IF(AND(frame($C59,$D59,AZ$8),NOT(frame($C59,$D59,VLOOKUP(VLOOKUP(BB$26,FT[],9),Teachers[],MOD(COLUMN(AY59),6)+1)))),1,0)</f>
        <v>0</v>
      </c>
      <c r="BC59" s="6">
        <f>IF(AND(frame($C59,$D59,BA$8),NOT(frame($C59,$D59,VLOOKUP(VLOOKUP(BC$26,FT[],9),Teachers[],MOD(COLUMN(AZ59),6)+1)))),1,0)</f>
        <v>0</v>
      </c>
      <c r="BD59" s="6">
        <f>IF(AND(frame($C59,$D59,BB$8),NOT(frame($C59,$D59,VLOOKUP(VLOOKUP(BD$26,FT[],9),Teachers[],MOD(COLUMN(BA59),6)+1)))),1,0)</f>
        <v>0</v>
      </c>
      <c r="BE59" s="6">
        <f>IF(AND(frame($C59,$D59,BC$8),NOT(frame($C59,$D59,VLOOKUP(VLOOKUP(BE$26,FT[],9),Teachers[],MOD(COLUMN(BB59),6)+1)))),1,0)</f>
        <v>0</v>
      </c>
      <c r="BF59" s="6">
        <f>IF(AND(frame($C59,$D59,BD$8),NOT(frame($C59,$D59,VLOOKUP(VLOOKUP(BF$26,FT[],9),Teachers[],MOD(COLUMN(BC59),6)+1)))),1,0)</f>
        <v>0</v>
      </c>
      <c r="BG59" s="6">
        <f>IF(AND(frame($C59,$D59,BE$8),NOT(frame($C59,$D59,VLOOKUP(VLOOKUP(BG$26,FT[],9),Teachers[],MOD(COLUMN(BD59),6)+1)))),1,0)</f>
        <v>0</v>
      </c>
      <c r="BH59" s="6">
        <f>IF(AND(frame($C59,$D59,BF$8),NOT(frame($C59,$D59,VLOOKUP(VLOOKUP(BH$26,FT[],9),Teachers[],MOD(COLUMN(BE59),6)+1)))),1,0)</f>
        <v>0</v>
      </c>
      <c r="BI59" s="6">
        <f>IF(AND(frame($C59,$D59,BG$8),NOT(frame($C59,$D59,VLOOKUP(VLOOKUP(BI$26,FT[],9),Teachers[],MOD(COLUMN(BF59),6)+1)))),1,0)</f>
        <v>0</v>
      </c>
      <c r="BJ59" s="6">
        <f>IF(AND(frame($C59,$D59,BH$8),NOT(frame($C59,$D59,VLOOKUP(VLOOKUP(BJ$26,FT[],9),Teachers[],MOD(COLUMN(BG59),6)+1)))),1,0)</f>
        <v>0</v>
      </c>
      <c r="BK59" s="6">
        <f>IF(AND(frame($C59,$D59,BI$8),NOT(frame($C59,$D59,VLOOKUP(VLOOKUP(BK$26,FT[],9),Teachers[],MOD(COLUMN(BH59),6)+1)))),1,0)</f>
        <v>0</v>
      </c>
      <c r="BL59" s="6">
        <f>IF(AND(frame($C59,$D59,BJ$8),NOT(frame($C59,$D59,VLOOKUP(VLOOKUP(BL$26,FT[],9),Teachers[],MOD(COLUMN(BI59),6)+1)))),1,0)</f>
        <v>0</v>
      </c>
    </row>
    <row r="60" spans="2:64" ht="15.75" thickBot="1">
      <c r="B60" s="1">
        <v>33</v>
      </c>
      <c r="C60" s="9">
        <v>0.65624999999999989</v>
      </c>
      <c r="D60" s="9">
        <v>0.68749999999999989</v>
      </c>
      <c r="E60" s="6" t="e">
        <f ca="1">frame(СВ[[#This Row],[49]],СВ[[#This Row],[Столбец1]],C39,C53)</f>
        <v>#NAME?</v>
      </c>
      <c r="F60" s="6">
        <f>IF(AND(frame($C60,$D60,D$7),NOT(frame($C60,$D60,VLOOKUP(VLOOKUP(F$26,FT[],9),Teachers[],MOD(COLUMN(B60),6)+1)))),1,0)</f>
        <v>1</v>
      </c>
      <c r="G60" s="6">
        <f>IF(AND(frame($C60,$D60,E$7),NOT(frame($C60,$D60,VLOOKUP(VLOOKUP(G$26,FT[],9),Teachers[],MOD(COLUMN(C60),6)+1)))),1,0)</f>
        <v>0</v>
      </c>
      <c r="H60" s="6">
        <f>IF(AND(frame($C60,$D60,F$7),NOT(frame($C60,$D60,VLOOKUP(VLOOKUP(H$26,FT[],9),Teachers[],MOD(COLUMN(D60),6)+1)))),1,0)</f>
        <v>1</v>
      </c>
      <c r="I60" s="6" t="e">
        <f ca="1">IF(AND(frame($C60,$D60,G$7),NOT(frame($C60,$D60,VLOOKUP(VLOOKUP(I$26,FT[],9),Teachers[],MOD(COLUMN(E60),6)+1)))),1,0)</f>
        <v>#NAME?</v>
      </c>
      <c r="J60" s="6">
        <f>IF(AND(frame($C60,$D60,H$7),NOT(frame($C60,$D60,VLOOKUP(VLOOKUP(J$26,FT[],9),Teachers[],MOD(COLUMN(F60),6)+1)))),1,0)</f>
        <v>1</v>
      </c>
      <c r="K60" s="6">
        <f>IF(AND(frame($C60,$D60,I$8),NOT(frame($C60,$D60,VLOOKUP(VLOOKUP(K$26,FT[],9),Teachers[],MOD(COLUMN(H60),6)+1)))),1,0)</f>
        <v>0</v>
      </c>
      <c r="L60" s="1">
        <f t="shared" si="9"/>
        <v>0</v>
      </c>
      <c r="M60" s="6">
        <f>IF(AND(frame($C60,$D60,K$8),NOT(frame($C60,$D60,VLOOKUP(VLOOKUP(M$26,FT[],9),Teachers[],MOD(COLUMN(J60),6)+1)))),1,0)</f>
        <v>0</v>
      </c>
      <c r="N60" s="6">
        <f>IF(AND(frame($C60,$D60,L$8),NOT(frame($C60,$D60,VLOOKUP(VLOOKUP(N$26,FT[],9),Teachers[],MOD(COLUMN(K60),6)+1)))),1,0)</f>
        <v>0</v>
      </c>
      <c r="O60" s="6">
        <f>IF(AND(frame($C60,$D60,M$8),NOT(frame($C60,$D60,VLOOKUP(VLOOKUP(O$26,FT[],9),Teachers[],MOD(COLUMN(L60),6)+1)))),1,0)</f>
        <v>0</v>
      </c>
      <c r="P60" s="6">
        <f>IF(AND(frame($C60,$D60,N$8),NOT(frame($C60,$D60,VLOOKUP(VLOOKUP(P$26,FT[],9),Teachers[],MOD(COLUMN(M60),6)+1)))),1,0)</f>
        <v>0</v>
      </c>
      <c r="Q60" s="6">
        <f>IF(AND(frame($C60,$D60,O$8),NOT(frame($C60,$D60,VLOOKUP(VLOOKUP(Q$26,FT[],9),Teachers[],MOD(COLUMN(N60),6)+1)))),1,0)</f>
        <v>0</v>
      </c>
      <c r="R60" s="65">
        <f t="shared" si="10"/>
        <v>0</v>
      </c>
      <c r="S60" s="6">
        <f>IF(AND(frame($C60,$D60,Q$8),NOT(frame($C60,$D60,VLOOKUP(VLOOKUP(S$26,FT[],9),Teachers[],MOD(COLUMN(P60),6)+1)))),1,0)</f>
        <v>0</v>
      </c>
      <c r="T60" s="6">
        <f>IF(AND(frame($C60,$D60,R$8),NOT(frame($C60,$D60,VLOOKUP(VLOOKUP(T$26,FT[],9),Teachers[],MOD(COLUMN(Q60),6)+1)))),1,0)</f>
        <v>0</v>
      </c>
      <c r="U60" s="6">
        <f>IF(AND(frame($C60,$D60,S$8),NOT(frame($C60,$D60,VLOOKUP(VLOOKUP(U$26,FT[],9),Teachers[],MOD(COLUMN(R60),6)+1)))),1,0)</f>
        <v>0</v>
      </c>
      <c r="V60" s="6">
        <f>IF(AND(frame($C60,$D60,T$8),NOT(frame($C60,$D60,VLOOKUP(VLOOKUP(V$26,FT[],9),Teachers[],MOD(COLUMN(S60),6)+1)))),1,0)</f>
        <v>0</v>
      </c>
      <c r="W60" s="6">
        <f>IF(AND(frame($C60,$D60,U$8),NOT(frame($C60,$D60,VLOOKUP(VLOOKUP(W$26,FT[],9),Teachers[],MOD(COLUMN(T60),6)+1)))),1,0)</f>
        <v>0</v>
      </c>
      <c r="X60" s="6">
        <f>IF(AND(frame($C60,$D60,V$8),NOT(frame($C60,$D60,VLOOKUP(VLOOKUP(X$26,FT[],9),Teachers[],MOD(COLUMN(U60),6)+1)))),1,0)</f>
        <v>0</v>
      </c>
      <c r="Y60" s="6">
        <f>IF(AND(frame($C60,$D60,W$8),NOT(frame($C60,$D60,VLOOKUP(VLOOKUP(Y$26,FT[],9),Teachers[],MOD(COLUMN(V60),6)+1)))),1,0)</f>
        <v>0</v>
      </c>
      <c r="Z60" s="6">
        <f>IF(AND(frame($C60,$D60,X$8),NOT(frame($C60,$D60,VLOOKUP(VLOOKUP(Z$26,FT[],9),Teachers[],MOD(COLUMN(W60),6)+1)))),1,0)</f>
        <v>0</v>
      </c>
      <c r="AA60" s="6">
        <f>IF(AND(frame($C60,$D60,Y$8),NOT(frame($C60,$D60,VLOOKUP(VLOOKUP(AA$26,FT[],9),Teachers[],MOD(COLUMN(X60),6)+1)))),1,0)</f>
        <v>0</v>
      </c>
      <c r="AB60" s="6">
        <f>IF(AND(frame($C60,$D60,Z$8),NOT(frame($C60,$D60,VLOOKUP(VLOOKUP(AB$26,FT[],9),Teachers[],MOD(COLUMN(Y60),6)+1)))),1,0)</f>
        <v>0</v>
      </c>
      <c r="AC60" s="6">
        <f>IF(AND(frame($C60,$D60,AA$8),NOT(frame($C60,$D60,VLOOKUP(VLOOKUP(AC$26,FT[],9),Teachers[],MOD(COLUMN(Z60),6)+1)))),1,0)</f>
        <v>0</v>
      </c>
      <c r="AD60" s="6">
        <f>IF(AND(frame($C60,$D60,AB$8),NOT(frame($C60,$D60,VLOOKUP(VLOOKUP(AD$26,FT[],9),Teachers[],MOD(COLUMN(AA60),6)+1)))),1,0)</f>
        <v>0</v>
      </c>
      <c r="AE60" s="6">
        <f>IF(AND(frame($C60,$D60,AC$8),NOT(frame($C60,$D60,VLOOKUP(VLOOKUP(AE$26,FT[],9),Teachers[],MOD(COLUMN(AB60),6)+1)))),1,0)</f>
        <v>0</v>
      </c>
      <c r="AF60" s="6">
        <f>IF(AND(frame($C60,$D60,AD$8),NOT(frame($C60,$D60,VLOOKUP(VLOOKUP(AF$26,FT[],9),Teachers[],MOD(COLUMN(AC60),6)+1)))),1,0)</f>
        <v>0</v>
      </c>
      <c r="AG60" s="6">
        <f>IF(AND(frame($C60,$D60,AE$8),NOT(frame($C60,$D60,VLOOKUP(VLOOKUP(AG$26,FT[],9),Teachers[],MOD(COLUMN(AD60),6)+1)))),1,0)</f>
        <v>0</v>
      </c>
      <c r="AH60" s="6">
        <f>IF(AND(frame($C60,$D60,AF$8),NOT(frame($C60,$D60,VLOOKUP(VLOOKUP(AH$26,FT[],9),Teachers[],MOD(COLUMN(AE60),6)+1)))),1,0)</f>
        <v>0</v>
      </c>
      <c r="AI60" s="6">
        <f>IF(AND(frame($C60,$D60,AG$8),NOT(frame($C60,$D60,VLOOKUP(VLOOKUP(AI$26,FT[],9),Teachers[],MOD(COLUMN(AF60),6)+1)))),1,0)</f>
        <v>0</v>
      </c>
      <c r="AJ60" s="6">
        <f>IF(AND(frame($C60,$D60,AH$8),NOT(frame($C60,$D60,VLOOKUP(VLOOKUP(AJ$26,FT[],9),Teachers[],MOD(COLUMN(AG60),6)+1)))),1,0)</f>
        <v>0</v>
      </c>
      <c r="AK60" s="6">
        <f>IF(AND(frame($C60,$D60,AI$8),NOT(frame($C60,$D60,VLOOKUP(VLOOKUP(AK$26,FT[],9),Teachers[],MOD(COLUMN(AH60),6)+1)))),1,0)</f>
        <v>0</v>
      </c>
      <c r="AL60" s="6">
        <f>IF(AND(frame($C60,$D60,AJ$8),NOT(frame($C60,$D60,VLOOKUP(VLOOKUP(AL$26,FT[],9),Teachers[],MOD(COLUMN(AI60),6)+1)))),1,0)</f>
        <v>0</v>
      </c>
      <c r="AM60" s="6">
        <f>IF(AND(frame($C60,$D60,AK$8),NOT(frame($C60,$D60,VLOOKUP(VLOOKUP(AM$26,FT[],9),Teachers[],MOD(COLUMN(AJ60),6)+1)))),1,0)</f>
        <v>0</v>
      </c>
      <c r="AN60" s="6">
        <f>IF(AND(frame($C60,$D60,AL$8),NOT(frame($C60,$D60,VLOOKUP(VLOOKUP(AN$26,FT[],9),Teachers[],MOD(COLUMN(AK60),6)+1)))),1,0)</f>
        <v>0</v>
      </c>
      <c r="AO60" s="6">
        <f>IF(AND(frame($C60,$D60,AM$8),NOT(frame($C60,$D60,VLOOKUP(VLOOKUP(AO$26,FT[],9),Teachers[],MOD(COLUMN(AL60),6)+1)))),1,0)</f>
        <v>0</v>
      </c>
      <c r="AP60" s="66">
        <f t="shared" si="11"/>
        <v>0</v>
      </c>
      <c r="AQ60" s="6">
        <f>IF(AND(frame($C60,$D60,AO$8),NOT(frame($C60,$D60,VLOOKUP(VLOOKUP(AQ$26,FT[],9),Teachers[],MOD(COLUMN(AN60),6)+1)))),1,0)</f>
        <v>0</v>
      </c>
      <c r="AR60" s="6">
        <f>IF(AND(frame($C60,$D60,AP$8),NOT(frame($C60,$D60,VLOOKUP(VLOOKUP(AR$26,FT[],9),Teachers[],MOD(COLUMN(AO60),6)+1)))),1,0)</f>
        <v>0</v>
      </c>
      <c r="AS60" s="6">
        <f>IF(AND(frame($C60,$D60,AQ$8),NOT(frame($C60,$D60,VLOOKUP(VLOOKUP(AS$26,FT[],9),Teachers[],MOD(COLUMN(AP60),6)+1)))),1,0)</f>
        <v>0</v>
      </c>
      <c r="AT60" s="6">
        <f>IF(AND(frame($C60,$D60,AR$8),NOT(frame($C60,$D60,VLOOKUP(VLOOKUP(AT$26,FT[],9),Teachers[],MOD(COLUMN(AQ60),6)+1)))),1,0)</f>
        <v>0</v>
      </c>
      <c r="AU60" s="6">
        <f>IF(AND(frame($C60,$D60,AS$8),NOT(frame($C60,$D60,VLOOKUP(VLOOKUP(AU$26,FT[],9),Teachers[],MOD(COLUMN(AR60),6)+1)))),1,0)</f>
        <v>0</v>
      </c>
      <c r="AV60" s="6">
        <f>IF(AND(frame($C60,$D60,AT$8),NOT(frame($C60,$D60,VLOOKUP(VLOOKUP(AV$26,FT[],9),Teachers[],MOD(COLUMN(AS60),6)+1)))),1,0)</f>
        <v>0</v>
      </c>
      <c r="AW60" s="6">
        <f>IF(AND(frame($C60,$D60,AU$8),NOT(frame($C60,$D60,VLOOKUP(VLOOKUP(AW$26,FT[],9),Teachers[],MOD(COLUMN(AT60),6)+1)))),1,0)</f>
        <v>0</v>
      </c>
      <c r="AX60" s="6">
        <f>IF(AND(frame($C60,$D60,AV$8),NOT(frame($C60,$D60,VLOOKUP(VLOOKUP(AX$26,FT[],9),Teachers[],MOD(COLUMN(AU60),6)+1)))),1,0)</f>
        <v>0</v>
      </c>
      <c r="AY60" s="6">
        <f>IF(AND(frame($C60,$D60,AW$8),NOT(frame($C60,$D60,VLOOKUP(VLOOKUP(AY$26,FT[],9),Teachers[],MOD(COLUMN(AV60),6)+1)))),1,0)</f>
        <v>0</v>
      </c>
      <c r="AZ60" s="6">
        <f>IF(AND(frame($C60,$D60,AX$8),NOT(frame($C60,$D60,VLOOKUP(VLOOKUP(AZ$26,FT[],9),Teachers[],MOD(COLUMN(AW60),6)+1)))),1,0)</f>
        <v>0</v>
      </c>
      <c r="BA60" s="6">
        <f>IF(AND(frame($C60,$D60,AY$8),NOT(frame($C60,$D60,VLOOKUP(VLOOKUP(BA$26,FT[],9),Teachers[],MOD(COLUMN(AX60),6)+1)))),1,0)</f>
        <v>0</v>
      </c>
      <c r="BB60" s="6">
        <f>IF(AND(frame($C60,$D60,AZ$8),NOT(frame($C60,$D60,VLOOKUP(VLOOKUP(BB$26,FT[],9),Teachers[],MOD(COLUMN(AY60),6)+1)))),1,0)</f>
        <v>0</v>
      </c>
      <c r="BC60" s="6">
        <f>IF(AND(frame($C60,$D60,BA$8),NOT(frame($C60,$D60,VLOOKUP(VLOOKUP(BC$26,FT[],9),Teachers[],MOD(COLUMN(AZ60),6)+1)))),1,0)</f>
        <v>0</v>
      </c>
      <c r="BD60" s="6">
        <f>IF(AND(frame($C60,$D60,BB$8),NOT(frame($C60,$D60,VLOOKUP(VLOOKUP(BD$26,FT[],9),Teachers[],MOD(COLUMN(BA60),6)+1)))),1,0)</f>
        <v>0</v>
      </c>
      <c r="BE60" s="6">
        <f>IF(AND(frame($C60,$D60,BC$8),NOT(frame($C60,$D60,VLOOKUP(VLOOKUP(BE$26,FT[],9),Teachers[],MOD(COLUMN(BB60),6)+1)))),1,0)</f>
        <v>0</v>
      </c>
      <c r="BF60" s="6">
        <f>IF(AND(frame($C60,$D60,BD$8),NOT(frame($C60,$D60,VLOOKUP(VLOOKUP(BF$26,FT[],9),Teachers[],MOD(COLUMN(BC60),6)+1)))),1,0)</f>
        <v>0</v>
      </c>
      <c r="BG60" s="6">
        <f>IF(AND(frame($C60,$D60,BE$8),NOT(frame($C60,$D60,VLOOKUP(VLOOKUP(BG$26,FT[],9),Teachers[],MOD(COLUMN(BD60),6)+1)))),1,0)</f>
        <v>0</v>
      </c>
      <c r="BH60" s="6">
        <f>IF(AND(frame($C60,$D60,BF$8),NOT(frame($C60,$D60,VLOOKUP(VLOOKUP(BH$26,FT[],9),Teachers[],MOD(COLUMN(BE60),6)+1)))),1,0)</f>
        <v>0</v>
      </c>
      <c r="BI60" s="6">
        <f>IF(AND(frame($C60,$D60,BG$8),NOT(frame($C60,$D60,VLOOKUP(VLOOKUP(BI$26,FT[],9),Teachers[],MOD(COLUMN(BF60),6)+1)))),1,0)</f>
        <v>0</v>
      </c>
      <c r="BJ60" s="6">
        <f>IF(AND(frame($C60,$D60,BH$8),NOT(frame($C60,$D60,VLOOKUP(VLOOKUP(BJ$26,FT[],9),Teachers[],MOD(COLUMN(BG60),6)+1)))),1,0)</f>
        <v>0</v>
      </c>
      <c r="BK60" s="6">
        <f>IF(AND(frame($C60,$D60,BI$8),NOT(frame($C60,$D60,VLOOKUP(VLOOKUP(BK$26,FT[],9),Teachers[],MOD(COLUMN(BH60),6)+1)))),1,0)</f>
        <v>0</v>
      </c>
      <c r="BL60" s="6">
        <f>IF(AND(frame($C60,$D60,BJ$8),NOT(frame($C60,$D60,VLOOKUP(VLOOKUP(BL$26,FT[],9),Teachers[],MOD(COLUMN(BI60),6)+1)))),1,0)</f>
        <v>0</v>
      </c>
    </row>
    <row r="61" spans="2:64" ht="15.75" thickBot="1">
      <c r="B61" s="1">
        <v>34</v>
      </c>
      <c r="C61" s="9">
        <v>0.66666666666666652</v>
      </c>
      <c r="D61" s="9">
        <v>0.70833333333333315</v>
      </c>
      <c r="E61" s="6" t="e">
        <f ca="1">frame(СВ[[#This Row],[49]],СВ[[#This Row],[Столбец1]],C40,C54)</f>
        <v>#NAME?</v>
      </c>
      <c r="F61" s="6">
        <f>IF(AND(frame($C61,$D61,D$7),NOT(frame($C61,$D61,VLOOKUP(VLOOKUP(F$26,FT[],9),Teachers[],MOD(COLUMN(B61),6)+1)))),1,0)</f>
        <v>1</v>
      </c>
      <c r="G61" s="6">
        <f>IF(AND(frame($C61,$D61,E$7),NOT(frame($C61,$D61,VLOOKUP(VLOOKUP(G$26,FT[],9),Teachers[],MOD(COLUMN(C61),6)+1)))),1,0)</f>
        <v>0</v>
      </c>
      <c r="H61" s="6">
        <f>IF(AND(frame($C61,$D61,F$7),NOT(frame($C61,$D61,VLOOKUP(VLOOKUP(H$26,FT[],9),Teachers[],MOD(COLUMN(D61),6)+1)))),1,0)</f>
        <v>1</v>
      </c>
      <c r="I61" s="6" t="e">
        <f ca="1">IF(AND(frame($C61,$D61,G$7),NOT(frame($C61,$D61,VLOOKUP(VLOOKUP(I$26,FT[],9),Teachers[],MOD(COLUMN(E61),6)+1)))),1,0)</f>
        <v>#NAME?</v>
      </c>
      <c r="J61" s="6">
        <f>IF(AND(frame($C61,$D61,H$7),NOT(frame($C61,$D61,VLOOKUP(VLOOKUP(J$26,FT[],9),Teachers[],MOD(COLUMN(F61),6)+1)))),1,0)</f>
        <v>1</v>
      </c>
      <c r="K61" s="6">
        <f>IF(AND(frame($C61,$D61,I$8),NOT(frame($C61,$D61,VLOOKUP(VLOOKUP(K$26,FT[],9),Teachers[],MOD(COLUMN(H61),6)+1)))),1,0)</f>
        <v>0</v>
      </c>
      <c r="L61" s="1">
        <f t="shared" si="9"/>
        <v>0</v>
      </c>
      <c r="M61" s="6">
        <f>IF(AND(frame($C61,$D61,K$8),NOT(frame($C61,$D61,VLOOKUP(VLOOKUP(M$26,FT[],9),Teachers[],MOD(COLUMN(J61),6)+1)))),1,0)</f>
        <v>0</v>
      </c>
      <c r="N61" s="6">
        <f>IF(AND(frame($C61,$D61,L$8),NOT(frame($C61,$D61,VLOOKUP(VLOOKUP(N$26,FT[],9),Teachers[],MOD(COLUMN(K61),6)+1)))),1,0)</f>
        <v>0</v>
      </c>
      <c r="O61" s="6">
        <f>IF(AND(frame($C61,$D61,M$8),NOT(frame($C61,$D61,VLOOKUP(VLOOKUP(O$26,FT[],9),Teachers[],MOD(COLUMN(L61),6)+1)))),1,0)</f>
        <v>0</v>
      </c>
      <c r="P61" s="6">
        <f>IF(AND(frame($C61,$D61,N$8),NOT(frame($C61,$D61,VLOOKUP(VLOOKUP(P$26,FT[],9),Teachers[],MOD(COLUMN(M61),6)+1)))),1,0)</f>
        <v>0</v>
      </c>
      <c r="Q61" s="6">
        <f>IF(AND(frame($C61,$D61,O$8),NOT(frame($C61,$D61,VLOOKUP(VLOOKUP(Q$26,FT[],9),Teachers[],MOD(COLUMN(N61),6)+1)))),1,0)</f>
        <v>0</v>
      </c>
      <c r="R61" s="65">
        <f t="shared" si="10"/>
        <v>0</v>
      </c>
      <c r="S61" s="6">
        <f>IF(AND(frame($C61,$D61,Q$8),NOT(frame($C61,$D61,VLOOKUP(VLOOKUP(S$26,FT[],9),Teachers[],MOD(COLUMN(P61),6)+1)))),1,0)</f>
        <v>0</v>
      </c>
      <c r="T61" s="6">
        <f>IF(AND(frame($C61,$D61,R$8),NOT(frame($C61,$D61,VLOOKUP(VLOOKUP(T$26,FT[],9),Teachers[],MOD(COLUMN(Q61),6)+1)))),1,0)</f>
        <v>0</v>
      </c>
      <c r="U61" s="6">
        <f>IF(AND(frame($C61,$D61,S$8),NOT(frame($C61,$D61,VLOOKUP(VLOOKUP(U$26,FT[],9),Teachers[],MOD(COLUMN(R61),6)+1)))),1,0)</f>
        <v>0</v>
      </c>
      <c r="V61" s="6">
        <f>IF(AND(frame($C61,$D61,T$8),NOT(frame($C61,$D61,VLOOKUP(VLOOKUP(V$26,FT[],9),Teachers[],MOD(COLUMN(S61),6)+1)))),1,0)</f>
        <v>0</v>
      </c>
      <c r="W61" s="6">
        <f>IF(AND(frame($C61,$D61,U$8),NOT(frame($C61,$D61,VLOOKUP(VLOOKUP(W$26,FT[],9),Teachers[],MOD(COLUMN(T61),6)+1)))),1,0)</f>
        <v>0</v>
      </c>
      <c r="X61" s="6">
        <f>IF(AND(frame($C61,$D61,V$8),NOT(frame($C61,$D61,VLOOKUP(VLOOKUP(X$26,FT[],9),Teachers[],MOD(COLUMN(U61),6)+1)))),1,0)</f>
        <v>0</v>
      </c>
      <c r="Y61" s="6">
        <f>IF(AND(frame($C61,$D61,W$8),NOT(frame($C61,$D61,VLOOKUP(VLOOKUP(Y$26,FT[],9),Teachers[],MOD(COLUMN(V61),6)+1)))),1,0)</f>
        <v>0</v>
      </c>
      <c r="Z61" s="6">
        <f>IF(AND(frame($C61,$D61,X$8),NOT(frame($C61,$D61,VLOOKUP(VLOOKUP(Z$26,FT[],9),Teachers[],MOD(COLUMN(W61),6)+1)))),1,0)</f>
        <v>0</v>
      </c>
      <c r="AA61" s="6">
        <f>IF(AND(frame($C61,$D61,Y$8),NOT(frame($C61,$D61,VLOOKUP(VLOOKUP(AA$26,FT[],9),Teachers[],MOD(COLUMN(X61),6)+1)))),1,0)</f>
        <v>0</v>
      </c>
      <c r="AB61" s="6">
        <f>IF(AND(frame($C61,$D61,Z$8),NOT(frame($C61,$D61,VLOOKUP(VLOOKUP(AB$26,FT[],9),Teachers[],MOD(COLUMN(Y61),6)+1)))),1,0)</f>
        <v>0</v>
      </c>
      <c r="AC61" s="6">
        <f>IF(AND(frame($C61,$D61,AA$8),NOT(frame($C61,$D61,VLOOKUP(VLOOKUP(AC$26,FT[],9),Teachers[],MOD(COLUMN(Z61),6)+1)))),1,0)</f>
        <v>0</v>
      </c>
      <c r="AD61" s="6">
        <f>IF(AND(frame($C61,$D61,AB$8),NOT(frame($C61,$D61,VLOOKUP(VLOOKUP(AD$26,FT[],9),Teachers[],MOD(COLUMN(AA61),6)+1)))),1,0)</f>
        <v>0</v>
      </c>
      <c r="AE61" s="6">
        <f>IF(AND(frame($C61,$D61,AC$8),NOT(frame($C61,$D61,VLOOKUP(VLOOKUP(AE$26,FT[],9),Teachers[],MOD(COLUMN(AB61),6)+1)))),1,0)</f>
        <v>0</v>
      </c>
      <c r="AF61" s="6">
        <f>IF(AND(frame($C61,$D61,AD$8),NOT(frame($C61,$D61,VLOOKUP(VLOOKUP(AF$26,FT[],9),Teachers[],MOD(COLUMN(AC61),6)+1)))),1,0)</f>
        <v>0</v>
      </c>
      <c r="AG61" s="6">
        <f>IF(AND(frame($C61,$D61,AE$8),NOT(frame($C61,$D61,VLOOKUP(VLOOKUP(AG$26,FT[],9),Teachers[],MOD(COLUMN(AD61),6)+1)))),1,0)</f>
        <v>0</v>
      </c>
      <c r="AH61" s="6">
        <f>IF(AND(frame($C61,$D61,AF$8),NOT(frame($C61,$D61,VLOOKUP(VLOOKUP(AH$26,FT[],9),Teachers[],MOD(COLUMN(AE61),6)+1)))),1,0)</f>
        <v>0</v>
      </c>
      <c r="AI61" s="6">
        <f>IF(AND(frame($C61,$D61,AG$8),NOT(frame($C61,$D61,VLOOKUP(VLOOKUP(AI$26,FT[],9),Teachers[],MOD(COLUMN(AF61),6)+1)))),1,0)</f>
        <v>0</v>
      </c>
      <c r="AJ61" s="6">
        <f>IF(AND(frame($C61,$D61,AH$8),NOT(frame($C61,$D61,VLOOKUP(VLOOKUP(AJ$26,FT[],9),Teachers[],MOD(COLUMN(AG61),6)+1)))),1,0)</f>
        <v>0</v>
      </c>
      <c r="AK61" s="6">
        <f>IF(AND(frame($C61,$D61,AI$8),NOT(frame($C61,$D61,VLOOKUP(VLOOKUP(AK$26,FT[],9),Teachers[],MOD(COLUMN(AH61),6)+1)))),1,0)</f>
        <v>0</v>
      </c>
      <c r="AL61" s="6">
        <f>IF(AND(frame($C61,$D61,AJ$8),NOT(frame($C61,$D61,VLOOKUP(VLOOKUP(AL$26,FT[],9),Teachers[],MOD(COLUMN(AI61),6)+1)))),1,0)</f>
        <v>0</v>
      </c>
      <c r="AM61" s="6">
        <f>IF(AND(frame($C61,$D61,AK$8),NOT(frame($C61,$D61,VLOOKUP(VLOOKUP(AM$26,FT[],9),Teachers[],MOD(COLUMN(AJ61),6)+1)))),1,0)</f>
        <v>0</v>
      </c>
      <c r="AN61" s="6">
        <f>IF(AND(frame($C61,$D61,AL$8),NOT(frame($C61,$D61,VLOOKUP(VLOOKUP(AN$26,FT[],9),Teachers[],MOD(COLUMN(AK61),6)+1)))),1,0)</f>
        <v>0</v>
      </c>
      <c r="AO61" s="6">
        <f>IF(AND(frame($C61,$D61,AM$8),NOT(frame($C61,$D61,VLOOKUP(VLOOKUP(AO$26,FT[],9),Teachers[],MOD(COLUMN(AL61),6)+1)))),1,0)</f>
        <v>0</v>
      </c>
      <c r="AP61" s="66">
        <f t="shared" si="11"/>
        <v>0</v>
      </c>
      <c r="AQ61" s="6">
        <f>IF(AND(frame($C61,$D61,AO$8),NOT(frame($C61,$D61,VLOOKUP(VLOOKUP(AQ$26,FT[],9),Teachers[],MOD(COLUMN(AN61),6)+1)))),1,0)</f>
        <v>0</v>
      </c>
      <c r="AR61" s="6">
        <f>IF(AND(frame($C61,$D61,AP$8),NOT(frame($C61,$D61,VLOOKUP(VLOOKUP(AR$26,FT[],9),Teachers[],MOD(COLUMN(AO61),6)+1)))),1,0)</f>
        <v>0</v>
      </c>
      <c r="AS61" s="6">
        <f>IF(AND(frame($C61,$D61,AQ$8),NOT(frame($C61,$D61,VLOOKUP(VLOOKUP(AS$26,FT[],9),Teachers[],MOD(COLUMN(AP61),6)+1)))),1,0)</f>
        <v>0</v>
      </c>
      <c r="AT61" s="6">
        <f>IF(AND(frame($C61,$D61,AR$8),NOT(frame($C61,$D61,VLOOKUP(VLOOKUP(AT$26,FT[],9),Teachers[],MOD(COLUMN(AQ61),6)+1)))),1,0)</f>
        <v>0</v>
      </c>
      <c r="AU61" s="6">
        <f>IF(AND(frame($C61,$D61,AS$8),NOT(frame($C61,$D61,VLOOKUP(VLOOKUP(AU$26,FT[],9),Teachers[],MOD(COLUMN(AR61),6)+1)))),1,0)</f>
        <v>0</v>
      </c>
      <c r="AV61" s="6">
        <f>IF(AND(frame($C61,$D61,AT$8),NOT(frame($C61,$D61,VLOOKUP(VLOOKUP(AV$26,FT[],9),Teachers[],MOD(COLUMN(AS61),6)+1)))),1,0)</f>
        <v>0</v>
      </c>
      <c r="AW61" s="6">
        <f>IF(AND(frame($C61,$D61,AU$8),NOT(frame($C61,$D61,VLOOKUP(VLOOKUP(AW$26,FT[],9),Teachers[],MOD(COLUMN(AT61),6)+1)))),1,0)</f>
        <v>0</v>
      </c>
      <c r="AX61" s="6">
        <f>IF(AND(frame($C61,$D61,AV$8),NOT(frame($C61,$D61,VLOOKUP(VLOOKUP(AX$26,FT[],9),Teachers[],MOD(COLUMN(AU61),6)+1)))),1,0)</f>
        <v>0</v>
      </c>
      <c r="AY61" s="6">
        <f>IF(AND(frame($C61,$D61,AW$8),NOT(frame($C61,$D61,VLOOKUP(VLOOKUP(AY$26,FT[],9),Teachers[],MOD(COLUMN(AV61),6)+1)))),1,0)</f>
        <v>0</v>
      </c>
      <c r="AZ61" s="6">
        <f>IF(AND(frame($C61,$D61,AX$8),NOT(frame($C61,$D61,VLOOKUP(VLOOKUP(AZ$26,FT[],9),Teachers[],MOD(COLUMN(AW61),6)+1)))),1,0)</f>
        <v>0</v>
      </c>
      <c r="BA61" s="6">
        <f>IF(AND(frame($C61,$D61,AY$8),NOT(frame($C61,$D61,VLOOKUP(VLOOKUP(BA$26,FT[],9),Teachers[],MOD(COLUMN(AX61),6)+1)))),1,0)</f>
        <v>0</v>
      </c>
      <c r="BB61" s="6">
        <f>IF(AND(frame($C61,$D61,AZ$8),NOT(frame($C61,$D61,VLOOKUP(VLOOKUP(BB$26,FT[],9),Teachers[],MOD(COLUMN(AY61),6)+1)))),1,0)</f>
        <v>0</v>
      </c>
      <c r="BC61" s="6">
        <f>IF(AND(frame($C61,$D61,BA$8),NOT(frame($C61,$D61,VLOOKUP(VLOOKUP(BC$26,FT[],9),Teachers[],MOD(COLUMN(AZ61),6)+1)))),1,0)</f>
        <v>0</v>
      </c>
      <c r="BD61" s="6">
        <f>IF(AND(frame($C61,$D61,BB$8),NOT(frame($C61,$D61,VLOOKUP(VLOOKUP(BD$26,FT[],9),Teachers[],MOD(COLUMN(BA61),6)+1)))),1,0)</f>
        <v>0</v>
      </c>
      <c r="BE61" s="6">
        <f>IF(AND(frame($C61,$D61,BC$8),NOT(frame($C61,$D61,VLOOKUP(VLOOKUP(BE$26,FT[],9),Teachers[],MOD(COLUMN(BB61),6)+1)))),1,0)</f>
        <v>0</v>
      </c>
      <c r="BF61" s="6">
        <f>IF(AND(frame($C61,$D61,BD$8),NOT(frame($C61,$D61,VLOOKUP(VLOOKUP(BF$26,FT[],9),Teachers[],MOD(COLUMN(BC61),6)+1)))),1,0)</f>
        <v>0</v>
      </c>
      <c r="BG61" s="6">
        <f>IF(AND(frame($C61,$D61,BE$8),NOT(frame($C61,$D61,VLOOKUP(VLOOKUP(BG$26,FT[],9),Teachers[],MOD(COLUMN(BD61),6)+1)))),1,0)</f>
        <v>0</v>
      </c>
      <c r="BH61" s="6">
        <f>IF(AND(frame($C61,$D61,BF$8),NOT(frame($C61,$D61,VLOOKUP(VLOOKUP(BH$26,FT[],9),Teachers[],MOD(COLUMN(BE61),6)+1)))),1,0)</f>
        <v>0</v>
      </c>
      <c r="BI61" s="6">
        <f>IF(AND(frame($C61,$D61,BG$8),NOT(frame($C61,$D61,VLOOKUP(VLOOKUP(BI$26,FT[],9),Teachers[],MOD(COLUMN(BF61),6)+1)))),1,0)</f>
        <v>0</v>
      </c>
      <c r="BJ61" s="6">
        <f>IF(AND(frame($C61,$D61,BH$8),NOT(frame($C61,$D61,VLOOKUP(VLOOKUP(BJ$26,FT[],9),Teachers[],MOD(COLUMN(BG61),6)+1)))),1,0)</f>
        <v>0</v>
      </c>
      <c r="BK61" s="6">
        <f>IF(AND(frame($C61,$D61,BI$8),NOT(frame($C61,$D61,VLOOKUP(VLOOKUP(BK$26,FT[],9),Teachers[],MOD(COLUMN(BH61),6)+1)))),1,0)</f>
        <v>0</v>
      </c>
      <c r="BL61" s="6">
        <f>IF(AND(frame($C61,$D61,BJ$8),NOT(frame($C61,$D61,VLOOKUP(VLOOKUP(BL$26,FT[],9),Teachers[],MOD(COLUMN(BI61),6)+1)))),1,0)</f>
        <v>0</v>
      </c>
    </row>
    <row r="62" spans="2:64" ht="15.75" thickBot="1">
      <c r="B62" s="1">
        <v>35</v>
      </c>
      <c r="C62" s="9">
        <v>0.67708333333333315</v>
      </c>
      <c r="D62" s="9">
        <v>0.70833333333333315</v>
      </c>
      <c r="E62" s="6" t="e">
        <f ca="1">frame(СВ[[#This Row],[49]],СВ[[#This Row],[Столбец1]],C41,C55)</f>
        <v>#NAME?</v>
      </c>
      <c r="F62" s="6">
        <f>IF(AND(frame($C62,$D62,D$7),NOT(frame($C62,$D62,VLOOKUP(VLOOKUP(F$26,FT[],9),Teachers[],MOD(COLUMN(B62),6)+1)))),1,0)</f>
        <v>1</v>
      </c>
      <c r="G62" s="6">
        <f>IF(AND(frame($C62,$D62,E$7),NOT(frame($C62,$D62,VLOOKUP(VLOOKUP(G$26,FT[],9),Teachers[],MOD(COLUMN(C62),6)+1)))),1,0)</f>
        <v>0</v>
      </c>
      <c r="H62" s="6">
        <f>IF(AND(frame($C62,$D62,F$7),NOT(frame($C62,$D62,VLOOKUP(VLOOKUP(H$26,FT[],9),Teachers[],MOD(COLUMN(D62),6)+1)))),1,0)</f>
        <v>1</v>
      </c>
      <c r="I62" s="6" t="e">
        <f ca="1">IF(AND(frame($C62,$D62,G$7),NOT(frame($C62,$D62,VLOOKUP(VLOOKUP(I$26,FT[],9),Teachers[],MOD(COLUMN(E62),6)+1)))),1,0)</f>
        <v>#NAME?</v>
      </c>
      <c r="J62" s="6">
        <f>IF(AND(frame($C62,$D62,H$7),NOT(frame($C62,$D62,VLOOKUP(VLOOKUP(J$26,FT[],9),Teachers[],MOD(COLUMN(F62),6)+1)))),1,0)</f>
        <v>1</v>
      </c>
      <c r="K62" s="6">
        <f>IF(AND(frame($C62,$D62,I$8),NOT(frame($C62,$D62,VLOOKUP(VLOOKUP(K$26,FT[],9),Teachers[],MOD(COLUMN(H62),6)+1)))),1,0)</f>
        <v>0</v>
      </c>
      <c r="L62" s="1">
        <f t="shared" si="9"/>
        <v>0</v>
      </c>
      <c r="M62" s="6">
        <f>IF(AND(frame($C62,$D62,K$8),NOT(frame($C62,$D62,VLOOKUP(VLOOKUP(M$26,FT[],9),Teachers[],MOD(COLUMN(J62),6)+1)))),1,0)</f>
        <v>0</v>
      </c>
      <c r="N62" s="6">
        <f>IF(AND(frame($C62,$D62,L$8),NOT(frame($C62,$D62,VLOOKUP(VLOOKUP(N$26,FT[],9),Teachers[],MOD(COLUMN(K62),6)+1)))),1,0)</f>
        <v>0</v>
      </c>
      <c r="O62" s="6">
        <f>IF(AND(frame($C62,$D62,M$8),NOT(frame($C62,$D62,VLOOKUP(VLOOKUP(O$26,FT[],9),Teachers[],MOD(COLUMN(L62),6)+1)))),1,0)</f>
        <v>0</v>
      </c>
      <c r="P62" s="6">
        <f>IF(AND(frame($C62,$D62,N$8),NOT(frame($C62,$D62,VLOOKUP(VLOOKUP(P$26,FT[],9),Teachers[],MOD(COLUMN(M62),6)+1)))),1,0)</f>
        <v>0</v>
      </c>
      <c r="Q62" s="6">
        <f>IF(AND(frame($C62,$D62,O$8),NOT(frame($C62,$D62,VLOOKUP(VLOOKUP(Q$26,FT[],9),Teachers[],MOD(COLUMN(N62),6)+1)))),1,0)</f>
        <v>0</v>
      </c>
      <c r="R62" s="65">
        <f t="shared" si="10"/>
        <v>0</v>
      </c>
      <c r="S62" s="6">
        <f>IF(AND(frame($C62,$D62,Q$8),NOT(frame($C62,$D62,VLOOKUP(VLOOKUP(S$26,FT[],9),Teachers[],MOD(COLUMN(P62),6)+1)))),1,0)</f>
        <v>0</v>
      </c>
      <c r="T62" s="6">
        <f>IF(AND(frame($C62,$D62,R$8),NOT(frame($C62,$D62,VLOOKUP(VLOOKUP(T$26,FT[],9),Teachers[],MOD(COLUMN(Q62),6)+1)))),1,0)</f>
        <v>0</v>
      </c>
      <c r="U62" s="6">
        <f>IF(AND(frame($C62,$D62,S$8),NOT(frame($C62,$D62,VLOOKUP(VLOOKUP(U$26,FT[],9),Teachers[],MOD(COLUMN(R62),6)+1)))),1,0)</f>
        <v>0</v>
      </c>
      <c r="V62" s="6">
        <f>IF(AND(frame($C62,$D62,T$8),NOT(frame($C62,$D62,VLOOKUP(VLOOKUP(V$26,FT[],9),Teachers[],MOD(COLUMN(S62),6)+1)))),1,0)</f>
        <v>0</v>
      </c>
      <c r="W62" s="6">
        <f>IF(AND(frame($C62,$D62,U$8),NOT(frame($C62,$D62,VLOOKUP(VLOOKUP(W$26,FT[],9),Teachers[],MOD(COLUMN(T62),6)+1)))),1,0)</f>
        <v>0</v>
      </c>
      <c r="X62" s="6">
        <f>IF(AND(frame($C62,$D62,V$8),NOT(frame($C62,$D62,VLOOKUP(VLOOKUP(X$26,FT[],9),Teachers[],MOD(COLUMN(U62),6)+1)))),1,0)</f>
        <v>0</v>
      </c>
      <c r="Y62" s="6">
        <f>IF(AND(frame($C62,$D62,W$8),NOT(frame($C62,$D62,VLOOKUP(VLOOKUP(Y$26,FT[],9),Teachers[],MOD(COLUMN(V62),6)+1)))),1,0)</f>
        <v>0</v>
      </c>
      <c r="Z62" s="6">
        <f>IF(AND(frame($C62,$D62,X$8),NOT(frame($C62,$D62,VLOOKUP(VLOOKUP(Z$26,FT[],9),Teachers[],MOD(COLUMN(W62),6)+1)))),1,0)</f>
        <v>0</v>
      </c>
      <c r="AA62" s="6">
        <f>IF(AND(frame($C62,$D62,Y$8),NOT(frame($C62,$D62,VLOOKUP(VLOOKUP(AA$26,FT[],9),Teachers[],MOD(COLUMN(X62),6)+1)))),1,0)</f>
        <v>0</v>
      </c>
      <c r="AB62" s="6">
        <f>IF(AND(frame($C62,$D62,Z$8),NOT(frame($C62,$D62,VLOOKUP(VLOOKUP(AB$26,FT[],9),Teachers[],MOD(COLUMN(Y62),6)+1)))),1,0)</f>
        <v>0</v>
      </c>
      <c r="AC62" s="6">
        <f>IF(AND(frame($C62,$D62,AA$8),NOT(frame($C62,$D62,VLOOKUP(VLOOKUP(AC$26,FT[],9),Teachers[],MOD(COLUMN(Z62),6)+1)))),1,0)</f>
        <v>0</v>
      </c>
      <c r="AD62" s="6">
        <f>IF(AND(frame($C62,$D62,AB$8),NOT(frame($C62,$D62,VLOOKUP(VLOOKUP(AD$26,FT[],9),Teachers[],MOD(COLUMN(AA62),6)+1)))),1,0)</f>
        <v>0</v>
      </c>
      <c r="AE62" s="6">
        <f>IF(AND(frame($C62,$D62,AC$8),NOT(frame($C62,$D62,VLOOKUP(VLOOKUP(AE$26,FT[],9),Teachers[],MOD(COLUMN(AB62),6)+1)))),1,0)</f>
        <v>0</v>
      </c>
      <c r="AF62" s="6">
        <f>IF(AND(frame($C62,$D62,AD$8),NOT(frame($C62,$D62,VLOOKUP(VLOOKUP(AF$26,FT[],9),Teachers[],MOD(COLUMN(AC62),6)+1)))),1,0)</f>
        <v>0</v>
      </c>
      <c r="AG62" s="6">
        <f>IF(AND(frame($C62,$D62,AE$8),NOT(frame($C62,$D62,VLOOKUP(VLOOKUP(AG$26,FT[],9),Teachers[],MOD(COLUMN(AD62),6)+1)))),1,0)</f>
        <v>0</v>
      </c>
      <c r="AH62" s="6">
        <f>IF(AND(frame($C62,$D62,AF$8),NOT(frame($C62,$D62,VLOOKUP(VLOOKUP(AH$26,FT[],9),Teachers[],MOD(COLUMN(AE62),6)+1)))),1,0)</f>
        <v>0</v>
      </c>
      <c r="AI62" s="6">
        <f>IF(AND(frame($C62,$D62,AG$8),NOT(frame($C62,$D62,VLOOKUP(VLOOKUP(AI$26,FT[],9),Teachers[],MOD(COLUMN(AF62),6)+1)))),1,0)</f>
        <v>0</v>
      </c>
      <c r="AJ62" s="6">
        <f>IF(AND(frame($C62,$D62,AH$8),NOT(frame($C62,$D62,VLOOKUP(VLOOKUP(AJ$26,FT[],9),Teachers[],MOD(COLUMN(AG62),6)+1)))),1,0)</f>
        <v>0</v>
      </c>
      <c r="AK62" s="6">
        <f>IF(AND(frame($C62,$D62,AI$8),NOT(frame($C62,$D62,VLOOKUP(VLOOKUP(AK$26,FT[],9),Teachers[],MOD(COLUMN(AH62),6)+1)))),1,0)</f>
        <v>0</v>
      </c>
      <c r="AL62" s="6">
        <f>IF(AND(frame($C62,$D62,AJ$8),NOT(frame($C62,$D62,VLOOKUP(VLOOKUP(AL$26,FT[],9),Teachers[],MOD(COLUMN(AI62),6)+1)))),1,0)</f>
        <v>0</v>
      </c>
      <c r="AM62" s="6">
        <f>IF(AND(frame($C62,$D62,AK$8),NOT(frame($C62,$D62,VLOOKUP(VLOOKUP(AM$26,FT[],9),Teachers[],MOD(COLUMN(AJ62),6)+1)))),1,0)</f>
        <v>0</v>
      </c>
      <c r="AN62" s="6">
        <f>IF(AND(frame($C62,$D62,AL$8),NOT(frame($C62,$D62,VLOOKUP(VLOOKUP(AN$26,FT[],9),Teachers[],MOD(COLUMN(AK62),6)+1)))),1,0)</f>
        <v>0</v>
      </c>
      <c r="AO62" s="6">
        <f>IF(AND(frame($C62,$D62,AM$8),NOT(frame($C62,$D62,VLOOKUP(VLOOKUP(AO$26,FT[],9),Teachers[],MOD(COLUMN(AL62),6)+1)))),1,0)</f>
        <v>0</v>
      </c>
      <c r="AP62" s="66">
        <f t="shared" si="11"/>
        <v>0</v>
      </c>
      <c r="AQ62" s="6">
        <f>IF(AND(frame($C62,$D62,AO$8),NOT(frame($C62,$D62,VLOOKUP(VLOOKUP(AQ$26,FT[],9),Teachers[],MOD(COLUMN(AN62),6)+1)))),1,0)</f>
        <v>0</v>
      </c>
      <c r="AR62" s="6">
        <f>IF(AND(frame($C62,$D62,AP$8),NOT(frame($C62,$D62,VLOOKUP(VLOOKUP(AR$26,FT[],9),Teachers[],MOD(COLUMN(AO62),6)+1)))),1,0)</f>
        <v>0</v>
      </c>
      <c r="AS62" s="6">
        <f>IF(AND(frame($C62,$D62,AQ$8),NOT(frame($C62,$D62,VLOOKUP(VLOOKUP(AS$26,FT[],9),Teachers[],MOD(COLUMN(AP62),6)+1)))),1,0)</f>
        <v>0</v>
      </c>
      <c r="AT62" s="6">
        <f>IF(AND(frame($C62,$D62,AR$8),NOT(frame($C62,$D62,VLOOKUP(VLOOKUP(AT$26,FT[],9),Teachers[],MOD(COLUMN(AQ62),6)+1)))),1,0)</f>
        <v>0</v>
      </c>
      <c r="AU62" s="6">
        <f>IF(AND(frame($C62,$D62,AS$8),NOT(frame($C62,$D62,VLOOKUP(VLOOKUP(AU$26,FT[],9),Teachers[],MOD(COLUMN(AR62),6)+1)))),1,0)</f>
        <v>0</v>
      </c>
      <c r="AV62" s="6">
        <f>IF(AND(frame($C62,$D62,AT$8),NOT(frame($C62,$D62,VLOOKUP(VLOOKUP(AV$26,FT[],9),Teachers[],MOD(COLUMN(AS62),6)+1)))),1,0)</f>
        <v>0</v>
      </c>
      <c r="AW62" s="6">
        <f>IF(AND(frame($C62,$D62,AU$8),NOT(frame($C62,$D62,VLOOKUP(VLOOKUP(AW$26,FT[],9),Teachers[],MOD(COLUMN(AT62),6)+1)))),1,0)</f>
        <v>0</v>
      </c>
      <c r="AX62" s="6">
        <f>IF(AND(frame($C62,$D62,AV$8),NOT(frame($C62,$D62,VLOOKUP(VLOOKUP(AX$26,FT[],9),Teachers[],MOD(COLUMN(AU62),6)+1)))),1,0)</f>
        <v>0</v>
      </c>
      <c r="AY62" s="6">
        <f>IF(AND(frame($C62,$D62,AW$8),NOT(frame($C62,$D62,VLOOKUP(VLOOKUP(AY$26,FT[],9),Teachers[],MOD(COLUMN(AV62),6)+1)))),1,0)</f>
        <v>0</v>
      </c>
      <c r="AZ62" s="6">
        <f>IF(AND(frame($C62,$D62,AX$8),NOT(frame($C62,$D62,VLOOKUP(VLOOKUP(AZ$26,FT[],9),Teachers[],MOD(COLUMN(AW62),6)+1)))),1,0)</f>
        <v>0</v>
      </c>
      <c r="BA62" s="6">
        <f>IF(AND(frame($C62,$D62,AY$8),NOT(frame($C62,$D62,VLOOKUP(VLOOKUP(BA$26,FT[],9),Teachers[],MOD(COLUMN(AX62),6)+1)))),1,0)</f>
        <v>0</v>
      </c>
      <c r="BB62" s="6">
        <f>IF(AND(frame($C62,$D62,AZ$8),NOT(frame($C62,$D62,VLOOKUP(VLOOKUP(BB$26,FT[],9),Teachers[],MOD(COLUMN(AY62),6)+1)))),1,0)</f>
        <v>0</v>
      </c>
      <c r="BC62" s="6">
        <f>IF(AND(frame($C62,$D62,BA$8),NOT(frame($C62,$D62,VLOOKUP(VLOOKUP(BC$26,FT[],9),Teachers[],MOD(COLUMN(AZ62),6)+1)))),1,0)</f>
        <v>0</v>
      </c>
      <c r="BD62" s="6">
        <f>IF(AND(frame($C62,$D62,BB$8),NOT(frame($C62,$D62,VLOOKUP(VLOOKUP(BD$26,FT[],9),Teachers[],MOD(COLUMN(BA62),6)+1)))),1,0)</f>
        <v>0</v>
      </c>
      <c r="BE62" s="6">
        <f>IF(AND(frame($C62,$D62,BC$8),NOT(frame($C62,$D62,VLOOKUP(VLOOKUP(BE$26,FT[],9),Teachers[],MOD(COLUMN(BB62),6)+1)))),1,0)</f>
        <v>0</v>
      </c>
      <c r="BF62" s="6">
        <f>IF(AND(frame($C62,$D62,BD$8),NOT(frame($C62,$D62,VLOOKUP(VLOOKUP(BF$26,FT[],9),Teachers[],MOD(COLUMN(BC62),6)+1)))),1,0)</f>
        <v>0</v>
      </c>
      <c r="BG62" s="6">
        <f>IF(AND(frame($C62,$D62,BE$8),NOT(frame($C62,$D62,VLOOKUP(VLOOKUP(BG$26,FT[],9),Teachers[],MOD(COLUMN(BD62),6)+1)))),1,0)</f>
        <v>0</v>
      </c>
      <c r="BH62" s="6">
        <f>IF(AND(frame($C62,$D62,BF$8),NOT(frame($C62,$D62,VLOOKUP(VLOOKUP(BH$26,FT[],9),Teachers[],MOD(COLUMN(BE62),6)+1)))),1,0)</f>
        <v>0</v>
      </c>
      <c r="BI62" s="6">
        <f>IF(AND(frame($C62,$D62,BG$8),NOT(frame($C62,$D62,VLOOKUP(VLOOKUP(BI$26,FT[],9),Teachers[],MOD(COLUMN(BF62),6)+1)))),1,0)</f>
        <v>0</v>
      </c>
      <c r="BJ62" s="6">
        <f>IF(AND(frame($C62,$D62,BH$8),NOT(frame($C62,$D62,VLOOKUP(VLOOKUP(BJ$26,FT[],9),Teachers[],MOD(COLUMN(BG62),6)+1)))),1,0)</f>
        <v>0</v>
      </c>
      <c r="BK62" s="6">
        <f>IF(AND(frame($C62,$D62,BI$8),NOT(frame($C62,$D62,VLOOKUP(VLOOKUP(BK$26,FT[],9),Teachers[],MOD(COLUMN(BH62),6)+1)))),1,0)</f>
        <v>0</v>
      </c>
      <c r="BL62" s="6">
        <f>IF(AND(frame($C62,$D62,BJ$8),NOT(frame($C62,$D62,VLOOKUP(VLOOKUP(BL$26,FT[],9),Teachers[],MOD(COLUMN(BI62),6)+1)))),1,0)</f>
        <v>0</v>
      </c>
    </row>
    <row r="63" spans="2:64" ht="15.75" thickBot="1">
      <c r="B63" s="1">
        <v>36</v>
      </c>
      <c r="C63" s="9">
        <v>0.68749999999999989</v>
      </c>
      <c r="D63" s="9">
        <v>0.71874999999999978</v>
      </c>
      <c r="E63" s="6" t="e">
        <f ca="1">frame(СВ[[#This Row],[49]],СВ[[#This Row],[Столбец1]],C42,C56)</f>
        <v>#NAME?</v>
      </c>
      <c r="F63" s="6">
        <f>IF(AND(frame($C63,$D63,D$7),NOT(frame($C63,$D63,VLOOKUP(VLOOKUP(F$26,FT[],9),Teachers[],MOD(COLUMN(B63),6)+1)))),1,0)</f>
        <v>1</v>
      </c>
      <c r="G63" s="6">
        <f>IF(AND(frame($C63,$D63,E$7),NOT(frame($C63,$D63,VLOOKUP(VLOOKUP(G$26,FT[],9),Teachers[],MOD(COLUMN(C63),6)+1)))),1,0)</f>
        <v>0</v>
      </c>
      <c r="H63" s="6">
        <f>IF(AND(frame($C63,$D63,F$7),NOT(frame($C63,$D63,VLOOKUP(VLOOKUP(H$26,FT[],9),Teachers[],MOD(COLUMN(D63),6)+1)))),1,0)</f>
        <v>1</v>
      </c>
      <c r="I63" s="6" t="e">
        <f ca="1">IF(AND(frame($C63,$D63,G$7),NOT(frame($C63,$D63,VLOOKUP(VLOOKUP(I$26,FT[],9),Teachers[],MOD(COLUMN(E63),6)+1)))),1,0)</f>
        <v>#NAME?</v>
      </c>
      <c r="J63" s="6">
        <f>IF(AND(frame($C63,$D63,H$7),NOT(frame($C63,$D63,VLOOKUP(VLOOKUP(J$26,FT[],9),Teachers[],MOD(COLUMN(F63),6)+1)))),1,0)</f>
        <v>1</v>
      </c>
      <c r="K63" s="6">
        <f>IF(AND(frame($C63,$D63,I$8),NOT(frame($C63,$D63,VLOOKUP(VLOOKUP(K$26,FT[],9),Teachers[],MOD(COLUMN(H63),6)+1)))),1,0)</f>
        <v>0</v>
      </c>
      <c r="L63" s="1">
        <f t="shared" si="9"/>
        <v>0</v>
      </c>
      <c r="M63" s="6">
        <f>IF(AND(frame($C63,$D63,K$8),NOT(frame($C63,$D63,VLOOKUP(VLOOKUP(M$26,FT[],9),Teachers[],MOD(COLUMN(J63),6)+1)))),1,0)</f>
        <v>0</v>
      </c>
      <c r="N63" s="6">
        <f>IF(AND(frame($C63,$D63,L$8),NOT(frame($C63,$D63,VLOOKUP(VLOOKUP(N$26,FT[],9),Teachers[],MOD(COLUMN(K63),6)+1)))),1,0)</f>
        <v>0</v>
      </c>
      <c r="O63" s="6">
        <f>IF(AND(frame($C63,$D63,M$8),NOT(frame($C63,$D63,VLOOKUP(VLOOKUP(O$26,FT[],9),Teachers[],MOD(COLUMN(L63),6)+1)))),1,0)</f>
        <v>0</v>
      </c>
      <c r="P63" s="6">
        <f>IF(AND(frame($C63,$D63,N$8),NOT(frame($C63,$D63,VLOOKUP(VLOOKUP(P$26,FT[],9),Teachers[],MOD(COLUMN(M63),6)+1)))),1,0)</f>
        <v>0</v>
      </c>
      <c r="Q63" s="6">
        <f>IF(AND(frame($C63,$D63,O$8),NOT(frame($C63,$D63,VLOOKUP(VLOOKUP(Q$26,FT[],9),Teachers[],MOD(COLUMN(N63),6)+1)))),1,0)</f>
        <v>0</v>
      </c>
      <c r="R63" s="65">
        <f t="shared" si="10"/>
        <v>0</v>
      </c>
      <c r="S63" s="6">
        <f>IF(AND(frame($C63,$D63,Q$8),NOT(frame($C63,$D63,VLOOKUP(VLOOKUP(S$26,FT[],9),Teachers[],MOD(COLUMN(P63),6)+1)))),1,0)</f>
        <v>0</v>
      </c>
      <c r="T63" s="6">
        <f>IF(AND(frame($C63,$D63,R$8),NOT(frame($C63,$D63,VLOOKUP(VLOOKUP(T$26,FT[],9),Teachers[],MOD(COLUMN(Q63),6)+1)))),1,0)</f>
        <v>0</v>
      </c>
      <c r="U63" s="6">
        <f>IF(AND(frame($C63,$D63,S$8),NOT(frame($C63,$D63,VLOOKUP(VLOOKUP(U$26,FT[],9),Teachers[],MOD(COLUMN(R63),6)+1)))),1,0)</f>
        <v>0</v>
      </c>
      <c r="V63" s="6">
        <f>IF(AND(frame($C63,$D63,T$8),NOT(frame($C63,$D63,VLOOKUP(VLOOKUP(V$26,FT[],9),Teachers[],MOD(COLUMN(S63),6)+1)))),1,0)</f>
        <v>0</v>
      </c>
      <c r="W63" s="6">
        <f>IF(AND(frame($C63,$D63,U$8),NOT(frame($C63,$D63,VLOOKUP(VLOOKUP(W$26,FT[],9),Teachers[],MOD(COLUMN(T63),6)+1)))),1,0)</f>
        <v>0</v>
      </c>
      <c r="X63" s="6">
        <f>IF(AND(frame($C63,$D63,V$8),NOT(frame($C63,$D63,VLOOKUP(VLOOKUP(X$26,FT[],9),Teachers[],MOD(COLUMN(U63),6)+1)))),1,0)</f>
        <v>0</v>
      </c>
      <c r="Y63" s="6">
        <f>IF(AND(frame($C63,$D63,W$8),NOT(frame($C63,$D63,VLOOKUP(VLOOKUP(Y$26,FT[],9),Teachers[],MOD(COLUMN(V63),6)+1)))),1,0)</f>
        <v>0</v>
      </c>
      <c r="Z63" s="6">
        <f>IF(AND(frame($C63,$D63,X$8),NOT(frame($C63,$D63,VLOOKUP(VLOOKUP(Z$26,FT[],9),Teachers[],MOD(COLUMN(W63),6)+1)))),1,0)</f>
        <v>0</v>
      </c>
      <c r="AA63" s="6">
        <f>IF(AND(frame($C63,$D63,Y$8),NOT(frame($C63,$D63,VLOOKUP(VLOOKUP(AA$26,FT[],9),Teachers[],MOD(COLUMN(X63),6)+1)))),1,0)</f>
        <v>0</v>
      </c>
      <c r="AB63" s="6">
        <f>IF(AND(frame($C63,$D63,Z$8),NOT(frame($C63,$D63,VLOOKUP(VLOOKUP(AB$26,FT[],9),Teachers[],MOD(COLUMN(Y63),6)+1)))),1,0)</f>
        <v>0</v>
      </c>
      <c r="AC63" s="6">
        <f>IF(AND(frame($C63,$D63,AA$8),NOT(frame($C63,$D63,VLOOKUP(VLOOKUP(AC$26,FT[],9),Teachers[],MOD(COLUMN(Z63),6)+1)))),1,0)</f>
        <v>0</v>
      </c>
      <c r="AD63" s="6">
        <f>IF(AND(frame($C63,$D63,AB$8),NOT(frame($C63,$D63,VLOOKUP(VLOOKUP(AD$26,FT[],9),Teachers[],MOD(COLUMN(AA63),6)+1)))),1,0)</f>
        <v>0</v>
      </c>
      <c r="AE63" s="6">
        <f>IF(AND(frame($C63,$D63,AC$8),NOT(frame($C63,$D63,VLOOKUP(VLOOKUP(AE$26,FT[],9),Teachers[],MOD(COLUMN(AB63),6)+1)))),1,0)</f>
        <v>0</v>
      </c>
      <c r="AF63" s="6">
        <f>IF(AND(frame($C63,$D63,AD$8),NOT(frame($C63,$D63,VLOOKUP(VLOOKUP(AF$26,FT[],9),Teachers[],MOD(COLUMN(AC63),6)+1)))),1,0)</f>
        <v>0</v>
      </c>
      <c r="AG63" s="6">
        <f>IF(AND(frame($C63,$D63,AE$8),NOT(frame($C63,$D63,VLOOKUP(VLOOKUP(AG$26,FT[],9),Teachers[],MOD(COLUMN(AD63),6)+1)))),1,0)</f>
        <v>0</v>
      </c>
      <c r="AH63" s="6">
        <f>IF(AND(frame($C63,$D63,AF$8),NOT(frame($C63,$D63,VLOOKUP(VLOOKUP(AH$26,FT[],9),Teachers[],MOD(COLUMN(AE63),6)+1)))),1,0)</f>
        <v>0</v>
      </c>
      <c r="AI63" s="6">
        <f>IF(AND(frame($C63,$D63,AG$8),NOT(frame($C63,$D63,VLOOKUP(VLOOKUP(AI$26,FT[],9),Teachers[],MOD(COLUMN(AF63),6)+1)))),1,0)</f>
        <v>0</v>
      </c>
      <c r="AJ63" s="6">
        <f>IF(AND(frame($C63,$D63,AH$8),NOT(frame($C63,$D63,VLOOKUP(VLOOKUP(AJ$26,FT[],9),Teachers[],MOD(COLUMN(AG63),6)+1)))),1,0)</f>
        <v>0</v>
      </c>
      <c r="AK63" s="6">
        <f>IF(AND(frame($C63,$D63,AI$8),NOT(frame($C63,$D63,VLOOKUP(VLOOKUP(AK$26,FT[],9),Teachers[],MOD(COLUMN(AH63),6)+1)))),1,0)</f>
        <v>0</v>
      </c>
      <c r="AL63" s="6">
        <f>IF(AND(frame($C63,$D63,AJ$8),NOT(frame($C63,$D63,VLOOKUP(VLOOKUP(AL$26,FT[],9),Teachers[],MOD(COLUMN(AI63),6)+1)))),1,0)</f>
        <v>0</v>
      </c>
      <c r="AM63" s="6">
        <f>IF(AND(frame($C63,$D63,AK$8),NOT(frame($C63,$D63,VLOOKUP(VLOOKUP(AM$26,FT[],9),Teachers[],MOD(COLUMN(AJ63),6)+1)))),1,0)</f>
        <v>0</v>
      </c>
      <c r="AN63" s="6">
        <f>IF(AND(frame($C63,$D63,AL$8),NOT(frame($C63,$D63,VLOOKUP(VLOOKUP(AN$26,FT[],9),Teachers[],MOD(COLUMN(AK63),6)+1)))),1,0)</f>
        <v>0</v>
      </c>
      <c r="AO63" s="6">
        <f>IF(AND(frame($C63,$D63,AM$8),NOT(frame($C63,$D63,VLOOKUP(VLOOKUP(AO$26,FT[],9),Teachers[],MOD(COLUMN(AL63),6)+1)))),1,0)</f>
        <v>0</v>
      </c>
      <c r="AP63" s="66">
        <f t="shared" si="11"/>
        <v>0</v>
      </c>
      <c r="AQ63" s="6">
        <f>IF(AND(frame($C63,$D63,AO$8),NOT(frame($C63,$D63,VLOOKUP(VLOOKUP(AQ$26,FT[],9),Teachers[],MOD(COLUMN(AN63),6)+1)))),1,0)</f>
        <v>0</v>
      </c>
      <c r="AR63" s="6">
        <f>IF(AND(frame($C63,$D63,AP$8),NOT(frame($C63,$D63,VLOOKUP(VLOOKUP(AR$26,FT[],9),Teachers[],MOD(COLUMN(AO63),6)+1)))),1,0)</f>
        <v>0</v>
      </c>
      <c r="AS63" s="6">
        <f>IF(AND(frame($C63,$D63,AQ$8),NOT(frame($C63,$D63,VLOOKUP(VLOOKUP(AS$26,FT[],9),Teachers[],MOD(COLUMN(AP63),6)+1)))),1,0)</f>
        <v>0</v>
      </c>
      <c r="AT63" s="6">
        <f>IF(AND(frame($C63,$D63,AR$8),NOT(frame($C63,$D63,VLOOKUP(VLOOKUP(AT$26,FT[],9),Teachers[],MOD(COLUMN(AQ63),6)+1)))),1,0)</f>
        <v>0</v>
      </c>
      <c r="AU63" s="6">
        <f>IF(AND(frame($C63,$D63,AS$8),NOT(frame($C63,$D63,VLOOKUP(VLOOKUP(AU$26,FT[],9),Teachers[],MOD(COLUMN(AR63),6)+1)))),1,0)</f>
        <v>0</v>
      </c>
      <c r="AV63" s="6">
        <f>IF(AND(frame($C63,$D63,AT$8),NOT(frame($C63,$D63,VLOOKUP(VLOOKUP(AV$26,FT[],9),Teachers[],MOD(COLUMN(AS63),6)+1)))),1,0)</f>
        <v>0</v>
      </c>
      <c r="AW63" s="6">
        <f>IF(AND(frame($C63,$D63,AU$8),NOT(frame($C63,$D63,VLOOKUP(VLOOKUP(AW$26,FT[],9),Teachers[],MOD(COLUMN(AT63),6)+1)))),1,0)</f>
        <v>0</v>
      </c>
      <c r="AX63" s="6">
        <f>IF(AND(frame($C63,$D63,AV$8),NOT(frame($C63,$D63,VLOOKUP(VLOOKUP(AX$26,FT[],9),Teachers[],MOD(COLUMN(AU63),6)+1)))),1,0)</f>
        <v>0</v>
      </c>
      <c r="AY63" s="6">
        <f>IF(AND(frame($C63,$D63,AW$8),NOT(frame($C63,$D63,VLOOKUP(VLOOKUP(AY$26,FT[],9),Teachers[],MOD(COLUMN(AV63),6)+1)))),1,0)</f>
        <v>0</v>
      </c>
      <c r="AZ63" s="6">
        <f>IF(AND(frame($C63,$D63,AX$8),NOT(frame($C63,$D63,VLOOKUP(VLOOKUP(AZ$26,FT[],9),Teachers[],MOD(COLUMN(AW63),6)+1)))),1,0)</f>
        <v>0</v>
      </c>
      <c r="BA63" s="6">
        <f>IF(AND(frame($C63,$D63,AY$8),NOT(frame($C63,$D63,VLOOKUP(VLOOKUP(BA$26,FT[],9),Teachers[],MOD(COLUMN(AX63),6)+1)))),1,0)</f>
        <v>0</v>
      </c>
      <c r="BB63" s="6">
        <f>IF(AND(frame($C63,$D63,AZ$8),NOT(frame($C63,$D63,VLOOKUP(VLOOKUP(BB$26,FT[],9),Teachers[],MOD(COLUMN(AY63),6)+1)))),1,0)</f>
        <v>0</v>
      </c>
      <c r="BC63" s="6">
        <f>IF(AND(frame($C63,$D63,BA$8),NOT(frame($C63,$D63,VLOOKUP(VLOOKUP(BC$26,FT[],9),Teachers[],MOD(COLUMN(AZ63),6)+1)))),1,0)</f>
        <v>0</v>
      </c>
      <c r="BD63" s="6">
        <f>IF(AND(frame($C63,$D63,BB$8),NOT(frame($C63,$D63,VLOOKUP(VLOOKUP(BD$26,FT[],9),Teachers[],MOD(COLUMN(BA63),6)+1)))),1,0)</f>
        <v>0</v>
      </c>
      <c r="BE63" s="6">
        <f>IF(AND(frame($C63,$D63,BC$8),NOT(frame($C63,$D63,VLOOKUP(VLOOKUP(BE$26,FT[],9),Teachers[],MOD(COLUMN(BB63),6)+1)))),1,0)</f>
        <v>0</v>
      </c>
      <c r="BF63" s="6">
        <f>IF(AND(frame($C63,$D63,BD$8),NOT(frame($C63,$D63,VLOOKUP(VLOOKUP(BF$26,FT[],9),Teachers[],MOD(COLUMN(BC63),6)+1)))),1,0)</f>
        <v>0</v>
      </c>
      <c r="BG63" s="6">
        <f>IF(AND(frame($C63,$D63,BE$8),NOT(frame($C63,$D63,VLOOKUP(VLOOKUP(BG$26,FT[],9),Teachers[],MOD(COLUMN(BD63),6)+1)))),1,0)</f>
        <v>0</v>
      </c>
      <c r="BH63" s="6">
        <f>IF(AND(frame($C63,$D63,BF$8),NOT(frame($C63,$D63,VLOOKUP(VLOOKUP(BH$26,FT[],9),Teachers[],MOD(COLUMN(BE63),6)+1)))),1,0)</f>
        <v>0</v>
      </c>
      <c r="BI63" s="6">
        <f>IF(AND(frame($C63,$D63,BG$8),NOT(frame($C63,$D63,VLOOKUP(VLOOKUP(BI$26,FT[],9),Teachers[],MOD(COLUMN(BF63),6)+1)))),1,0)</f>
        <v>0</v>
      </c>
      <c r="BJ63" s="6">
        <f>IF(AND(frame($C63,$D63,BH$8),NOT(frame($C63,$D63,VLOOKUP(VLOOKUP(BJ$26,FT[],9),Teachers[],MOD(COLUMN(BG63),6)+1)))),1,0)</f>
        <v>0</v>
      </c>
      <c r="BK63" s="6">
        <f>IF(AND(frame($C63,$D63,BI$8),NOT(frame($C63,$D63,VLOOKUP(VLOOKUP(BK$26,FT[],9),Teachers[],MOD(COLUMN(BH63),6)+1)))),1,0)</f>
        <v>0</v>
      </c>
      <c r="BL63" s="6">
        <f>IF(AND(frame($C63,$D63,BJ$8),NOT(frame($C63,$D63,VLOOKUP(VLOOKUP(BL$26,FT[],9),Teachers[],MOD(COLUMN(BI63),6)+1)))),1,0)</f>
        <v>0</v>
      </c>
    </row>
    <row r="64" spans="2:64" ht="15.75" thickBot="1">
      <c r="B64" s="1">
        <v>37</v>
      </c>
      <c r="C64" s="9">
        <v>0.69791666666666652</v>
      </c>
      <c r="D64" s="9">
        <v>0.72916666666666652</v>
      </c>
      <c r="E64" s="6" t="e">
        <f ca="1">frame(СВ[[#This Row],[49]],СВ[[#This Row],[Столбец1]],C43,C57)</f>
        <v>#NAME?</v>
      </c>
      <c r="F64" s="6">
        <f>IF(AND(frame($C64,$D64,D$7),NOT(frame($C64,$D64,VLOOKUP(VLOOKUP(F$26,FT[],9),Teachers[],MOD(COLUMN(B64),6)+1)))),1,0)</f>
        <v>1</v>
      </c>
      <c r="G64" s="6">
        <f>IF(AND(frame($C64,$D64,E$7),NOT(frame($C64,$D64,VLOOKUP(VLOOKUP(G$26,FT[],9),Teachers[],MOD(COLUMN(C64),6)+1)))),1,0)</f>
        <v>0</v>
      </c>
      <c r="H64" s="6">
        <f>IF(AND(frame($C64,$D64,F$7),NOT(frame($C64,$D64,VLOOKUP(VLOOKUP(H$26,FT[],9),Teachers[],MOD(COLUMN(D64),6)+1)))),1,0)</f>
        <v>1</v>
      </c>
      <c r="I64" s="6" t="e">
        <f ca="1">IF(AND(frame($C64,$D64,G$7),NOT(frame($C64,$D64,VLOOKUP(VLOOKUP(I$26,FT[],9),Teachers[],MOD(COLUMN(E64),6)+1)))),1,0)</f>
        <v>#NAME?</v>
      </c>
      <c r="J64" s="6">
        <f>IF(AND(frame($C64,$D64,H$7),NOT(frame($C64,$D64,VLOOKUP(VLOOKUP(J$26,FT[],9),Teachers[],MOD(COLUMN(F64),6)+1)))),1,0)</f>
        <v>1</v>
      </c>
      <c r="K64" s="6">
        <f>IF(AND(frame($C64,$D64,I$8),NOT(frame($C64,$D64,VLOOKUP(VLOOKUP(K$26,FT[],9),Teachers[],MOD(COLUMN(H64),6)+1)))),1,0)</f>
        <v>0</v>
      </c>
      <c r="L64" s="1">
        <f t="shared" si="9"/>
        <v>0</v>
      </c>
      <c r="M64" s="6">
        <f>IF(AND(frame($C64,$D64,K$8),NOT(frame($C64,$D64,VLOOKUP(VLOOKUP(M$26,FT[],9),Teachers[],MOD(COLUMN(J64),6)+1)))),1,0)</f>
        <v>0</v>
      </c>
      <c r="N64" s="6">
        <f>IF(AND(frame($C64,$D64,L$8),NOT(frame($C64,$D64,VLOOKUP(VLOOKUP(N$26,FT[],9),Teachers[],MOD(COLUMN(K64),6)+1)))),1,0)</f>
        <v>0</v>
      </c>
      <c r="O64" s="6">
        <f>IF(AND(frame($C64,$D64,M$8),NOT(frame($C64,$D64,VLOOKUP(VLOOKUP(O$26,FT[],9),Teachers[],MOD(COLUMN(L64),6)+1)))),1,0)</f>
        <v>0</v>
      </c>
      <c r="P64" s="6">
        <f>IF(AND(frame($C64,$D64,N$8),NOT(frame($C64,$D64,VLOOKUP(VLOOKUP(P$26,FT[],9),Teachers[],MOD(COLUMN(M64),6)+1)))),1,0)</f>
        <v>0</v>
      </c>
      <c r="Q64" s="6">
        <f>IF(AND(frame($C64,$D64,O$8),NOT(frame($C64,$D64,VLOOKUP(VLOOKUP(Q$26,FT[],9),Teachers[],MOD(COLUMN(N64),6)+1)))),1,0)</f>
        <v>0</v>
      </c>
      <c r="R64" s="65">
        <f t="shared" si="10"/>
        <v>0</v>
      </c>
      <c r="S64" s="6">
        <f>IF(AND(frame($C64,$D64,Q$8),NOT(frame($C64,$D64,VLOOKUP(VLOOKUP(S$26,FT[],9),Teachers[],MOD(COLUMN(P64),6)+1)))),1,0)</f>
        <v>0</v>
      </c>
      <c r="T64" s="6">
        <f>IF(AND(frame($C64,$D64,R$8),NOT(frame($C64,$D64,VLOOKUP(VLOOKUP(T$26,FT[],9),Teachers[],MOD(COLUMN(Q64),6)+1)))),1,0)</f>
        <v>0</v>
      </c>
      <c r="U64" s="6">
        <f>IF(AND(frame($C64,$D64,S$8),NOT(frame($C64,$D64,VLOOKUP(VLOOKUP(U$26,FT[],9),Teachers[],MOD(COLUMN(R64),6)+1)))),1,0)</f>
        <v>0</v>
      </c>
      <c r="V64" s="6">
        <f>IF(AND(frame($C64,$D64,T$8),NOT(frame($C64,$D64,VLOOKUP(VLOOKUP(V$26,FT[],9),Teachers[],MOD(COLUMN(S64),6)+1)))),1,0)</f>
        <v>0</v>
      </c>
      <c r="W64" s="6">
        <f>IF(AND(frame($C64,$D64,U$8),NOT(frame($C64,$D64,VLOOKUP(VLOOKUP(W$26,FT[],9),Teachers[],MOD(COLUMN(T64),6)+1)))),1,0)</f>
        <v>0</v>
      </c>
      <c r="X64" s="6">
        <f>IF(AND(frame($C64,$D64,V$8),NOT(frame($C64,$D64,VLOOKUP(VLOOKUP(X$26,FT[],9),Teachers[],MOD(COLUMN(U64),6)+1)))),1,0)</f>
        <v>0</v>
      </c>
      <c r="Y64" s="6">
        <f>IF(AND(frame($C64,$D64,W$8),NOT(frame($C64,$D64,VLOOKUP(VLOOKUP(Y$26,FT[],9),Teachers[],MOD(COLUMN(V64),6)+1)))),1,0)</f>
        <v>0</v>
      </c>
      <c r="Z64" s="6">
        <f>IF(AND(frame($C64,$D64,X$8),NOT(frame($C64,$D64,VLOOKUP(VLOOKUP(Z$26,FT[],9),Teachers[],MOD(COLUMN(W64),6)+1)))),1,0)</f>
        <v>0</v>
      </c>
      <c r="AA64" s="6">
        <f>IF(AND(frame($C64,$D64,Y$8),NOT(frame($C64,$D64,VLOOKUP(VLOOKUP(AA$26,FT[],9),Teachers[],MOD(COLUMN(X64),6)+1)))),1,0)</f>
        <v>0</v>
      </c>
      <c r="AB64" s="6">
        <f>IF(AND(frame($C64,$D64,Z$8),NOT(frame($C64,$D64,VLOOKUP(VLOOKUP(AB$26,FT[],9),Teachers[],MOD(COLUMN(Y64),6)+1)))),1,0)</f>
        <v>0</v>
      </c>
      <c r="AC64" s="6">
        <f>IF(AND(frame($C64,$D64,AA$8),NOT(frame($C64,$D64,VLOOKUP(VLOOKUP(AC$26,FT[],9),Teachers[],MOD(COLUMN(Z64),6)+1)))),1,0)</f>
        <v>0</v>
      </c>
      <c r="AD64" s="6">
        <f>IF(AND(frame($C64,$D64,AB$8),NOT(frame($C64,$D64,VLOOKUP(VLOOKUP(AD$26,FT[],9),Teachers[],MOD(COLUMN(AA64),6)+1)))),1,0)</f>
        <v>0</v>
      </c>
      <c r="AE64" s="6">
        <f>IF(AND(frame($C64,$D64,AC$8),NOT(frame($C64,$D64,VLOOKUP(VLOOKUP(AE$26,FT[],9),Teachers[],MOD(COLUMN(AB64),6)+1)))),1,0)</f>
        <v>0</v>
      </c>
      <c r="AF64" s="6">
        <f>IF(AND(frame($C64,$D64,AD$8),NOT(frame($C64,$D64,VLOOKUP(VLOOKUP(AF$26,FT[],9),Teachers[],MOD(COLUMN(AC64),6)+1)))),1,0)</f>
        <v>0</v>
      </c>
      <c r="AG64" s="6">
        <f>IF(AND(frame($C64,$D64,AE$8),NOT(frame($C64,$D64,VLOOKUP(VLOOKUP(AG$26,FT[],9),Teachers[],MOD(COLUMN(AD64),6)+1)))),1,0)</f>
        <v>0</v>
      </c>
      <c r="AH64" s="6">
        <f>IF(AND(frame($C64,$D64,AF$8),NOT(frame($C64,$D64,VLOOKUP(VLOOKUP(AH$26,FT[],9),Teachers[],MOD(COLUMN(AE64),6)+1)))),1,0)</f>
        <v>0</v>
      </c>
      <c r="AI64" s="6">
        <f>IF(AND(frame($C64,$D64,AG$8),NOT(frame($C64,$D64,VLOOKUP(VLOOKUP(AI$26,FT[],9),Teachers[],MOD(COLUMN(AF64),6)+1)))),1,0)</f>
        <v>0</v>
      </c>
      <c r="AJ64" s="6">
        <f>IF(AND(frame($C64,$D64,AH$8),NOT(frame($C64,$D64,VLOOKUP(VLOOKUP(AJ$26,FT[],9),Teachers[],MOD(COLUMN(AG64),6)+1)))),1,0)</f>
        <v>0</v>
      </c>
      <c r="AK64" s="6">
        <f>IF(AND(frame($C64,$D64,AI$8),NOT(frame($C64,$D64,VLOOKUP(VLOOKUP(AK$26,FT[],9),Teachers[],MOD(COLUMN(AH64),6)+1)))),1,0)</f>
        <v>0</v>
      </c>
      <c r="AL64" s="6">
        <f>IF(AND(frame($C64,$D64,AJ$8),NOT(frame($C64,$D64,VLOOKUP(VLOOKUP(AL$26,FT[],9),Teachers[],MOD(COLUMN(AI64),6)+1)))),1,0)</f>
        <v>0</v>
      </c>
      <c r="AM64" s="6">
        <f>IF(AND(frame($C64,$D64,AK$8),NOT(frame($C64,$D64,VLOOKUP(VLOOKUP(AM$26,FT[],9),Teachers[],MOD(COLUMN(AJ64),6)+1)))),1,0)</f>
        <v>0</v>
      </c>
      <c r="AN64" s="6">
        <f>IF(AND(frame($C64,$D64,AL$8),NOT(frame($C64,$D64,VLOOKUP(VLOOKUP(AN$26,FT[],9),Teachers[],MOD(COLUMN(AK64),6)+1)))),1,0)</f>
        <v>0</v>
      </c>
      <c r="AO64" s="6">
        <f>IF(AND(frame($C64,$D64,AM$8),NOT(frame($C64,$D64,VLOOKUP(VLOOKUP(AO$26,FT[],9),Teachers[],MOD(COLUMN(AL64),6)+1)))),1,0)</f>
        <v>0</v>
      </c>
      <c r="AP64" s="66">
        <f t="shared" si="11"/>
        <v>0</v>
      </c>
      <c r="AQ64" s="6">
        <f>IF(AND(frame($C64,$D64,AO$8),NOT(frame($C64,$D64,VLOOKUP(VLOOKUP(AQ$26,FT[],9),Teachers[],MOD(COLUMN(AN64),6)+1)))),1,0)</f>
        <v>0</v>
      </c>
      <c r="AR64" s="6">
        <f>IF(AND(frame($C64,$D64,AP$8),NOT(frame($C64,$D64,VLOOKUP(VLOOKUP(AR$26,FT[],9),Teachers[],MOD(COLUMN(AO64),6)+1)))),1,0)</f>
        <v>0</v>
      </c>
      <c r="AS64" s="6">
        <f>IF(AND(frame($C64,$D64,AQ$8),NOT(frame($C64,$D64,VLOOKUP(VLOOKUP(AS$26,FT[],9),Teachers[],MOD(COLUMN(AP64),6)+1)))),1,0)</f>
        <v>0</v>
      </c>
      <c r="AT64" s="6">
        <f>IF(AND(frame($C64,$D64,AR$8),NOT(frame($C64,$D64,VLOOKUP(VLOOKUP(AT$26,FT[],9),Teachers[],MOD(COLUMN(AQ64),6)+1)))),1,0)</f>
        <v>0</v>
      </c>
      <c r="AU64" s="6">
        <f>IF(AND(frame($C64,$D64,AS$8),NOT(frame($C64,$D64,VLOOKUP(VLOOKUP(AU$26,FT[],9),Teachers[],MOD(COLUMN(AR64),6)+1)))),1,0)</f>
        <v>0</v>
      </c>
      <c r="AV64" s="6">
        <f>IF(AND(frame($C64,$D64,AT$8),NOT(frame($C64,$D64,VLOOKUP(VLOOKUP(AV$26,FT[],9),Teachers[],MOD(COLUMN(AS64),6)+1)))),1,0)</f>
        <v>0</v>
      </c>
      <c r="AW64" s="6">
        <f>IF(AND(frame($C64,$D64,AU$8),NOT(frame($C64,$D64,VLOOKUP(VLOOKUP(AW$26,FT[],9),Teachers[],MOD(COLUMN(AT64),6)+1)))),1,0)</f>
        <v>0</v>
      </c>
      <c r="AX64" s="6">
        <f>IF(AND(frame($C64,$D64,AV$8),NOT(frame($C64,$D64,VLOOKUP(VLOOKUP(AX$26,FT[],9),Teachers[],MOD(COLUMN(AU64),6)+1)))),1,0)</f>
        <v>0</v>
      </c>
      <c r="AY64" s="6">
        <f>IF(AND(frame($C64,$D64,AW$8),NOT(frame($C64,$D64,VLOOKUP(VLOOKUP(AY$26,FT[],9),Teachers[],MOD(COLUMN(AV64),6)+1)))),1,0)</f>
        <v>0</v>
      </c>
      <c r="AZ64" s="6">
        <f>IF(AND(frame($C64,$D64,AX$8),NOT(frame($C64,$D64,VLOOKUP(VLOOKUP(AZ$26,FT[],9),Teachers[],MOD(COLUMN(AW64),6)+1)))),1,0)</f>
        <v>0</v>
      </c>
      <c r="BA64" s="6">
        <f>IF(AND(frame($C64,$D64,AY$8),NOT(frame($C64,$D64,VLOOKUP(VLOOKUP(BA$26,FT[],9),Teachers[],MOD(COLUMN(AX64),6)+1)))),1,0)</f>
        <v>0</v>
      </c>
      <c r="BB64" s="6">
        <f>IF(AND(frame($C64,$D64,AZ$8),NOT(frame($C64,$D64,VLOOKUP(VLOOKUP(BB$26,FT[],9),Teachers[],MOD(COLUMN(AY64),6)+1)))),1,0)</f>
        <v>0</v>
      </c>
      <c r="BC64" s="6">
        <f>IF(AND(frame($C64,$D64,BA$8),NOT(frame($C64,$D64,VLOOKUP(VLOOKUP(BC$26,FT[],9),Teachers[],MOD(COLUMN(AZ64),6)+1)))),1,0)</f>
        <v>0</v>
      </c>
      <c r="BD64" s="6">
        <f>IF(AND(frame($C64,$D64,BB$8),NOT(frame($C64,$D64,VLOOKUP(VLOOKUP(BD$26,FT[],9),Teachers[],MOD(COLUMN(BA64),6)+1)))),1,0)</f>
        <v>0</v>
      </c>
      <c r="BE64" s="6">
        <f>IF(AND(frame($C64,$D64,BC$8),NOT(frame($C64,$D64,VLOOKUP(VLOOKUP(BE$26,FT[],9),Teachers[],MOD(COLUMN(BB64),6)+1)))),1,0)</f>
        <v>0</v>
      </c>
      <c r="BF64" s="6">
        <f>IF(AND(frame($C64,$D64,BD$8),NOT(frame($C64,$D64,VLOOKUP(VLOOKUP(BF$26,FT[],9),Teachers[],MOD(COLUMN(BC64),6)+1)))),1,0)</f>
        <v>0</v>
      </c>
      <c r="BG64" s="6">
        <f>IF(AND(frame($C64,$D64,BE$8),NOT(frame($C64,$D64,VLOOKUP(VLOOKUP(BG$26,FT[],9),Teachers[],MOD(COLUMN(BD64),6)+1)))),1,0)</f>
        <v>0</v>
      </c>
      <c r="BH64" s="6">
        <f>IF(AND(frame($C64,$D64,BF$8),NOT(frame($C64,$D64,VLOOKUP(VLOOKUP(BH$26,FT[],9),Teachers[],MOD(COLUMN(BE64),6)+1)))),1,0)</f>
        <v>0</v>
      </c>
      <c r="BI64" s="6">
        <f>IF(AND(frame($C64,$D64,BG$8),NOT(frame($C64,$D64,VLOOKUP(VLOOKUP(BI$26,FT[],9),Teachers[],MOD(COLUMN(BF64),6)+1)))),1,0)</f>
        <v>0</v>
      </c>
      <c r="BJ64" s="6">
        <f>IF(AND(frame($C64,$D64,BH$8),NOT(frame($C64,$D64,VLOOKUP(VLOOKUP(BJ$26,FT[],9),Teachers[],MOD(COLUMN(BG64),6)+1)))),1,0)</f>
        <v>0</v>
      </c>
      <c r="BK64" s="6">
        <f>IF(AND(frame($C64,$D64,BI$8),NOT(frame($C64,$D64,VLOOKUP(VLOOKUP(BK$26,FT[],9),Teachers[],MOD(COLUMN(BH64),6)+1)))),1,0)</f>
        <v>0</v>
      </c>
      <c r="BL64" s="6">
        <f>IF(AND(frame($C64,$D64,BJ$8),NOT(frame($C64,$D64,VLOOKUP(VLOOKUP(BL$26,FT[],9),Teachers[],MOD(COLUMN(BI64),6)+1)))),1,0)</f>
        <v>0</v>
      </c>
    </row>
    <row r="65" spans="2:64" ht="15.75" thickBot="1">
      <c r="B65" s="1">
        <v>38</v>
      </c>
      <c r="C65" s="9">
        <v>0.70833333333333315</v>
      </c>
      <c r="D65" s="9">
        <v>0.74999999999999978</v>
      </c>
      <c r="E65" s="6" t="e">
        <f ca="1">frame(СВ[[#This Row],[49]],СВ[[#This Row],[Столбец1]],C44,C58)</f>
        <v>#NAME?</v>
      </c>
      <c r="F65" s="6">
        <f>IF(AND(frame($C65,$D65,D$7),NOT(frame($C65,$D65,VLOOKUP(VLOOKUP(F$26,FT[],9),Teachers[],MOD(COLUMN(B65),6)+1)))),1,0)</f>
        <v>1</v>
      </c>
      <c r="G65" s="6">
        <f>IF(AND(frame($C65,$D65,E$7),NOT(frame($C65,$D65,VLOOKUP(VLOOKUP(G$26,FT[],9),Teachers[],MOD(COLUMN(C65),6)+1)))),1,0)</f>
        <v>0</v>
      </c>
      <c r="H65" s="6">
        <f>IF(AND(frame($C65,$D65,F$7),NOT(frame($C65,$D65,VLOOKUP(VLOOKUP(H$26,FT[],9),Teachers[],MOD(COLUMN(D65),6)+1)))),1,0)</f>
        <v>1</v>
      </c>
      <c r="I65" s="6" t="e">
        <f ca="1">IF(AND(frame($C65,$D65,G$7),NOT(frame($C65,$D65,VLOOKUP(VLOOKUP(I$26,FT[],9),Teachers[],MOD(COLUMN(E65),6)+1)))),1,0)</f>
        <v>#NAME?</v>
      </c>
      <c r="J65" s="6">
        <f>IF(AND(frame($C65,$D65,H$7),NOT(frame($C65,$D65,VLOOKUP(VLOOKUP(J$26,FT[],9),Teachers[],MOD(COLUMN(F65),6)+1)))),1,0)</f>
        <v>1</v>
      </c>
      <c r="K65" s="6">
        <f>IF(AND(frame($C65,$D65,I$8),NOT(frame($C65,$D65,VLOOKUP(VLOOKUP(K$26,FT[],9),Teachers[],MOD(COLUMN(H65),6)+1)))),1,0)</f>
        <v>0</v>
      </c>
      <c r="L65" s="1">
        <f t="shared" si="9"/>
        <v>0</v>
      </c>
      <c r="M65" s="6">
        <f>IF(AND(frame($C65,$D65,K$8),NOT(frame($C65,$D65,VLOOKUP(VLOOKUP(M$26,FT[],9),Teachers[],MOD(COLUMN(J65),6)+1)))),1,0)</f>
        <v>0</v>
      </c>
      <c r="N65" s="6">
        <f>IF(AND(frame($C65,$D65,L$8),NOT(frame($C65,$D65,VLOOKUP(VLOOKUP(N$26,FT[],9),Teachers[],MOD(COLUMN(K65),6)+1)))),1,0)</f>
        <v>0</v>
      </c>
      <c r="O65" s="6">
        <f>IF(AND(frame($C65,$D65,M$8),NOT(frame($C65,$D65,VLOOKUP(VLOOKUP(O$26,FT[],9),Teachers[],MOD(COLUMN(L65),6)+1)))),1,0)</f>
        <v>0</v>
      </c>
      <c r="P65" s="6">
        <f>IF(AND(frame($C65,$D65,N$8),NOT(frame($C65,$D65,VLOOKUP(VLOOKUP(P$26,FT[],9),Teachers[],MOD(COLUMN(M65),6)+1)))),1,0)</f>
        <v>0</v>
      </c>
      <c r="Q65" s="6">
        <f>IF(AND(frame($C65,$D65,O$8),NOT(frame($C65,$D65,VLOOKUP(VLOOKUP(Q$26,FT[],9),Teachers[],MOD(COLUMN(N65),6)+1)))),1,0)</f>
        <v>0</v>
      </c>
      <c r="R65" s="65">
        <f t="shared" si="10"/>
        <v>0</v>
      </c>
      <c r="S65" s="6">
        <f>IF(AND(frame($C65,$D65,Q$8),NOT(frame($C65,$D65,VLOOKUP(VLOOKUP(S$26,FT[],9),Teachers[],MOD(COLUMN(P65),6)+1)))),1,0)</f>
        <v>0</v>
      </c>
      <c r="T65" s="6">
        <f>IF(AND(frame($C65,$D65,R$8),NOT(frame($C65,$D65,VLOOKUP(VLOOKUP(T$26,FT[],9),Teachers[],MOD(COLUMN(Q65),6)+1)))),1,0)</f>
        <v>0</v>
      </c>
      <c r="U65" s="6">
        <f>IF(AND(frame($C65,$D65,S$8),NOT(frame($C65,$D65,VLOOKUP(VLOOKUP(U$26,FT[],9),Teachers[],MOD(COLUMN(R65),6)+1)))),1,0)</f>
        <v>0</v>
      </c>
      <c r="V65" s="6">
        <f>IF(AND(frame($C65,$D65,T$8),NOT(frame($C65,$D65,VLOOKUP(VLOOKUP(V$26,FT[],9),Teachers[],MOD(COLUMN(S65),6)+1)))),1,0)</f>
        <v>0</v>
      </c>
      <c r="W65" s="6">
        <f>IF(AND(frame($C65,$D65,U$8),NOT(frame($C65,$D65,VLOOKUP(VLOOKUP(W$26,FT[],9),Teachers[],MOD(COLUMN(T65),6)+1)))),1,0)</f>
        <v>0</v>
      </c>
      <c r="X65" s="6">
        <f>IF(AND(frame($C65,$D65,V$8),NOT(frame($C65,$D65,VLOOKUP(VLOOKUP(X$26,FT[],9),Teachers[],MOD(COLUMN(U65),6)+1)))),1,0)</f>
        <v>0</v>
      </c>
      <c r="Y65" s="6">
        <f>IF(AND(frame($C65,$D65,W$8),NOT(frame($C65,$D65,VLOOKUP(VLOOKUP(Y$26,FT[],9),Teachers[],MOD(COLUMN(V65),6)+1)))),1,0)</f>
        <v>0</v>
      </c>
      <c r="Z65" s="6">
        <f>IF(AND(frame($C65,$D65,X$8),NOT(frame($C65,$D65,VLOOKUP(VLOOKUP(Z$26,FT[],9),Teachers[],MOD(COLUMN(W65),6)+1)))),1,0)</f>
        <v>0</v>
      </c>
      <c r="AA65" s="6">
        <f>IF(AND(frame($C65,$D65,Y$8),NOT(frame($C65,$D65,VLOOKUP(VLOOKUP(AA$26,FT[],9),Teachers[],MOD(COLUMN(X65),6)+1)))),1,0)</f>
        <v>0</v>
      </c>
      <c r="AB65" s="6">
        <f>IF(AND(frame($C65,$D65,Z$8),NOT(frame($C65,$D65,VLOOKUP(VLOOKUP(AB$26,FT[],9),Teachers[],MOD(COLUMN(Y65),6)+1)))),1,0)</f>
        <v>0</v>
      </c>
      <c r="AC65" s="6">
        <f>IF(AND(frame($C65,$D65,AA$8),NOT(frame($C65,$D65,VLOOKUP(VLOOKUP(AC$26,FT[],9),Teachers[],MOD(COLUMN(Z65),6)+1)))),1,0)</f>
        <v>0</v>
      </c>
      <c r="AD65" s="6">
        <f>IF(AND(frame($C65,$D65,AB$8),NOT(frame($C65,$D65,VLOOKUP(VLOOKUP(AD$26,FT[],9),Teachers[],MOD(COLUMN(AA65),6)+1)))),1,0)</f>
        <v>0</v>
      </c>
      <c r="AE65" s="6">
        <f>IF(AND(frame($C65,$D65,AC$8),NOT(frame($C65,$D65,VLOOKUP(VLOOKUP(AE$26,FT[],9),Teachers[],MOD(COLUMN(AB65),6)+1)))),1,0)</f>
        <v>0</v>
      </c>
      <c r="AF65" s="6">
        <f>IF(AND(frame($C65,$D65,AD$8),NOT(frame($C65,$D65,VLOOKUP(VLOOKUP(AF$26,FT[],9),Teachers[],MOD(COLUMN(AC65),6)+1)))),1,0)</f>
        <v>0</v>
      </c>
      <c r="AG65" s="6">
        <f>IF(AND(frame($C65,$D65,AE$8),NOT(frame($C65,$D65,VLOOKUP(VLOOKUP(AG$26,FT[],9),Teachers[],MOD(COLUMN(AD65),6)+1)))),1,0)</f>
        <v>0</v>
      </c>
      <c r="AH65" s="6">
        <f>IF(AND(frame($C65,$D65,AF$8),NOT(frame($C65,$D65,VLOOKUP(VLOOKUP(AH$26,FT[],9),Teachers[],MOD(COLUMN(AE65),6)+1)))),1,0)</f>
        <v>0</v>
      </c>
      <c r="AI65" s="6">
        <f>IF(AND(frame($C65,$D65,AG$8),NOT(frame($C65,$D65,VLOOKUP(VLOOKUP(AI$26,FT[],9),Teachers[],MOD(COLUMN(AF65),6)+1)))),1,0)</f>
        <v>0</v>
      </c>
      <c r="AJ65" s="6">
        <f>IF(AND(frame($C65,$D65,AH$8),NOT(frame($C65,$D65,VLOOKUP(VLOOKUP(AJ$26,FT[],9),Teachers[],MOD(COLUMN(AG65),6)+1)))),1,0)</f>
        <v>0</v>
      </c>
      <c r="AK65" s="6">
        <f>IF(AND(frame($C65,$D65,AI$8),NOT(frame($C65,$D65,VLOOKUP(VLOOKUP(AK$26,FT[],9),Teachers[],MOD(COLUMN(AH65),6)+1)))),1,0)</f>
        <v>0</v>
      </c>
      <c r="AL65" s="6">
        <f>IF(AND(frame($C65,$D65,AJ$8),NOT(frame($C65,$D65,VLOOKUP(VLOOKUP(AL$26,FT[],9),Teachers[],MOD(COLUMN(AI65),6)+1)))),1,0)</f>
        <v>0</v>
      </c>
      <c r="AM65" s="6">
        <f>IF(AND(frame($C65,$D65,AK$8),NOT(frame($C65,$D65,VLOOKUP(VLOOKUP(AM$26,FT[],9),Teachers[],MOD(COLUMN(AJ65),6)+1)))),1,0)</f>
        <v>0</v>
      </c>
      <c r="AN65" s="6">
        <f>IF(AND(frame($C65,$D65,AL$8),NOT(frame($C65,$D65,VLOOKUP(VLOOKUP(AN$26,FT[],9),Teachers[],MOD(COLUMN(AK65),6)+1)))),1,0)</f>
        <v>0</v>
      </c>
      <c r="AO65" s="6">
        <f>IF(AND(frame($C65,$D65,AM$8),NOT(frame($C65,$D65,VLOOKUP(VLOOKUP(AO$26,FT[],9),Teachers[],MOD(COLUMN(AL65),6)+1)))),1,0)</f>
        <v>0</v>
      </c>
      <c r="AP65" s="66">
        <f t="shared" si="11"/>
        <v>0</v>
      </c>
      <c r="AQ65" s="6">
        <f>IF(AND(frame($C65,$D65,AO$8),NOT(frame($C65,$D65,VLOOKUP(VLOOKUP(AQ$26,FT[],9),Teachers[],MOD(COLUMN(AN65),6)+1)))),1,0)</f>
        <v>0</v>
      </c>
      <c r="AR65" s="6">
        <f>IF(AND(frame($C65,$D65,AP$8),NOT(frame($C65,$D65,VLOOKUP(VLOOKUP(AR$26,FT[],9),Teachers[],MOD(COLUMN(AO65),6)+1)))),1,0)</f>
        <v>0</v>
      </c>
      <c r="AS65" s="6">
        <f>IF(AND(frame($C65,$D65,AQ$8),NOT(frame($C65,$D65,VLOOKUP(VLOOKUP(AS$26,FT[],9),Teachers[],MOD(COLUMN(AP65),6)+1)))),1,0)</f>
        <v>0</v>
      </c>
      <c r="AT65" s="6">
        <f>IF(AND(frame($C65,$D65,AR$8),NOT(frame($C65,$D65,VLOOKUP(VLOOKUP(AT$26,FT[],9),Teachers[],MOD(COLUMN(AQ65),6)+1)))),1,0)</f>
        <v>0</v>
      </c>
      <c r="AU65" s="6">
        <f>IF(AND(frame($C65,$D65,AS$8),NOT(frame($C65,$D65,VLOOKUP(VLOOKUP(AU$26,FT[],9),Teachers[],MOD(COLUMN(AR65),6)+1)))),1,0)</f>
        <v>0</v>
      </c>
      <c r="AV65" s="6">
        <f>IF(AND(frame($C65,$D65,AT$8),NOT(frame($C65,$D65,VLOOKUP(VLOOKUP(AV$26,FT[],9),Teachers[],MOD(COLUMN(AS65),6)+1)))),1,0)</f>
        <v>0</v>
      </c>
      <c r="AW65" s="6">
        <f>IF(AND(frame($C65,$D65,AU$8),NOT(frame($C65,$D65,VLOOKUP(VLOOKUP(AW$26,FT[],9),Teachers[],MOD(COLUMN(AT65),6)+1)))),1,0)</f>
        <v>0</v>
      </c>
      <c r="AX65" s="6">
        <f>IF(AND(frame($C65,$D65,AV$8),NOT(frame($C65,$D65,VLOOKUP(VLOOKUP(AX$26,FT[],9),Teachers[],MOD(COLUMN(AU65),6)+1)))),1,0)</f>
        <v>0</v>
      </c>
      <c r="AY65" s="6">
        <f>IF(AND(frame($C65,$D65,AW$8),NOT(frame($C65,$D65,VLOOKUP(VLOOKUP(AY$26,FT[],9),Teachers[],MOD(COLUMN(AV65),6)+1)))),1,0)</f>
        <v>0</v>
      </c>
      <c r="AZ65" s="6">
        <f>IF(AND(frame($C65,$D65,AX$8),NOT(frame($C65,$D65,VLOOKUP(VLOOKUP(AZ$26,FT[],9),Teachers[],MOD(COLUMN(AW65),6)+1)))),1,0)</f>
        <v>0</v>
      </c>
      <c r="BA65" s="6">
        <f>IF(AND(frame($C65,$D65,AY$8),NOT(frame($C65,$D65,VLOOKUP(VLOOKUP(BA$26,FT[],9),Teachers[],MOD(COLUMN(AX65),6)+1)))),1,0)</f>
        <v>0</v>
      </c>
      <c r="BB65" s="6">
        <f>IF(AND(frame($C65,$D65,AZ$8),NOT(frame($C65,$D65,VLOOKUP(VLOOKUP(BB$26,FT[],9),Teachers[],MOD(COLUMN(AY65),6)+1)))),1,0)</f>
        <v>0</v>
      </c>
      <c r="BC65" s="6">
        <f>IF(AND(frame($C65,$D65,BA$8),NOT(frame($C65,$D65,VLOOKUP(VLOOKUP(BC$26,FT[],9),Teachers[],MOD(COLUMN(AZ65),6)+1)))),1,0)</f>
        <v>0</v>
      </c>
      <c r="BD65" s="6">
        <f>IF(AND(frame($C65,$D65,BB$8),NOT(frame($C65,$D65,VLOOKUP(VLOOKUP(BD$26,FT[],9),Teachers[],MOD(COLUMN(BA65),6)+1)))),1,0)</f>
        <v>0</v>
      </c>
      <c r="BE65" s="6">
        <f>IF(AND(frame($C65,$D65,BC$8),NOT(frame($C65,$D65,VLOOKUP(VLOOKUP(BE$26,FT[],9),Teachers[],MOD(COLUMN(BB65),6)+1)))),1,0)</f>
        <v>0</v>
      </c>
      <c r="BF65" s="6">
        <f>IF(AND(frame($C65,$D65,BD$8),NOT(frame($C65,$D65,VLOOKUP(VLOOKUP(BF$26,FT[],9),Teachers[],MOD(COLUMN(BC65),6)+1)))),1,0)</f>
        <v>0</v>
      </c>
      <c r="BG65" s="6">
        <f>IF(AND(frame($C65,$D65,BE$8),NOT(frame($C65,$D65,VLOOKUP(VLOOKUP(BG$26,FT[],9),Teachers[],MOD(COLUMN(BD65),6)+1)))),1,0)</f>
        <v>0</v>
      </c>
      <c r="BH65" s="6">
        <f>IF(AND(frame($C65,$D65,BF$8),NOT(frame($C65,$D65,VLOOKUP(VLOOKUP(BH$26,FT[],9),Teachers[],MOD(COLUMN(BE65),6)+1)))),1,0)</f>
        <v>0</v>
      </c>
      <c r="BI65" s="6">
        <f>IF(AND(frame($C65,$D65,BG$8),NOT(frame($C65,$D65,VLOOKUP(VLOOKUP(BI$26,FT[],9),Teachers[],MOD(COLUMN(BF65),6)+1)))),1,0)</f>
        <v>0</v>
      </c>
      <c r="BJ65" s="6">
        <f>IF(AND(frame($C65,$D65,BH$8),NOT(frame($C65,$D65,VLOOKUP(VLOOKUP(BJ$26,FT[],9),Teachers[],MOD(COLUMN(BG65),6)+1)))),1,0)</f>
        <v>0</v>
      </c>
      <c r="BK65" s="6">
        <f>IF(AND(frame($C65,$D65,BI$8),NOT(frame($C65,$D65,VLOOKUP(VLOOKUP(BK$26,FT[],9),Teachers[],MOD(COLUMN(BH65),6)+1)))),1,0)</f>
        <v>0</v>
      </c>
      <c r="BL65" s="6">
        <f>IF(AND(frame($C65,$D65,BJ$8),NOT(frame($C65,$D65,VLOOKUP(VLOOKUP(BL$26,FT[],9),Teachers[],MOD(COLUMN(BI65),6)+1)))),1,0)</f>
        <v>0</v>
      </c>
    </row>
    <row r="66" spans="2:64" ht="15.75" thickBot="1">
      <c r="B66" s="1">
        <v>39</v>
      </c>
      <c r="C66" s="9">
        <v>0.71874999999999978</v>
      </c>
      <c r="D66" s="9">
        <v>0.74999999999999978</v>
      </c>
      <c r="E66" s="6" t="e">
        <f ca="1">frame(СВ[[#This Row],[49]],СВ[[#This Row],[Столбец1]],C45,C59)</f>
        <v>#NAME?</v>
      </c>
      <c r="F66" s="6">
        <f>IF(AND(frame($C66,$D66,D$7),NOT(frame($C66,$D66,VLOOKUP(VLOOKUP(F$26,FT[],9),Teachers[],MOD(COLUMN(B66),6)+1)))),1,0)</f>
        <v>1</v>
      </c>
      <c r="G66" s="6">
        <f>IF(AND(frame($C66,$D66,E$7),NOT(frame($C66,$D66,VLOOKUP(VLOOKUP(G$26,FT[],9),Teachers[],MOD(COLUMN(C66),6)+1)))),1,0)</f>
        <v>0</v>
      </c>
      <c r="H66" s="6">
        <f>IF(AND(frame($C66,$D66,F$7),NOT(frame($C66,$D66,VLOOKUP(VLOOKUP(H$26,FT[],9),Teachers[],MOD(COLUMN(D66),6)+1)))),1,0)</f>
        <v>1</v>
      </c>
      <c r="I66" s="6" t="e">
        <f ca="1">IF(AND(frame($C66,$D66,G$7),NOT(frame($C66,$D66,VLOOKUP(VLOOKUP(I$26,FT[],9),Teachers[],MOD(COLUMN(E66),6)+1)))),1,0)</f>
        <v>#NAME?</v>
      </c>
      <c r="J66" s="6">
        <f>IF(AND(frame($C66,$D66,H$7),NOT(frame($C66,$D66,VLOOKUP(VLOOKUP(J$26,FT[],9),Teachers[],MOD(COLUMN(F66),6)+1)))),1,0)</f>
        <v>1</v>
      </c>
      <c r="K66" s="6">
        <f>IF(AND(frame($C66,$D66,I$8),NOT(frame($C66,$D66,VLOOKUP(VLOOKUP(K$26,FT[],9),Teachers[],MOD(COLUMN(H66),6)+1)))),1,0)</f>
        <v>0</v>
      </c>
      <c r="L66" s="1">
        <f t="shared" si="9"/>
        <v>0</v>
      </c>
      <c r="M66" s="6">
        <f>IF(AND(frame($C66,$D66,K$8),NOT(frame($C66,$D66,VLOOKUP(VLOOKUP(M$26,FT[],9),Teachers[],MOD(COLUMN(J66),6)+1)))),1,0)</f>
        <v>0</v>
      </c>
      <c r="N66" s="6">
        <f>IF(AND(frame($C66,$D66,L$8),NOT(frame($C66,$D66,VLOOKUP(VLOOKUP(N$26,FT[],9),Teachers[],MOD(COLUMN(K66),6)+1)))),1,0)</f>
        <v>0</v>
      </c>
      <c r="O66" s="6">
        <f>IF(AND(frame($C66,$D66,M$8),NOT(frame($C66,$D66,VLOOKUP(VLOOKUP(O$26,FT[],9),Teachers[],MOD(COLUMN(L66),6)+1)))),1,0)</f>
        <v>0</v>
      </c>
      <c r="P66" s="6">
        <f>IF(AND(frame($C66,$D66,N$8),NOT(frame($C66,$D66,VLOOKUP(VLOOKUP(P$26,FT[],9),Teachers[],MOD(COLUMN(M66),6)+1)))),1,0)</f>
        <v>0</v>
      </c>
      <c r="Q66" s="6">
        <f>IF(AND(frame($C66,$D66,O$8),NOT(frame($C66,$D66,VLOOKUP(VLOOKUP(Q$26,FT[],9),Teachers[],MOD(COLUMN(N66),6)+1)))),1,0)</f>
        <v>0</v>
      </c>
      <c r="R66" s="65">
        <f t="shared" si="10"/>
        <v>0</v>
      </c>
      <c r="S66" s="6">
        <f>IF(AND(frame($C66,$D66,Q$8),NOT(frame($C66,$D66,VLOOKUP(VLOOKUP(S$26,FT[],9),Teachers[],MOD(COLUMN(P66),6)+1)))),1,0)</f>
        <v>0</v>
      </c>
      <c r="T66" s="6">
        <f>IF(AND(frame($C66,$D66,R$8),NOT(frame($C66,$D66,VLOOKUP(VLOOKUP(T$26,FT[],9),Teachers[],MOD(COLUMN(Q66),6)+1)))),1,0)</f>
        <v>0</v>
      </c>
      <c r="U66" s="6">
        <f>IF(AND(frame($C66,$D66,S$8),NOT(frame($C66,$D66,VLOOKUP(VLOOKUP(U$26,FT[],9),Teachers[],MOD(COLUMN(R66),6)+1)))),1,0)</f>
        <v>0</v>
      </c>
      <c r="V66" s="6">
        <f>IF(AND(frame($C66,$D66,T$8),NOT(frame($C66,$D66,VLOOKUP(VLOOKUP(V$26,FT[],9),Teachers[],MOD(COLUMN(S66),6)+1)))),1,0)</f>
        <v>0</v>
      </c>
      <c r="W66" s="6">
        <f>IF(AND(frame($C66,$D66,U$8),NOT(frame($C66,$D66,VLOOKUP(VLOOKUP(W$26,FT[],9),Teachers[],MOD(COLUMN(T66),6)+1)))),1,0)</f>
        <v>0</v>
      </c>
      <c r="X66" s="6">
        <f>IF(AND(frame($C66,$D66,V$8),NOT(frame($C66,$D66,VLOOKUP(VLOOKUP(X$26,FT[],9),Teachers[],MOD(COLUMN(U66),6)+1)))),1,0)</f>
        <v>0</v>
      </c>
      <c r="Y66" s="6">
        <f>IF(AND(frame($C66,$D66,W$8),NOT(frame($C66,$D66,VLOOKUP(VLOOKUP(Y$26,FT[],9),Teachers[],MOD(COLUMN(V66),6)+1)))),1,0)</f>
        <v>0</v>
      </c>
      <c r="Z66" s="6">
        <f>IF(AND(frame($C66,$D66,X$8),NOT(frame($C66,$D66,VLOOKUP(VLOOKUP(Z$26,FT[],9),Teachers[],MOD(COLUMN(W66),6)+1)))),1,0)</f>
        <v>0</v>
      </c>
      <c r="AA66" s="6">
        <f>IF(AND(frame($C66,$D66,Y$8),NOT(frame($C66,$D66,VLOOKUP(VLOOKUP(AA$26,FT[],9),Teachers[],MOD(COLUMN(X66),6)+1)))),1,0)</f>
        <v>0</v>
      </c>
      <c r="AB66" s="6">
        <f>IF(AND(frame($C66,$D66,Z$8),NOT(frame($C66,$D66,VLOOKUP(VLOOKUP(AB$26,FT[],9),Teachers[],MOD(COLUMN(Y66),6)+1)))),1,0)</f>
        <v>0</v>
      </c>
      <c r="AC66" s="6">
        <f>IF(AND(frame($C66,$D66,AA$8),NOT(frame($C66,$D66,VLOOKUP(VLOOKUP(AC$26,FT[],9),Teachers[],MOD(COLUMN(Z66),6)+1)))),1,0)</f>
        <v>0</v>
      </c>
      <c r="AD66" s="6">
        <f>IF(AND(frame($C66,$D66,AB$8),NOT(frame($C66,$D66,VLOOKUP(VLOOKUP(AD$26,FT[],9),Teachers[],MOD(COLUMN(AA66),6)+1)))),1,0)</f>
        <v>0</v>
      </c>
      <c r="AE66" s="6">
        <f>IF(AND(frame($C66,$D66,AC$8),NOT(frame($C66,$D66,VLOOKUP(VLOOKUP(AE$26,FT[],9),Teachers[],MOD(COLUMN(AB66),6)+1)))),1,0)</f>
        <v>0</v>
      </c>
      <c r="AF66" s="6">
        <f>IF(AND(frame($C66,$D66,AD$8),NOT(frame($C66,$D66,VLOOKUP(VLOOKUP(AF$26,FT[],9),Teachers[],MOD(COLUMN(AC66),6)+1)))),1,0)</f>
        <v>0</v>
      </c>
      <c r="AG66" s="6">
        <f>IF(AND(frame($C66,$D66,AE$8),NOT(frame($C66,$D66,VLOOKUP(VLOOKUP(AG$26,FT[],9),Teachers[],MOD(COLUMN(AD66),6)+1)))),1,0)</f>
        <v>0</v>
      </c>
      <c r="AH66" s="6">
        <f>IF(AND(frame($C66,$D66,AF$8),NOT(frame($C66,$D66,VLOOKUP(VLOOKUP(AH$26,FT[],9),Teachers[],MOD(COLUMN(AE66),6)+1)))),1,0)</f>
        <v>0</v>
      </c>
      <c r="AI66" s="6">
        <f>IF(AND(frame($C66,$D66,AG$8),NOT(frame($C66,$D66,VLOOKUP(VLOOKUP(AI$26,FT[],9),Teachers[],MOD(COLUMN(AF66),6)+1)))),1,0)</f>
        <v>0</v>
      </c>
      <c r="AJ66" s="6">
        <f>IF(AND(frame($C66,$D66,AH$8),NOT(frame($C66,$D66,VLOOKUP(VLOOKUP(AJ$26,FT[],9),Teachers[],MOD(COLUMN(AG66),6)+1)))),1,0)</f>
        <v>0</v>
      </c>
      <c r="AK66" s="6">
        <f>IF(AND(frame($C66,$D66,AI$8),NOT(frame($C66,$D66,VLOOKUP(VLOOKUP(AK$26,FT[],9),Teachers[],MOD(COLUMN(AH66),6)+1)))),1,0)</f>
        <v>0</v>
      </c>
      <c r="AL66" s="6">
        <f>IF(AND(frame($C66,$D66,AJ$8),NOT(frame($C66,$D66,VLOOKUP(VLOOKUP(AL$26,FT[],9),Teachers[],MOD(COLUMN(AI66),6)+1)))),1,0)</f>
        <v>0</v>
      </c>
      <c r="AM66" s="6">
        <f>IF(AND(frame($C66,$D66,AK$8),NOT(frame($C66,$D66,VLOOKUP(VLOOKUP(AM$26,FT[],9),Teachers[],MOD(COLUMN(AJ66),6)+1)))),1,0)</f>
        <v>0</v>
      </c>
      <c r="AN66" s="6">
        <f>IF(AND(frame($C66,$D66,AL$8),NOT(frame($C66,$D66,VLOOKUP(VLOOKUP(AN$26,FT[],9),Teachers[],MOD(COLUMN(AK66),6)+1)))),1,0)</f>
        <v>0</v>
      </c>
      <c r="AO66" s="6">
        <f>IF(AND(frame($C66,$D66,AM$8),NOT(frame($C66,$D66,VLOOKUP(VLOOKUP(AO$26,FT[],9),Teachers[],MOD(COLUMN(AL66),6)+1)))),1,0)</f>
        <v>0</v>
      </c>
      <c r="AP66" s="66">
        <f t="shared" si="11"/>
        <v>0</v>
      </c>
      <c r="AQ66" s="6">
        <f>IF(AND(frame($C66,$D66,AO$8),NOT(frame($C66,$D66,VLOOKUP(VLOOKUP(AQ$26,FT[],9),Teachers[],MOD(COLUMN(AN66),6)+1)))),1,0)</f>
        <v>0</v>
      </c>
      <c r="AR66" s="6">
        <f>IF(AND(frame($C66,$D66,AP$8),NOT(frame($C66,$D66,VLOOKUP(VLOOKUP(AR$26,FT[],9),Teachers[],MOD(COLUMN(AO66),6)+1)))),1,0)</f>
        <v>0</v>
      </c>
      <c r="AS66" s="6">
        <f>IF(AND(frame($C66,$D66,AQ$8),NOT(frame($C66,$D66,VLOOKUP(VLOOKUP(AS$26,FT[],9),Teachers[],MOD(COLUMN(AP66),6)+1)))),1,0)</f>
        <v>0</v>
      </c>
      <c r="AT66" s="6">
        <f>IF(AND(frame($C66,$D66,AR$8),NOT(frame($C66,$D66,VLOOKUP(VLOOKUP(AT$26,FT[],9),Teachers[],MOD(COLUMN(AQ66),6)+1)))),1,0)</f>
        <v>0</v>
      </c>
      <c r="AU66" s="6">
        <f>IF(AND(frame($C66,$D66,AS$8),NOT(frame($C66,$D66,VLOOKUP(VLOOKUP(AU$26,FT[],9),Teachers[],MOD(COLUMN(AR66),6)+1)))),1,0)</f>
        <v>0</v>
      </c>
      <c r="AV66" s="6">
        <f>IF(AND(frame($C66,$D66,AT$8),NOT(frame($C66,$D66,VLOOKUP(VLOOKUP(AV$26,FT[],9),Teachers[],MOD(COLUMN(AS66),6)+1)))),1,0)</f>
        <v>0</v>
      </c>
      <c r="AW66" s="6">
        <f>IF(AND(frame($C66,$D66,AU$8),NOT(frame($C66,$D66,VLOOKUP(VLOOKUP(AW$26,FT[],9),Teachers[],MOD(COLUMN(AT66),6)+1)))),1,0)</f>
        <v>0</v>
      </c>
      <c r="AX66" s="6">
        <f>IF(AND(frame($C66,$D66,AV$8),NOT(frame($C66,$D66,VLOOKUP(VLOOKUP(AX$26,FT[],9),Teachers[],MOD(COLUMN(AU66),6)+1)))),1,0)</f>
        <v>0</v>
      </c>
      <c r="AY66" s="6">
        <f>IF(AND(frame($C66,$D66,AW$8),NOT(frame($C66,$D66,VLOOKUP(VLOOKUP(AY$26,FT[],9),Teachers[],MOD(COLUMN(AV66),6)+1)))),1,0)</f>
        <v>0</v>
      </c>
      <c r="AZ66" s="6">
        <f>IF(AND(frame($C66,$D66,AX$8),NOT(frame($C66,$D66,VLOOKUP(VLOOKUP(AZ$26,FT[],9),Teachers[],MOD(COLUMN(AW66),6)+1)))),1,0)</f>
        <v>0</v>
      </c>
      <c r="BA66" s="6">
        <f>IF(AND(frame($C66,$D66,AY$8),NOT(frame($C66,$D66,VLOOKUP(VLOOKUP(BA$26,FT[],9),Teachers[],MOD(COLUMN(AX66),6)+1)))),1,0)</f>
        <v>0</v>
      </c>
      <c r="BB66" s="6">
        <f>IF(AND(frame($C66,$D66,AZ$8),NOT(frame($C66,$D66,VLOOKUP(VLOOKUP(BB$26,FT[],9),Teachers[],MOD(COLUMN(AY66),6)+1)))),1,0)</f>
        <v>0</v>
      </c>
      <c r="BC66" s="6">
        <f>IF(AND(frame($C66,$D66,BA$8),NOT(frame($C66,$D66,VLOOKUP(VLOOKUP(BC$26,FT[],9),Teachers[],MOD(COLUMN(AZ66),6)+1)))),1,0)</f>
        <v>0</v>
      </c>
      <c r="BD66" s="6">
        <f>IF(AND(frame($C66,$D66,BB$8),NOT(frame($C66,$D66,VLOOKUP(VLOOKUP(BD$26,FT[],9),Teachers[],MOD(COLUMN(BA66),6)+1)))),1,0)</f>
        <v>0</v>
      </c>
      <c r="BE66" s="6">
        <f>IF(AND(frame($C66,$D66,BC$8),NOT(frame($C66,$D66,VLOOKUP(VLOOKUP(BE$26,FT[],9),Teachers[],MOD(COLUMN(BB66),6)+1)))),1,0)</f>
        <v>0</v>
      </c>
      <c r="BF66" s="6">
        <f>IF(AND(frame($C66,$D66,BD$8),NOT(frame($C66,$D66,VLOOKUP(VLOOKUP(BF$26,FT[],9),Teachers[],MOD(COLUMN(BC66),6)+1)))),1,0)</f>
        <v>0</v>
      </c>
      <c r="BG66" s="6">
        <f>IF(AND(frame($C66,$D66,BE$8),NOT(frame($C66,$D66,VLOOKUP(VLOOKUP(BG$26,FT[],9),Teachers[],MOD(COLUMN(BD66),6)+1)))),1,0)</f>
        <v>0</v>
      </c>
      <c r="BH66" s="6">
        <f>IF(AND(frame($C66,$D66,BF$8),NOT(frame($C66,$D66,VLOOKUP(VLOOKUP(BH$26,FT[],9),Teachers[],MOD(COLUMN(BE66),6)+1)))),1,0)</f>
        <v>0</v>
      </c>
      <c r="BI66" s="6">
        <f>IF(AND(frame($C66,$D66,BG$8),NOT(frame($C66,$D66,VLOOKUP(VLOOKUP(BI$26,FT[],9),Teachers[],MOD(COLUMN(BF66),6)+1)))),1,0)</f>
        <v>0</v>
      </c>
      <c r="BJ66" s="6">
        <f>IF(AND(frame($C66,$D66,BH$8),NOT(frame($C66,$D66,VLOOKUP(VLOOKUP(BJ$26,FT[],9),Teachers[],MOD(COLUMN(BG66),6)+1)))),1,0)</f>
        <v>0</v>
      </c>
      <c r="BK66" s="6">
        <f>IF(AND(frame($C66,$D66,BI$8),NOT(frame($C66,$D66,VLOOKUP(VLOOKUP(BK$26,FT[],9),Teachers[],MOD(COLUMN(BH66),6)+1)))),1,0)</f>
        <v>0</v>
      </c>
      <c r="BL66" s="6">
        <f>IF(AND(frame($C66,$D66,BJ$8),NOT(frame($C66,$D66,VLOOKUP(VLOOKUP(BL$26,FT[],9),Teachers[],MOD(COLUMN(BI66),6)+1)))),1,0)</f>
        <v>0</v>
      </c>
    </row>
    <row r="67" spans="2:64" ht="15.75" thickBot="1">
      <c r="B67" s="1">
        <v>40</v>
      </c>
      <c r="C67" s="9">
        <v>0.72916666666666652</v>
      </c>
      <c r="D67" s="9">
        <v>0.76041666666666641</v>
      </c>
      <c r="E67" s="6" t="e">
        <f ca="1">frame(СВ[[#This Row],[49]],СВ[[#This Row],[Столбец1]],C46,C60)</f>
        <v>#NAME?</v>
      </c>
      <c r="F67" s="6">
        <f>IF(AND(frame($C67,$D67,D$7),NOT(frame($C67,$D67,VLOOKUP(VLOOKUP(F$26,FT[],9),Teachers[],MOD(COLUMN(B67),6)+1)))),1,0)</f>
        <v>0</v>
      </c>
      <c r="G67" s="6">
        <f>IF(AND(frame($C67,$D67,E$7),NOT(frame($C67,$D67,VLOOKUP(VLOOKUP(G$26,FT[],9),Teachers[],MOD(COLUMN(C67),6)+1)))),1,0)</f>
        <v>0</v>
      </c>
      <c r="H67" s="6">
        <f>IF(AND(frame($C67,$D67,F$7),NOT(frame($C67,$D67,VLOOKUP(VLOOKUP(H$26,FT[],9),Teachers[],MOD(COLUMN(D67),6)+1)))),1,0)</f>
        <v>0</v>
      </c>
      <c r="I67" s="6" t="e">
        <f ca="1">IF(AND(frame($C67,$D67,G$7),NOT(frame($C67,$D67,VLOOKUP(VLOOKUP(I$26,FT[],9),Teachers[],MOD(COLUMN(E67),6)+1)))),1,0)</f>
        <v>#NAME?</v>
      </c>
      <c r="J67" s="6">
        <f>IF(AND(frame($C67,$D67,H$7),NOT(frame($C67,$D67,VLOOKUP(VLOOKUP(J$26,FT[],9),Teachers[],MOD(COLUMN(F67),6)+1)))),1,0)</f>
        <v>0</v>
      </c>
      <c r="K67" s="6">
        <f>IF(AND(frame($C67,$D67,I$8),NOT(frame($C67,$D67,VLOOKUP(VLOOKUP(K$26,FT[],9),Teachers[],MOD(COLUMN(H67),6)+1)))),1,0)</f>
        <v>0</v>
      </c>
      <c r="L67" s="1">
        <f t="shared" si="9"/>
        <v>0</v>
      </c>
      <c r="M67" s="6">
        <f>IF(AND(frame($C67,$D67,K$8),NOT(frame($C67,$D67,VLOOKUP(VLOOKUP(M$26,FT[],9),Teachers[],MOD(COLUMN(J67),6)+1)))),1,0)</f>
        <v>0</v>
      </c>
      <c r="N67" s="6">
        <f>IF(AND(frame($C67,$D67,L$8),NOT(frame($C67,$D67,VLOOKUP(VLOOKUP(N$26,FT[],9),Teachers[],MOD(COLUMN(K67),6)+1)))),1,0)</f>
        <v>0</v>
      </c>
      <c r="O67" s="6">
        <f>IF(AND(frame($C67,$D67,M$8),NOT(frame($C67,$D67,VLOOKUP(VLOOKUP(O$26,FT[],9),Teachers[],MOD(COLUMN(L67),6)+1)))),1,0)</f>
        <v>0</v>
      </c>
      <c r="P67" s="6">
        <f>IF(AND(frame($C67,$D67,N$8),NOT(frame($C67,$D67,VLOOKUP(VLOOKUP(P$26,FT[],9),Teachers[],MOD(COLUMN(M67),6)+1)))),1,0)</f>
        <v>0</v>
      </c>
      <c r="Q67" s="6">
        <f>IF(AND(frame($C67,$D67,O$8),NOT(frame($C67,$D67,VLOOKUP(VLOOKUP(Q$26,FT[],9),Teachers[],MOD(COLUMN(N67),6)+1)))),1,0)</f>
        <v>0</v>
      </c>
      <c r="R67" s="65">
        <f t="shared" si="10"/>
        <v>0</v>
      </c>
      <c r="S67" s="6">
        <f>IF(AND(frame($C67,$D67,Q$8),NOT(frame($C67,$D67,VLOOKUP(VLOOKUP(S$26,FT[],9),Teachers[],MOD(COLUMN(P67),6)+1)))),1,0)</f>
        <v>0</v>
      </c>
      <c r="T67" s="6">
        <f>IF(AND(frame($C67,$D67,R$8),NOT(frame($C67,$D67,VLOOKUP(VLOOKUP(T$26,FT[],9),Teachers[],MOD(COLUMN(Q67),6)+1)))),1,0)</f>
        <v>0</v>
      </c>
      <c r="U67" s="6">
        <f>IF(AND(frame($C67,$D67,S$8),NOT(frame($C67,$D67,VLOOKUP(VLOOKUP(U$26,FT[],9),Teachers[],MOD(COLUMN(R67),6)+1)))),1,0)</f>
        <v>0</v>
      </c>
      <c r="V67" s="6">
        <f>IF(AND(frame($C67,$D67,T$8),NOT(frame($C67,$D67,VLOOKUP(VLOOKUP(V$26,FT[],9),Teachers[],MOD(COLUMN(S67),6)+1)))),1,0)</f>
        <v>0</v>
      </c>
      <c r="W67" s="6">
        <f>IF(AND(frame($C67,$D67,U$8),NOT(frame($C67,$D67,VLOOKUP(VLOOKUP(W$26,FT[],9),Teachers[],MOD(COLUMN(T67),6)+1)))),1,0)</f>
        <v>0</v>
      </c>
      <c r="X67" s="6">
        <f>IF(AND(frame($C67,$D67,V$8),NOT(frame($C67,$D67,VLOOKUP(VLOOKUP(X$26,FT[],9),Teachers[],MOD(COLUMN(U67),6)+1)))),1,0)</f>
        <v>0</v>
      </c>
      <c r="Y67" s="6">
        <f>IF(AND(frame($C67,$D67,W$8),NOT(frame($C67,$D67,VLOOKUP(VLOOKUP(Y$26,FT[],9),Teachers[],MOD(COLUMN(V67),6)+1)))),1,0)</f>
        <v>0</v>
      </c>
      <c r="Z67" s="6">
        <f>IF(AND(frame($C67,$D67,X$8),NOT(frame($C67,$D67,VLOOKUP(VLOOKUP(Z$26,FT[],9),Teachers[],MOD(COLUMN(W67),6)+1)))),1,0)</f>
        <v>0</v>
      </c>
      <c r="AA67" s="6">
        <f>IF(AND(frame($C67,$D67,Y$8),NOT(frame($C67,$D67,VLOOKUP(VLOOKUP(AA$26,FT[],9),Teachers[],MOD(COLUMN(X67),6)+1)))),1,0)</f>
        <v>0</v>
      </c>
      <c r="AB67" s="6">
        <f>IF(AND(frame($C67,$D67,Z$8),NOT(frame($C67,$D67,VLOOKUP(VLOOKUP(AB$26,FT[],9),Teachers[],MOD(COLUMN(Y67),6)+1)))),1,0)</f>
        <v>0</v>
      </c>
      <c r="AC67" s="6">
        <f>IF(AND(frame($C67,$D67,AA$8),NOT(frame($C67,$D67,VLOOKUP(VLOOKUP(AC$26,FT[],9),Teachers[],MOD(COLUMN(Z67),6)+1)))),1,0)</f>
        <v>0</v>
      </c>
      <c r="AD67" s="6">
        <f>IF(AND(frame($C67,$D67,AB$8),NOT(frame($C67,$D67,VLOOKUP(VLOOKUP(AD$26,FT[],9),Teachers[],MOD(COLUMN(AA67),6)+1)))),1,0)</f>
        <v>0</v>
      </c>
      <c r="AE67" s="6">
        <f>IF(AND(frame($C67,$D67,AC$8),NOT(frame($C67,$D67,VLOOKUP(VLOOKUP(AE$26,FT[],9),Teachers[],MOD(COLUMN(AB67),6)+1)))),1,0)</f>
        <v>0</v>
      </c>
      <c r="AF67" s="6">
        <f>IF(AND(frame($C67,$D67,AD$8),NOT(frame($C67,$D67,VLOOKUP(VLOOKUP(AF$26,FT[],9),Teachers[],MOD(COLUMN(AC67),6)+1)))),1,0)</f>
        <v>0</v>
      </c>
      <c r="AG67" s="6">
        <f>IF(AND(frame($C67,$D67,AE$8),NOT(frame($C67,$D67,VLOOKUP(VLOOKUP(AG$26,FT[],9),Teachers[],MOD(COLUMN(AD67),6)+1)))),1,0)</f>
        <v>0</v>
      </c>
      <c r="AH67" s="6">
        <f>IF(AND(frame($C67,$D67,AF$8),NOT(frame($C67,$D67,VLOOKUP(VLOOKUP(AH$26,FT[],9),Teachers[],MOD(COLUMN(AE67),6)+1)))),1,0)</f>
        <v>0</v>
      </c>
      <c r="AI67" s="6">
        <f>IF(AND(frame($C67,$D67,AG$8),NOT(frame($C67,$D67,VLOOKUP(VLOOKUP(AI$26,FT[],9),Teachers[],MOD(COLUMN(AF67),6)+1)))),1,0)</f>
        <v>0</v>
      </c>
      <c r="AJ67" s="6">
        <f>IF(AND(frame($C67,$D67,AH$8),NOT(frame($C67,$D67,VLOOKUP(VLOOKUP(AJ$26,FT[],9),Teachers[],MOD(COLUMN(AG67),6)+1)))),1,0)</f>
        <v>0</v>
      </c>
      <c r="AK67" s="6">
        <f>IF(AND(frame($C67,$D67,AI$8),NOT(frame($C67,$D67,VLOOKUP(VLOOKUP(AK$26,FT[],9),Teachers[],MOD(COLUMN(AH67),6)+1)))),1,0)</f>
        <v>0</v>
      </c>
      <c r="AL67" s="6">
        <f>IF(AND(frame($C67,$D67,AJ$8),NOT(frame($C67,$D67,VLOOKUP(VLOOKUP(AL$26,FT[],9),Teachers[],MOD(COLUMN(AI67),6)+1)))),1,0)</f>
        <v>0</v>
      </c>
      <c r="AM67" s="6">
        <f>IF(AND(frame($C67,$D67,AK$8),NOT(frame($C67,$D67,VLOOKUP(VLOOKUP(AM$26,FT[],9),Teachers[],MOD(COLUMN(AJ67),6)+1)))),1,0)</f>
        <v>0</v>
      </c>
      <c r="AN67" s="6">
        <f>IF(AND(frame($C67,$D67,AL$8),NOT(frame($C67,$D67,VLOOKUP(VLOOKUP(AN$26,FT[],9),Teachers[],MOD(COLUMN(AK67),6)+1)))),1,0)</f>
        <v>0</v>
      </c>
      <c r="AO67" s="6">
        <f>IF(AND(frame($C67,$D67,AM$8),NOT(frame($C67,$D67,VLOOKUP(VLOOKUP(AO$26,FT[],9),Teachers[],MOD(COLUMN(AL67),6)+1)))),1,0)</f>
        <v>0</v>
      </c>
      <c r="AP67" s="66">
        <f t="shared" si="11"/>
        <v>0</v>
      </c>
      <c r="AQ67" s="6">
        <f>IF(AND(frame($C67,$D67,AO$8),NOT(frame($C67,$D67,VLOOKUP(VLOOKUP(AQ$26,FT[],9),Teachers[],MOD(COLUMN(AN67),6)+1)))),1,0)</f>
        <v>0</v>
      </c>
      <c r="AR67" s="6">
        <f>IF(AND(frame($C67,$D67,AP$8),NOT(frame($C67,$D67,VLOOKUP(VLOOKUP(AR$26,FT[],9),Teachers[],MOD(COLUMN(AO67),6)+1)))),1,0)</f>
        <v>0</v>
      </c>
      <c r="AS67" s="6">
        <f>IF(AND(frame($C67,$D67,AQ$8),NOT(frame($C67,$D67,VLOOKUP(VLOOKUP(AS$26,FT[],9),Teachers[],MOD(COLUMN(AP67),6)+1)))),1,0)</f>
        <v>0</v>
      </c>
      <c r="AT67" s="6">
        <f>IF(AND(frame($C67,$D67,AR$8),NOT(frame($C67,$D67,VLOOKUP(VLOOKUP(AT$26,FT[],9),Teachers[],MOD(COLUMN(AQ67),6)+1)))),1,0)</f>
        <v>0</v>
      </c>
      <c r="AU67" s="6">
        <f>IF(AND(frame($C67,$D67,AS$8),NOT(frame($C67,$D67,VLOOKUP(VLOOKUP(AU$26,FT[],9),Teachers[],MOD(COLUMN(AR67),6)+1)))),1,0)</f>
        <v>0</v>
      </c>
      <c r="AV67" s="6">
        <f>IF(AND(frame($C67,$D67,AT$8),NOT(frame($C67,$D67,VLOOKUP(VLOOKUP(AV$26,FT[],9),Teachers[],MOD(COLUMN(AS67),6)+1)))),1,0)</f>
        <v>0</v>
      </c>
      <c r="AW67" s="6">
        <f>IF(AND(frame($C67,$D67,AU$8),NOT(frame($C67,$D67,VLOOKUP(VLOOKUP(AW$26,FT[],9),Teachers[],MOD(COLUMN(AT67),6)+1)))),1,0)</f>
        <v>0</v>
      </c>
      <c r="AX67" s="6">
        <f>IF(AND(frame($C67,$D67,AV$8),NOT(frame($C67,$D67,VLOOKUP(VLOOKUP(AX$26,FT[],9),Teachers[],MOD(COLUMN(AU67),6)+1)))),1,0)</f>
        <v>0</v>
      </c>
      <c r="AY67" s="6">
        <f>IF(AND(frame($C67,$D67,AW$8),NOT(frame($C67,$D67,VLOOKUP(VLOOKUP(AY$26,FT[],9),Teachers[],MOD(COLUMN(AV67),6)+1)))),1,0)</f>
        <v>0</v>
      </c>
      <c r="AZ67" s="6">
        <f>IF(AND(frame($C67,$D67,AX$8),NOT(frame($C67,$D67,VLOOKUP(VLOOKUP(AZ$26,FT[],9),Teachers[],MOD(COLUMN(AW67),6)+1)))),1,0)</f>
        <v>0</v>
      </c>
      <c r="BA67" s="6">
        <f>IF(AND(frame($C67,$D67,AY$8),NOT(frame($C67,$D67,VLOOKUP(VLOOKUP(BA$26,FT[],9),Teachers[],MOD(COLUMN(AX67),6)+1)))),1,0)</f>
        <v>0</v>
      </c>
      <c r="BB67" s="6">
        <f>IF(AND(frame($C67,$D67,AZ$8),NOT(frame($C67,$D67,VLOOKUP(VLOOKUP(BB$26,FT[],9),Teachers[],MOD(COLUMN(AY67),6)+1)))),1,0)</f>
        <v>0</v>
      </c>
      <c r="BC67" s="6">
        <f>IF(AND(frame($C67,$D67,BA$8),NOT(frame($C67,$D67,VLOOKUP(VLOOKUP(BC$26,FT[],9),Teachers[],MOD(COLUMN(AZ67),6)+1)))),1,0)</f>
        <v>0</v>
      </c>
      <c r="BD67" s="6">
        <f>IF(AND(frame($C67,$D67,BB$8),NOT(frame($C67,$D67,VLOOKUP(VLOOKUP(BD$26,FT[],9),Teachers[],MOD(COLUMN(BA67),6)+1)))),1,0)</f>
        <v>0</v>
      </c>
      <c r="BE67" s="6">
        <f>IF(AND(frame($C67,$D67,BC$8),NOT(frame($C67,$D67,VLOOKUP(VLOOKUP(BE$26,FT[],9),Teachers[],MOD(COLUMN(BB67),6)+1)))),1,0)</f>
        <v>0</v>
      </c>
      <c r="BF67" s="6">
        <f>IF(AND(frame($C67,$D67,BD$8),NOT(frame($C67,$D67,VLOOKUP(VLOOKUP(BF$26,FT[],9),Teachers[],MOD(COLUMN(BC67),6)+1)))),1,0)</f>
        <v>0</v>
      </c>
      <c r="BG67" s="6">
        <f>IF(AND(frame($C67,$D67,BE$8),NOT(frame($C67,$D67,VLOOKUP(VLOOKUP(BG$26,FT[],9),Teachers[],MOD(COLUMN(BD67),6)+1)))),1,0)</f>
        <v>0</v>
      </c>
      <c r="BH67" s="6">
        <f>IF(AND(frame($C67,$D67,BF$8),NOT(frame($C67,$D67,VLOOKUP(VLOOKUP(BH$26,FT[],9),Teachers[],MOD(COLUMN(BE67),6)+1)))),1,0)</f>
        <v>0</v>
      </c>
      <c r="BI67" s="6">
        <f>IF(AND(frame($C67,$D67,BG$8),NOT(frame($C67,$D67,VLOOKUP(VLOOKUP(BI$26,FT[],9),Teachers[],MOD(COLUMN(BF67),6)+1)))),1,0)</f>
        <v>0</v>
      </c>
      <c r="BJ67" s="6">
        <f>IF(AND(frame($C67,$D67,BH$8),NOT(frame($C67,$D67,VLOOKUP(VLOOKUP(BJ$26,FT[],9),Teachers[],MOD(COLUMN(BG67),6)+1)))),1,0)</f>
        <v>0</v>
      </c>
      <c r="BK67" s="6">
        <f>IF(AND(frame($C67,$D67,BI$8),NOT(frame($C67,$D67,VLOOKUP(VLOOKUP(BK$26,FT[],9),Teachers[],MOD(COLUMN(BH67),6)+1)))),1,0)</f>
        <v>0</v>
      </c>
      <c r="BL67" s="6">
        <f>IF(AND(frame($C67,$D67,BJ$8),NOT(frame($C67,$D67,VLOOKUP(VLOOKUP(BL$26,FT[],9),Teachers[],MOD(COLUMN(BI67),6)+1)))),1,0)</f>
        <v>0</v>
      </c>
    </row>
    <row r="68" spans="2:64" ht="15.75" thickBot="1">
      <c r="B68" s="1">
        <v>41</v>
      </c>
      <c r="C68" s="9">
        <v>0.73958333333333315</v>
      </c>
      <c r="D68" s="9">
        <v>0.77083333333333315</v>
      </c>
      <c r="E68" s="6" t="e">
        <f ca="1">frame(СВ[[#This Row],[49]],СВ[[#This Row],[Столбец1]],C47,C61)</f>
        <v>#NAME?</v>
      </c>
      <c r="F68" s="6">
        <f>IF(AND(frame($C68,$D68,D$7),NOT(frame($C68,$D68,VLOOKUP(VLOOKUP(F$26,FT[],9),Teachers[],MOD(COLUMN(B68),6)+1)))),1,0)</f>
        <v>0</v>
      </c>
      <c r="G68" s="6">
        <f>IF(AND(frame($C68,$D68,E$7),NOT(frame($C68,$D68,VLOOKUP(VLOOKUP(G$26,FT[],9),Teachers[],MOD(COLUMN(C68),6)+1)))),1,0)</f>
        <v>0</v>
      </c>
      <c r="H68" s="6">
        <f>IF(AND(frame($C68,$D68,F$7),NOT(frame($C68,$D68,VLOOKUP(VLOOKUP(H$26,FT[],9),Teachers[],MOD(COLUMN(D68),6)+1)))),1,0)</f>
        <v>0</v>
      </c>
      <c r="I68" s="6" t="e">
        <f ca="1">IF(AND(frame($C68,$D68,G$7),NOT(frame($C68,$D68,VLOOKUP(VLOOKUP(I$26,FT[],9),Teachers[],MOD(COLUMN(E68),6)+1)))),1,0)</f>
        <v>#NAME?</v>
      </c>
      <c r="J68" s="6">
        <f>IF(AND(frame($C68,$D68,H$7),NOT(frame($C68,$D68,VLOOKUP(VLOOKUP(J$26,FT[],9),Teachers[],MOD(COLUMN(F68),6)+1)))),1,0)</f>
        <v>0</v>
      </c>
      <c r="K68" s="6">
        <f>IF(AND(frame($C68,$D68,I$8),NOT(frame($C68,$D68,VLOOKUP(VLOOKUP(K$26,FT[],9),Teachers[],MOD(COLUMN(H68),6)+1)))),1,0)</f>
        <v>0</v>
      </c>
      <c r="L68" s="1">
        <f t="shared" si="9"/>
        <v>0</v>
      </c>
      <c r="M68" s="6">
        <f>IF(AND(frame($C68,$D68,K$8),NOT(frame($C68,$D68,VLOOKUP(VLOOKUP(M$26,FT[],9),Teachers[],MOD(COLUMN(J68),6)+1)))),1,0)</f>
        <v>0</v>
      </c>
      <c r="N68" s="6">
        <f>IF(AND(frame($C68,$D68,L$8),NOT(frame($C68,$D68,VLOOKUP(VLOOKUP(N$26,FT[],9),Teachers[],MOD(COLUMN(K68),6)+1)))),1,0)</f>
        <v>0</v>
      </c>
      <c r="O68" s="6">
        <f>IF(AND(frame($C68,$D68,M$8),NOT(frame($C68,$D68,VLOOKUP(VLOOKUP(O$26,FT[],9),Teachers[],MOD(COLUMN(L68),6)+1)))),1,0)</f>
        <v>0</v>
      </c>
      <c r="P68" s="6">
        <f>IF(AND(frame($C68,$D68,N$8),NOT(frame($C68,$D68,VLOOKUP(VLOOKUP(P$26,FT[],9),Teachers[],MOD(COLUMN(M68),6)+1)))),1,0)</f>
        <v>0</v>
      </c>
      <c r="Q68" s="6">
        <f>IF(AND(frame($C68,$D68,O$8),NOT(frame($C68,$D68,VLOOKUP(VLOOKUP(Q$26,FT[],9),Teachers[],MOD(COLUMN(N68),6)+1)))),1,0)</f>
        <v>0</v>
      </c>
      <c r="R68" s="65">
        <f t="shared" si="10"/>
        <v>0</v>
      </c>
      <c r="S68" s="6">
        <f>IF(AND(frame($C68,$D68,Q$8),NOT(frame($C68,$D68,VLOOKUP(VLOOKUP(S$26,FT[],9),Teachers[],MOD(COLUMN(P68),6)+1)))),1,0)</f>
        <v>0</v>
      </c>
      <c r="T68" s="6">
        <f>IF(AND(frame($C68,$D68,R$8),NOT(frame($C68,$D68,VLOOKUP(VLOOKUP(T$26,FT[],9),Teachers[],MOD(COLUMN(Q68),6)+1)))),1,0)</f>
        <v>0</v>
      </c>
      <c r="U68" s="6">
        <f>IF(AND(frame($C68,$D68,S$8),NOT(frame($C68,$D68,VLOOKUP(VLOOKUP(U$26,FT[],9),Teachers[],MOD(COLUMN(R68),6)+1)))),1,0)</f>
        <v>0</v>
      </c>
      <c r="V68" s="6">
        <f>IF(AND(frame($C68,$D68,T$8),NOT(frame($C68,$D68,VLOOKUP(VLOOKUP(V$26,FT[],9),Teachers[],MOD(COLUMN(S68),6)+1)))),1,0)</f>
        <v>0</v>
      </c>
      <c r="W68" s="6">
        <f>IF(AND(frame($C68,$D68,U$8),NOT(frame($C68,$D68,VLOOKUP(VLOOKUP(W$26,FT[],9),Teachers[],MOD(COLUMN(T68),6)+1)))),1,0)</f>
        <v>0</v>
      </c>
      <c r="X68" s="6">
        <f>IF(AND(frame($C68,$D68,V$8),NOT(frame($C68,$D68,VLOOKUP(VLOOKUP(X$26,FT[],9),Teachers[],MOD(COLUMN(U68),6)+1)))),1,0)</f>
        <v>0</v>
      </c>
      <c r="Y68" s="6">
        <f>IF(AND(frame($C68,$D68,W$8),NOT(frame($C68,$D68,VLOOKUP(VLOOKUP(Y$26,FT[],9),Teachers[],MOD(COLUMN(V68),6)+1)))),1,0)</f>
        <v>0</v>
      </c>
      <c r="Z68" s="6">
        <f>IF(AND(frame($C68,$D68,X$8),NOT(frame($C68,$D68,VLOOKUP(VLOOKUP(Z$26,FT[],9),Teachers[],MOD(COLUMN(W68),6)+1)))),1,0)</f>
        <v>0</v>
      </c>
      <c r="AA68" s="6">
        <f>IF(AND(frame($C68,$D68,Y$8),NOT(frame($C68,$D68,VLOOKUP(VLOOKUP(AA$26,FT[],9),Teachers[],MOD(COLUMN(X68),6)+1)))),1,0)</f>
        <v>0</v>
      </c>
      <c r="AB68" s="6">
        <f>IF(AND(frame($C68,$D68,Z$8),NOT(frame($C68,$D68,VLOOKUP(VLOOKUP(AB$26,FT[],9),Teachers[],MOD(COLUMN(Y68),6)+1)))),1,0)</f>
        <v>0</v>
      </c>
      <c r="AC68" s="6">
        <f>IF(AND(frame($C68,$D68,AA$8),NOT(frame($C68,$D68,VLOOKUP(VLOOKUP(AC$26,FT[],9),Teachers[],MOD(COLUMN(Z68),6)+1)))),1,0)</f>
        <v>0</v>
      </c>
      <c r="AD68" s="6">
        <f>IF(AND(frame($C68,$D68,AB$8),NOT(frame($C68,$D68,VLOOKUP(VLOOKUP(AD$26,FT[],9),Teachers[],MOD(COLUMN(AA68),6)+1)))),1,0)</f>
        <v>0</v>
      </c>
      <c r="AE68" s="6">
        <f>IF(AND(frame($C68,$D68,AC$8),NOT(frame($C68,$D68,VLOOKUP(VLOOKUP(AE$26,FT[],9),Teachers[],MOD(COLUMN(AB68),6)+1)))),1,0)</f>
        <v>0</v>
      </c>
      <c r="AF68" s="6">
        <f>IF(AND(frame($C68,$D68,AD$8),NOT(frame($C68,$D68,VLOOKUP(VLOOKUP(AF$26,FT[],9),Teachers[],MOD(COLUMN(AC68),6)+1)))),1,0)</f>
        <v>0</v>
      </c>
      <c r="AG68" s="6">
        <f>IF(AND(frame($C68,$D68,AE$8),NOT(frame($C68,$D68,VLOOKUP(VLOOKUP(AG$26,FT[],9),Teachers[],MOD(COLUMN(AD68),6)+1)))),1,0)</f>
        <v>0</v>
      </c>
      <c r="AH68" s="6">
        <f>IF(AND(frame($C68,$D68,AF$8),NOT(frame($C68,$D68,VLOOKUP(VLOOKUP(AH$26,FT[],9),Teachers[],MOD(COLUMN(AE68),6)+1)))),1,0)</f>
        <v>0</v>
      </c>
      <c r="AI68" s="6">
        <f>IF(AND(frame($C68,$D68,AG$8),NOT(frame($C68,$D68,VLOOKUP(VLOOKUP(AI$26,FT[],9),Teachers[],MOD(COLUMN(AF68),6)+1)))),1,0)</f>
        <v>0</v>
      </c>
      <c r="AJ68" s="6">
        <f>IF(AND(frame($C68,$D68,AH$8),NOT(frame($C68,$D68,VLOOKUP(VLOOKUP(AJ$26,FT[],9),Teachers[],MOD(COLUMN(AG68),6)+1)))),1,0)</f>
        <v>0</v>
      </c>
      <c r="AK68" s="6">
        <f>IF(AND(frame($C68,$D68,AI$8),NOT(frame($C68,$D68,VLOOKUP(VLOOKUP(AK$26,FT[],9),Teachers[],MOD(COLUMN(AH68),6)+1)))),1,0)</f>
        <v>0</v>
      </c>
      <c r="AL68" s="6">
        <f>IF(AND(frame($C68,$D68,AJ$8),NOT(frame($C68,$D68,VLOOKUP(VLOOKUP(AL$26,FT[],9),Teachers[],MOD(COLUMN(AI68),6)+1)))),1,0)</f>
        <v>0</v>
      </c>
      <c r="AM68" s="6">
        <f>IF(AND(frame($C68,$D68,AK$8),NOT(frame($C68,$D68,VLOOKUP(VLOOKUP(AM$26,FT[],9),Teachers[],MOD(COLUMN(AJ68),6)+1)))),1,0)</f>
        <v>0</v>
      </c>
      <c r="AN68" s="6">
        <f>IF(AND(frame($C68,$D68,AL$8),NOT(frame($C68,$D68,VLOOKUP(VLOOKUP(AN$26,FT[],9),Teachers[],MOD(COLUMN(AK68),6)+1)))),1,0)</f>
        <v>0</v>
      </c>
      <c r="AO68" s="6">
        <f>IF(AND(frame($C68,$D68,AM$8),NOT(frame($C68,$D68,VLOOKUP(VLOOKUP(AO$26,FT[],9),Teachers[],MOD(COLUMN(AL68),6)+1)))),1,0)</f>
        <v>0</v>
      </c>
      <c r="AP68" s="66">
        <f t="shared" si="11"/>
        <v>0</v>
      </c>
      <c r="AQ68" s="6">
        <f>IF(AND(frame($C68,$D68,AO$8),NOT(frame($C68,$D68,VLOOKUP(VLOOKUP(AQ$26,FT[],9),Teachers[],MOD(COLUMN(AN68),6)+1)))),1,0)</f>
        <v>0</v>
      </c>
      <c r="AR68" s="6">
        <f>IF(AND(frame($C68,$D68,AP$8),NOT(frame($C68,$D68,VLOOKUP(VLOOKUP(AR$26,FT[],9),Teachers[],MOD(COLUMN(AO68),6)+1)))),1,0)</f>
        <v>0</v>
      </c>
      <c r="AS68" s="6">
        <f>IF(AND(frame($C68,$D68,AQ$8),NOT(frame($C68,$D68,VLOOKUP(VLOOKUP(AS$26,FT[],9),Teachers[],MOD(COLUMN(AP68),6)+1)))),1,0)</f>
        <v>0</v>
      </c>
      <c r="AT68" s="6">
        <f>IF(AND(frame($C68,$D68,AR$8),NOT(frame($C68,$D68,VLOOKUP(VLOOKUP(AT$26,FT[],9),Teachers[],MOD(COLUMN(AQ68),6)+1)))),1,0)</f>
        <v>0</v>
      </c>
      <c r="AU68" s="6">
        <f>IF(AND(frame($C68,$D68,AS$8),NOT(frame($C68,$D68,VLOOKUP(VLOOKUP(AU$26,FT[],9),Teachers[],MOD(COLUMN(AR68),6)+1)))),1,0)</f>
        <v>0</v>
      </c>
      <c r="AV68" s="6">
        <f>IF(AND(frame($C68,$D68,AT$8),NOT(frame($C68,$D68,VLOOKUP(VLOOKUP(AV$26,FT[],9),Teachers[],MOD(COLUMN(AS68),6)+1)))),1,0)</f>
        <v>0</v>
      </c>
      <c r="AW68" s="6">
        <f>IF(AND(frame($C68,$D68,AU$8),NOT(frame($C68,$D68,VLOOKUP(VLOOKUP(AW$26,FT[],9),Teachers[],MOD(COLUMN(AT68),6)+1)))),1,0)</f>
        <v>0</v>
      </c>
      <c r="AX68" s="6">
        <f>IF(AND(frame($C68,$D68,AV$8),NOT(frame($C68,$D68,VLOOKUP(VLOOKUP(AX$26,FT[],9),Teachers[],MOD(COLUMN(AU68),6)+1)))),1,0)</f>
        <v>0</v>
      </c>
      <c r="AY68" s="6">
        <f>IF(AND(frame($C68,$D68,AW$8),NOT(frame($C68,$D68,VLOOKUP(VLOOKUP(AY$26,FT[],9),Teachers[],MOD(COLUMN(AV68),6)+1)))),1,0)</f>
        <v>0</v>
      </c>
      <c r="AZ68" s="6">
        <f>IF(AND(frame($C68,$D68,AX$8),NOT(frame($C68,$D68,VLOOKUP(VLOOKUP(AZ$26,FT[],9),Teachers[],MOD(COLUMN(AW68),6)+1)))),1,0)</f>
        <v>0</v>
      </c>
      <c r="BA68" s="6">
        <f>IF(AND(frame($C68,$D68,AY$8),NOT(frame($C68,$D68,VLOOKUP(VLOOKUP(BA$26,FT[],9),Teachers[],MOD(COLUMN(AX68),6)+1)))),1,0)</f>
        <v>0</v>
      </c>
      <c r="BB68" s="6">
        <f>IF(AND(frame($C68,$D68,AZ$8),NOT(frame($C68,$D68,VLOOKUP(VLOOKUP(BB$26,FT[],9),Teachers[],MOD(COLUMN(AY68),6)+1)))),1,0)</f>
        <v>0</v>
      </c>
      <c r="BC68" s="6">
        <f>IF(AND(frame($C68,$D68,BA$8),NOT(frame($C68,$D68,VLOOKUP(VLOOKUP(BC$26,FT[],9),Teachers[],MOD(COLUMN(AZ68),6)+1)))),1,0)</f>
        <v>0</v>
      </c>
      <c r="BD68" s="6">
        <f>IF(AND(frame($C68,$D68,BB$8),NOT(frame($C68,$D68,VLOOKUP(VLOOKUP(BD$26,FT[],9),Teachers[],MOD(COLUMN(BA68),6)+1)))),1,0)</f>
        <v>0</v>
      </c>
      <c r="BE68" s="6">
        <f>IF(AND(frame($C68,$D68,BC$8),NOT(frame($C68,$D68,VLOOKUP(VLOOKUP(BE$26,FT[],9),Teachers[],MOD(COLUMN(BB68),6)+1)))),1,0)</f>
        <v>0</v>
      </c>
      <c r="BF68" s="6">
        <f>IF(AND(frame($C68,$D68,BD$8),NOT(frame($C68,$D68,VLOOKUP(VLOOKUP(BF$26,FT[],9),Teachers[],MOD(COLUMN(BC68),6)+1)))),1,0)</f>
        <v>0</v>
      </c>
      <c r="BG68" s="6">
        <f>IF(AND(frame($C68,$D68,BE$8),NOT(frame($C68,$D68,VLOOKUP(VLOOKUP(BG$26,FT[],9),Teachers[],MOD(COLUMN(BD68),6)+1)))),1,0)</f>
        <v>0</v>
      </c>
      <c r="BH68" s="6">
        <f>IF(AND(frame($C68,$D68,BF$8),NOT(frame($C68,$D68,VLOOKUP(VLOOKUP(BH$26,FT[],9),Teachers[],MOD(COLUMN(BE68),6)+1)))),1,0)</f>
        <v>0</v>
      </c>
      <c r="BI68" s="6">
        <f>IF(AND(frame($C68,$D68,BG$8),NOT(frame($C68,$D68,VLOOKUP(VLOOKUP(BI$26,FT[],9),Teachers[],MOD(COLUMN(BF68),6)+1)))),1,0)</f>
        <v>0</v>
      </c>
      <c r="BJ68" s="6">
        <f>IF(AND(frame($C68,$D68,BH$8),NOT(frame($C68,$D68,VLOOKUP(VLOOKUP(BJ$26,FT[],9),Teachers[],MOD(COLUMN(BG68),6)+1)))),1,0)</f>
        <v>0</v>
      </c>
      <c r="BK68" s="6">
        <f>IF(AND(frame($C68,$D68,BI$8),NOT(frame($C68,$D68,VLOOKUP(VLOOKUP(BK$26,FT[],9),Teachers[],MOD(COLUMN(BH68),6)+1)))),1,0)</f>
        <v>0</v>
      </c>
      <c r="BL68" s="6">
        <f>IF(AND(frame($C68,$D68,BJ$8),NOT(frame($C68,$D68,VLOOKUP(VLOOKUP(BL$26,FT[],9),Teachers[],MOD(COLUMN(BI68),6)+1)))),1,0)</f>
        <v>0</v>
      </c>
    </row>
    <row r="69" spans="2:64" ht="15.75" thickBot="1">
      <c r="B69" s="1">
        <v>42</v>
      </c>
      <c r="C69" s="9">
        <v>0.74999999999999978</v>
      </c>
      <c r="D69" s="9">
        <v>0.79166666666666641</v>
      </c>
      <c r="E69" s="6" t="e">
        <f ca="1">frame(СВ[[#This Row],[49]],СВ[[#This Row],[Столбец1]],C48,C62)</f>
        <v>#NAME?</v>
      </c>
      <c r="F69" s="6">
        <f>IF(AND(frame($C69,$D69,D$7),NOT(frame($C69,$D69,VLOOKUP(VLOOKUP(F$26,FT[],9),Teachers[],MOD(COLUMN(B69),6)+1)))),1,0)</f>
        <v>0</v>
      </c>
      <c r="G69" s="6">
        <f>IF(AND(frame($C69,$D69,E$7),NOT(frame($C69,$D69,VLOOKUP(VLOOKUP(G$26,FT[],9),Teachers[],MOD(COLUMN(C69),6)+1)))),1,0)</f>
        <v>0</v>
      </c>
      <c r="H69" s="6">
        <f>IF(AND(frame($C69,$D69,F$7),NOT(frame($C69,$D69,VLOOKUP(VLOOKUP(H$26,FT[],9),Teachers[],MOD(COLUMN(D69),6)+1)))),1,0)</f>
        <v>0</v>
      </c>
      <c r="I69" s="6" t="e">
        <f ca="1">IF(AND(frame($C69,$D69,G$7),NOT(frame($C69,$D69,VLOOKUP(VLOOKUP(I$26,FT[],9),Teachers[],MOD(COLUMN(E69),6)+1)))),1,0)</f>
        <v>#NAME?</v>
      </c>
      <c r="J69" s="6">
        <f>IF(AND(frame($C69,$D69,H$7),NOT(frame($C69,$D69,VLOOKUP(VLOOKUP(J$26,FT[],9),Teachers[],MOD(COLUMN(F69),6)+1)))),1,0)</f>
        <v>0</v>
      </c>
      <c r="K69" s="6">
        <f>IF(AND(frame($C69,$D69,I$8),NOT(frame($C69,$D69,VLOOKUP(VLOOKUP(K$26,FT[],9),Teachers[],MOD(COLUMN(H69),6)+1)))),1,0)</f>
        <v>0</v>
      </c>
      <c r="L69" s="1">
        <f t="shared" si="9"/>
        <v>0</v>
      </c>
      <c r="M69" s="6">
        <f>IF(AND(frame($C69,$D69,K$8),NOT(frame($C69,$D69,VLOOKUP(VLOOKUP(M$26,FT[],9),Teachers[],MOD(COLUMN(J69),6)+1)))),1,0)</f>
        <v>0</v>
      </c>
      <c r="N69" s="6">
        <f>IF(AND(frame($C69,$D69,L$8),NOT(frame($C69,$D69,VLOOKUP(VLOOKUP(N$26,FT[],9),Teachers[],MOD(COLUMN(K69),6)+1)))),1,0)</f>
        <v>0</v>
      </c>
      <c r="O69" s="6">
        <f>IF(AND(frame($C69,$D69,M$8),NOT(frame($C69,$D69,VLOOKUP(VLOOKUP(O$26,FT[],9),Teachers[],MOD(COLUMN(L69),6)+1)))),1,0)</f>
        <v>0</v>
      </c>
      <c r="P69" s="6">
        <f>IF(AND(frame($C69,$D69,N$8),NOT(frame($C69,$D69,VLOOKUP(VLOOKUP(P$26,FT[],9),Teachers[],MOD(COLUMN(M69),6)+1)))),1,0)</f>
        <v>0</v>
      </c>
      <c r="Q69" s="6">
        <f>IF(AND(frame($C69,$D69,O$8),NOT(frame($C69,$D69,VLOOKUP(VLOOKUP(Q$26,FT[],9),Teachers[],MOD(COLUMN(N69),6)+1)))),1,0)</f>
        <v>0</v>
      </c>
      <c r="R69" s="65">
        <f t="shared" si="10"/>
        <v>0</v>
      </c>
      <c r="S69" s="6">
        <f>IF(AND(frame($C69,$D69,Q$8),NOT(frame($C69,$D69,VLOOKUP(VLOOKUP(S$26,FT[],9),Teachers[],MOD(COLUMN(P69),6)+1)))),1,0)</f>
        <v>0</v>
      </c>
      <c r="T69" s="6">
        <f>IF(AND(frame($C69,$D69,R$8),NOT(frame($C69,$D69,VLOOKUP(VLOOKUP(T$26,FT[],9),Teachers[],MOD(COLUMN(Q69),6)+1)))),1,0)</f>
        <v>0</v>
      </c>
      <c r="U69" s="6">
        <f>IF(AND(frame($C69,$D69,S$8),NOT(frame($C69,$D69,VLOOKUP(VLOOKUP(U$26,FT[],9),Teachers[],MOD(COLUMN(R69),6)+1)))),1,0)</f>
        <v>0</v>
      </c>
      <c r="V69" s="6">
        <f>IF(AND(frame($C69,$D69,T$8),NOT(frame($C69,$D69,VLOOKUP(VLOOKUP(V$26,FT[],9),Teachers[],MOD(COLUMN(S69),6)+1)))),1,0)</f>
        <v>0</v>
      </c>
      <c r="W69" s="6">
        <f>IF(AND(frame($C69,$D69,U$8),NOT(frame($C69,$D69,VLOOKUP(VLOOKUP(W$26,FT[],9),Teachers[],MOD(COLUMN(T69),6)+1)))),1,0)</f>
        <v>0</v>
      </c>
      <c r="X69" s="6">
        <f>IF(AND(frame($C69,$D69,V$8),NOT(frame($C69,$D69,VLOOKUP(VLOOKUP(X$26,FT[],9),Teachers[],MOD(COLUMN(U69),6)+1)))),1,0)</f>
        <v>0</v>
      </c>
      <c r="Y69" s="6">
        <f>IF(AND(frame($C69,$D69,W$8),NOT(frame($C69,$D69,VLOOKUP(VLOOKUP(Y$26,FT[],9),Teachers[],MOD(COLUMN(V69),6)+1)))),1,0)</f>
        <v>0</v>
      </c>
      <c r="Z69" s="6">
        <f>IF(AND(frame($C69,$D69,X$8),NOT(frame($C69,$D69,VLOOKUP(VLOOKUP(Z$26,FT[],9),Teachers[],MOD(COLUMN(W69),6)+1)))),1,0)</f>
        <v>0</v>
      </c>
      <c r="AA69" s="6">
        <f>IF(AND(frame($C69,$D69,Y$8),NOT(frame($C69,$D69,VLOOKUP(VLOOKUP(AA$26,FT[],9),Teachers[],MOD(COLUMN(X69),6)+1)))),1,0)</f>
        <v>0</v>
      </c>
      <c r="AB69" s="6">
        <f>IF(AND(frame($C69,$D69,Z$8),NOT(frame($C69,$D69,VLOOKUP(VLOOKUP(AB$26,FT[],9),Teachers[],MOD(COLUMN(Y69),6)+1)))),1,0)</f>
        <v>0</v>
      </c>
      <c r="AC69" s="6">
        <f>IF(AND(frame($C69,$D69,AA$8),NOT(frame($C69,$D69,VLOOKUP(VLOOKUP(AC$26,FT[],9),Teachers[],MOD(COLUMN(Z69),6)+1)))),1,0)</f>
        <v>0</v>
      </c>
      <c r="AD69" s="6">
        <f>IF(AND(frame($C69,$D69,AB$8),NOT(frame($C69,$D69,VLOOKUP(VLOOKUP(AD$26,FT[],9),Teachers[],MOD(COLUMN(AA69),6)+1)))),1,0)</f>
        <v>0</v>
      </c>
      <c r="AE69" s="6">
        <f>IF(AND(frame($C69,$D69,AC$8),NOT(frame($C69,$D69,VLOOKUP(VLOOKUP(AE$26,FT[],9),Teachers[],MOD(COLUMN(AB69),6)+1)))),1,0)</f>
        <v>0</v>
      </c>
      <c r="AF69" s="6">
        <f>IF(AND(frame($C69,$D69,AD$8),NOT(frame($C69,$D69,VLOOKUP(VLOOKUP(AF$26,FT[],9),Teachers[],MOD(COLUMN(AC69),6)+1)))),1,0)</f>
        <v>0</v>
      </c>
      <c r="AG69" s="6">
        <f>IF(AND(frame($C69,$D69,AE$8),NOT(frame($C69,$D69,VLOOKUP(VLOOKUP(AG$26,FT[],9),Teachers[],MOD(COLUMN(AD69),6)+1)))),1,0)</f>
        <v>0</v>
      </c>
      <c r="AH69" s="6">
        <f>IF(AND(frame($C69,$D69,AF$8),NOT(frame($C69,$D69,VLOOKUP(VLOOKUP(AH$26,FT[],9),Teachers[],MOD(COLUMN(AE69),6)+1)))),1,0)</f>
        <v>0</v>
      </c>
      <c r="AI69" s="6">
        <f>IF(AND(frame($C69,$D69,AG$8),NOT(frame($C69,$D69,VLOOKUP(VLOOKUP(AI$26,FT[],9),Teachers[],MOD(COLUMN(AF69),6)+1)))),1,0)</f>
        <v>0</v>
      </c>
      <c r="AJ69" s="6">
        <f>IF(AND(frame($C69,$D69,AH$8),NOT(frame($C69,$D69,VLOOKUP(VLOOKUP(AJ$26,FT[],9),Teachers[],MOD(COLUMN(AG69),6)+1)))),1,0)</f>
        <v>0</v>
      </c>
      <c r="AK69" s="6">
        <f>IF(AND(frame($C69,$D69,AI$8),NOT(frame($C69,$D69,VLOOKUP(VLOOKUP(AK$26,FT[],9),Teachers[],MOD(COLUMN(AH69),6)+1)))),1,0)</f>
        <v>0</v>
      </c>
      <c r="AL69" s="6">
        <f>IF(AND(frame($C69,$D69,AJ$8),NOT(frame($C69,$D69,VLOOKUP(VLOOKUP(AL$26,FT[],9),Teachers[],MOD(COLUMN(AI69),6)+1)))),1,0)</f>
        <v>0</v>
      </c>
      <c r="AM69" s="6">
        <f>IF(AND(frame($C69,$D69,AK$8),NOT(frame($C69,$D69,VLOOKUP(VLOOKUP(AM$26,FT[],9),Teachers[],MOD(COLUMN(AJ69),6)+1)))),1,0)</f>
        <v>0</v>
      </c>
      <c r="AN69" s="6">
        <f>IF(AND(frame($C69,$D69,AL$8),NOT(frame($C69,$D69,VLOOKUP(VLOOKUP(AN$26,FT[],9),Teachers[],MOD(COLUMN(AK69),6)+1)))),1,0)</f>
        <v>0</v>
      </c>
      <c r="AO69" s="6">
        <f>IF(AND(frame($C69,$D69,AM$8),NOT(frame($C69,$D69,VLOOKUP(VLOOKUP(AO$26,FT[],9),Teachers[],MOD(COLUMN(AL69),6)+1)))),1,0)</f>
        <v>0</v>
      </c>
      <c r="AP69" s="66">
        <f t="shared" si="11"/>
        <v>0</v>
      </c>
      <c r="AQ69" s="6">
        <f>IF(AND(frame($C69,$D69,AO$8),NOT(frame($C69,$D69,VLOOKUP(VLOOKUP(AQ$26,FT[],9),Teachers[],MOD(COLUMN(AN69),6)+1)))),1,0)</f>
        <v>0</v>
      </c>
      <c r="AR69" s="6">
        <f>IF(AND(frame($C69,$D69,AP$8),NOT(frame($C69,$D69,VLOOKUP(VLOOKUP(AR$26,FT[],9),Teachers[],MOD(COLUMN(AO69),6)+1)))),1,0)</f>
        <v>0</v>
      </c>
      <c r="AS69" s="6">
        <f>IF(AND(frame($C69,$D69,AQ$8),NOT(frame($C69,$D69,VLOOKUP(VLOOKUP(AS$26,FT[],9),Teachers[],MOD(COLUMN(AP69),6)+1)))),1,0)</f>
        <v>0</v>
      </c>
      <c r="AT69" s="6">
        <f>IF(AND(frame($C69,$D69,AR$8),NOT(frame($C69,$D69,VLOOKUP(VLOOKUP(AT$26,FT[],9),Teachers[],MOD(COLUMN(AQ69),6)+1)))),1,0)</f>
        <v>0</v>
      </c>
      <c r="AU69" s="6">
        <f>IF(AND(frame($C69,$D69,AS$8),NOT(frame($C69,$D69,VLOOKUP(VLOOKUP(AU$26,FT[],9),Teachers[],MOD(COLUMN(AR69),6)+1)))),1,0)</f>
        <v>0</v>
      </c>
      <c r="AV69" s="6">
        <f>IF(AND(frame($C69,$D69,AT$8),NOT(frame($C69,$D69,VLOOKUP(VLOOKUP(AV$26,FT[],9),Teachers[],MOD(COLUMN(AS69),6)+1)))),1,0)</f>
        <v>0</v>
      </c>
      <c r="AW69" s="6">
        <f>IF(AND(frame($C69,$D69,AU$8),NOT(frame($C69,$D69,VLOOKUP(VLOOKUP(AW$26,FT[],9),Teachers[],MOD(COLUMN(AT69),6)+1)))),1,0)</f>
        <v>0</v>
      </c>
      <c r="AX69" s="6">
        <f>IF(AND(frame($C69,$D69,AV$8),NOT(frame($C69,$D69,VLOOKUP(VLOOKUP(AX$26,FT[],9),Teachers[],MOD(COLUMN(AU69),6)+1)))),1,0)</f>
        <v>0</v>
      </c>
      <c r="AY69" s="6">
        <f>IF(AND(frame($C69,$D69,AW$8),NOT(frame($C69,$D69,VLOOKUP(VLOOKUP(AY$26,FT[],9),Teachers[],MOD(COLUMN(AV69),6)+1)))),1,0)</f>
        <v>0</v>
      </c>
      <c r="AZ69" s="6">
        <f>IF(AND(frame($C69,$D69,AX$8),NOT(frame($C69,$D69,VLOOKUP(VLOOKUP(AZ$26,FT[],9),Teachers[],MOD(COLUMN(AW69),6)+1)))),1,0)</f>
        <v>0</v>
      </c>
      <c r="BA69" s="6">
        <f>IF(AND(frame($C69,$D69,AY$8),NOT(frame($C69,$D69,VLOOKUP(VLOOKUP(BA$26,FT[],9),Teachers[],MOD(COLUMN(AX69),6)+1)))),1,0)</f>
        <v>0</v>
      </c>
      <c r="BB69" s="6">
        <f>IF(AND(frame($C69,$D69,AZ$8),NOT(frame($C69,$D69,VLOOKUP(VLOOKUP(BB$26,FT[],9),Teachers[],MOD(COLUMN(AY69),6)+1)))),1,0)</f>
        <v>0</v>
      </c>
      <c r="BC69" s="6">
        <f>IF(AND(frame($C69,$D69,BA$8),NOT(frame($C69,$D69,VLOOKUP(VLOOKUP(BC$26,FT[],9),Teachers[],MOD(COLUMN(AZ69),6)+1)))),1,0)</f>
        <v>0</v>
      </c>
      <c r="BD69" s="6">
        <f>IF(AND(frame($C69,$D69,BB$8),NOT(frame($C69,$D69,VLOOKUP(VLOOKUP(BD$26,FT[],9),Teachers[],MOD(COLUMN(BA69),6)+1)))),1,0)</f>
        <v>0</v>
      </c>
      <c r="BE69" s="6">
        <f>IF(AND(frame($C69,$D69,BC$8),NOT(frame($C69,$D69,VLOOKUP(VLOOKUP(BE$26,FT[],9),Teachers[],MOD(COLUMN(BB69),6)+1)))),1,0)</f>
        <v>0</v>
      </c>
      <c r="BF69" s="6">
        <f>IF(AND(frame($C69,$D69,BD$8),NOT(frame($C69,$D69,VLOOKUP(VLOOKUP(BF$26,FT[],9),Teachers[],MOD(COLUMN(BC69),6)+1)))),1,0)</f>
        <v>0</v>
      </c>
      <c r="BG69" s="6">
        <f>IF(AND(frame($C69,$D69,BE$8),NOT(frame($C69,$D69,VLOOKUP(VLOOKUP(BG$26,FT[],9),Teachers[],MOD(COLUMN(BD69),6)+1)))),1,0)</f>
        <v>0</v>
      </c>
      <c r="BH69" s="6">
        <f>IF(AND(frame($C69,$D69,BF$8),NOT(frame($C69,$D69,VLOOKUP(VLOOKUP(BH$26,FT[],9),Teachers[],MOD(COLUMN(BE69),6)+1)))),1,0)</f>
        <v>0</v>
      </c>
      <c r="BI69" s="6">
        <f>IF(AND(frame($C69,$D69,BG$8),NOT(frame($C69,$D69,VLOOKUP(VLOOKUP(BI$26,FT[],9),Teachers[],MOD(COLUMN(BF69),6)+1)))),1,0)</f>
        <v>0</v>
      </c>
      <c r="BJ69" s="6">
        <f>IF(AND(frame($C69,$D69,BH$8),NOT(frame($C69,$D69,VLOOKUP(VLOOKUP(BJ$26,FT[],9),Teachers[],MOD(COLUMN(BG69),6)+1)))),1,0)</f>
        <v>0</v>
      </c>
      <c r="BK69" s="6">
        <f>IF(AND(frame($C69,$D69,BI$8),NOT(frame($C69,$D69,VLOOKUP(VLOOKUP(BK$26,FT[],9),Teachers[],MOD(COLUMN(BH69),6)+1)))),1,0)</f>
        <v>0</v>
      </c>
      <c r="BL69" s="6">
        <f>IF(AND(frame($C69,$D69,BJ$8),NOT(frame($C69,$D69,VLOOKUP(VLOOKUP(BL$26,FT[],9),Teachers[],MOD(COLUMN(BI69),6)+1)))),1,0)</f>
        <v>0</v>
      </c>
    </row>
    <row r="70" spans="2:64" ht="15.75" thickBot="1">
      <c r="B70" s="1">
        <v>43</v>
      </c>
      <c r="C70" s="9">
        <v>0.76041666666666641</v>
      </c>
      <c r="D70" s="9">
        <v>0.79166666666666641</v>
      </c>
      <c r="E70" s="6" t="e">
        <f ca="1">frame(СВ[[#This Row],[49]],СВ[[#This Row],[Столбец1]],C49,C63)</f>
        <v>#NAME?</v>
      </c>
      <c r="F70" s="6">
        <f>IF(AND(frame($C70,$D70,D$7),NOT(frame($C70,$D70,VLOOKUP(VLOOKUP(F$26,FT[],9),Teachers[],MOD(COLUMN(B70),6)+1)))),1,0)</f>
        <v>0</v>
      </c>
      <c r="G70" s="6">
        <f>IF(AND(frame($C70,$D70,E$7),NOT(frame($C70,$D70,VLOOKUP(VLOOKUP(G$26,FT[],9),Teachers[],MOD(COLUMN(C70),6)+1)))),1,0)</f>
        <v>0</v>
      </c>
      <c r="H70" s="6">
        <f>IF(AND(frame($C70,$D70,F$7),NOT(frame($C70,$D70,VLOOKUP(VLOOKUP(H$26,FT[],9),Teachers[],MOD(COLUMN(D70),6)+1)))),1,0)</f>
        <v>0</v>
      </c>
      <c r="I70" s="6" t="e">
        <f ca="1">IF(AND(frame($C70,$D70,G$7),NOT(frame($C70,$D70,VLOOKUP(VLOOKUP(I$26,FT[],9),Teachers[],MOD(COLUMN(E70),6)+1)))),1,0)</f>
        <v>#NAME?</v>
      </c>
      <c r="J70" s="6">
        <f>IF(AND(frame($C70,$D70,H$7),NOT(frame($C70,$D70,VLOOKUP(VLOOKUP(J$26,FT[],9),Teachers[],MOD(COLUMN(F70),6)+1)))),1,0)</f>
        <v>0</v>
      </c>
      <c r="K70" s="6">
        <f>IF(AND(frame($C70,$D70,I$8),NOT(frame($C70,$D70,VLOOKUP(VLOOKUP(K$26,FT[],9),Teachers[],MOD(COLUMN(H70),6)+1)))),1,0)</f>
        <v>0</v>
      </c>
      <c r="L70" s="1">
        <f t="shared" si="9"/>
        <v>0</v>
      </c>
      <c r="M70" s="6">
        <f>IF(AND(frame($C70,$D70,K$8),NOT(frame($C70,$D70,VLOOKUP(VLOOKUP(M$26,FT[],9),Teachers[],MOD(COLUMN(J70),6)+1)))),1,0)</f>
        <v>0</v>
      </c>
      <c r="N70" s="6">
        <f>IF(AND(frame($C70,$D70,L$8),NOT(frame($C70,$D70,VLOOKUP(VLOOKUP(N$26,FT[],9),Teachers[],MOD(COLUMN(K70),6)+1)))),1,0)</f>
        <v>0</v>
      </c>
      <c r="O70" s="6">
        <f>IF(AND(frame($C70,$D70,M$8),NOT(frame($C70,$D70,VLOOKUP(VLOOKUP(O$26,FT[],9),Teachers[],MOD(COLUMN(L70),6)+1)))),1,0)</f>
        <v>0</v>
      </c>
      <c r="P70" s="6">
        <f>IF(AND(frame($C70,$D70,N$8),NOT(frame($C70,$D70,VLOOKUP(VLOOKUP(P$26,FT[],9),Teachers[],MOD(COLUMN(M70),6)+1)))),1,0)</f>
        <v>0</v>
      </c>
      <c r="Q70" s="6">
        <f>IF(AND(frame($C70,$D70,O$8),NOT(frame($C70,$D70,VLOOKUP(VLOOKUP(Q$26,FT[],9),Teachers[],MOD(COLUMN(N70),6)+1)))),1,0)</f>
        <v>0</v>
      </c>
      <c r="R70" s="65">
        <f t="shared" si="10"/>
        <v>0</v>
      </c>
      <c r="S70" s="6">
        <f>IF(AND(frame($C70,$D70,Q$8),NOT(frame($C70,$D70,VLOOKUP(VLOOKUP(S$26,FT[],9),Teachers[],MOD(COLUMN(P70),6)+1)))),1,0)</f>
        <v>0</v>
      </c>
      <c r="T70" s="6">
        <f>IF(AND(frame($C70,$D70,R$8),NOT(frame($C70,$D70,VLOOKUP(VLOOKUP(T$26,FT[],9),Teachers[],MOD(COLUMN(Q70),6)+1)))),1,0)</f>
        <v>0</v>
      </c>
      <c r="U70" s="6">
        <f>IF(AND(frame($C70,$D70,S$8),NOT(frame($C70,$D70,VLOOKUP(VLOOKUP(U$26,FT[],9),Teachers[],MOD(COLUMN(R70),6)+1)))),1,0)</f>
        <v>0</v>
      </c>
      <c r="V70" s="6">
        <f>IF(AND(frame($C70,$D70,T$8),NOT(frame($C70,$D70,VLOOKUP(VLOOKUP(V$26,FT[],9),Teachers[],MOD(COLUMN(S70),6)+1)))),1,0)</f>
        <v>0</v>
      </c>
      <c r="W70" s="6">
        <f>IF(AND(frame($C70,$D70,U$8),NOT(frame($C70,$D70,VLOOKUP(VLOOKUP(W$26,FT[],9),Teachers[],MOD(COLUMN(T70),6)+1)))),1,0)</f>
        <v>0</v>
      </c>
      <c r="X70" s="6">
        <f>IF(AND(frame($C70,$D70,V$8),NOT(frame($C70,$D70,VLOOKUP(VLOOKUP(X$26,FT[],9),Teachers[],MOD(COLUMN(U70),6)+1)))),1,0)</f>
        <v>0</v>
      </c>
      <c r="Y70" s="6">
        <f>IF(AND(frame($C70,$D70,W$8),NOT(frame($C70,$D70,VLOOKUP(VLOOKUP(Y$26,FT[],9),Teachers[],MOD(COLUMN(V70),6)+1)))),1,0)</f>
        <v>0</v>
      </c>
      <c r="Z70" s="6">
        <f>IF(AND(frame($C70,$D70,X$8),NOT(frame($C70,$D70,VLOOKUP(VLOOKUP(Z$26,FT[],9),Teachers[],MOD(COLUMN(W70),6)+1)))),1,0)</f>
        <v>0</v>
      </c>
      <c r="AA70" s="6">
        <f>IF(AND(frame($C70,$D70,Y$8),NOT(frame($C70,$D70,VLOOKUP(VLOOKUP(AA$26,FT[],9),Teachers[],MOD(COLUMN(X70),6)+1)))),1,0)</f>
        <v>0</v>
      </c>
      <c r="AB70" s="6">
        <f>IF(AND(frame($C70,$D70,Z$8),NOT(frame($C70,$D70,VLOOKUP(VLOOKUP(AB$26,FT[],9),Teachers[],MOD(COLUMN(Y70),6)+1)))),1,0)</f>
        <v>0</v>
      </c>
      <c r="AC70" s="6">
        <f>IF(AND(frame($C70,$D70,AA$8),NOT(frame($C70,$D70,VLOOKUP(VLOOKUP(AC$26,FT[],9),Teachers[],MOD(COLUMN(Z70),6)+1)))),1,0)</f>
        <v>0</v>
      </c>
      <c r="AD70" s="6">
        <f>IF(AND(frame($C70,$D70,AB$8),NOT(frame($C70,$D70,VLOOKUP(VLOOKUP(AD$26,FT[],9),Teachers[],MOD(COLUMN(AA70),6)+1)))),1,0)</f>
        <v>0</v>
      </c>
      <c r="AE70" s="6">
        <f>IF(AND(frame($C70,$D70,AC$8),NOT(frame($C70,$D70,VLOOKUP(VLOOKUP(AE$26,FT[],9),Teachers[],MOD(COLUMN(AB70),6)+1)))),1,0)</f>
        <v>0</v>
      </c>
      <c r="AF70" s="6">
        <f>IF(AND(frame($C70,$D70,AD$8),NOT(frame($C70,$D70,VLOOKUP(VLOOKUP(AF$26,FT[],9),Teachers[],MOD(COLUMN(AC70),6)+1)))),1,0)</f>
        <v>0</v>
      </c>
      <c r="AG70" s="6">
        <f>IF(AND(frame($C70,$D70,AE$8),NOT(frame($C70,$D70,VLOOKUP(VLOOKUP(AG$26,FT[],9),Teachers[],MOD(COLUMN(AD70),6)+1)))),1,0)</f>
        <v>0</v>
      </c>
      <c r="AH70" s="6">
        <f>IF(AND(frame($C70,$D70,AF$8),NOT(frame($C70,$D70,VLOOKUP(VLOOKUP(AH$26,FT[],9),Teachers[],MOD(COLUMN(AE70),6)+1)))),1,0)</f>
        <v>0</v>
      </c>
      <c r="AI70" s="6">
        <f>IF(AND(frame($C70,$D70,AG$8),NOT(frame($C70,$D70,VLOOKUP(VLOOKUP(AI$26,FT[],9),Teachers[],MOD(COLUMN(AF70),6)+1)))),1,0)</f>
        <v>0</v>
      </c>
      <c r="AJ70" s="6">
        <f>IF(AND(frame($C70,$D70,AH$8),NOT(frame($C70,$D70,VLOOKUP(VLOOKUP(AJ$26,FT[],9),Teachers[],MOD(COLUMN(AG70),6)+1)))),1,0)</f>
        <v>0</v>
      </c>
      <c r="AK70" s="6">
        <f>IF(AND(frame($C70,$D70,AI$8),NOT(frame($C70,$D70,VLOOKUP(VLOOKUP(AK$26,FT[],9),Teachers[],MOD(COLUMN(AH70),6)+1)))),1,0)</f>
        <v>0</v>
      </c>
      <c r="AL70" s="6">
        <f>IF(AND(frame($C70,$D70,AJ$8),NOT(frame($C70,$D70,VLOOKUP(VLOOKUP(AL$26,FT[],9),Teachers[],MOD(COLUMN(AI70),6)+1)))),1,0)</f>
        <v>0</v>
      </c>
      <c r="AM70" s="6">
        <f>IF(AND(frame($C70,$D70,AK$8),NOT(frame($C70,$D70,VLOOKUP(VLOOKUP(AM$26,FT[],9),Teachers[],MOD(COLUMN(AJ70),6)+1)))),1,0)</f>
        <v>0</v>
      </c>
      <c r="AN70" s="6">
        <f>IF(AND(frame($C70,$D70,AL$8),NOT(frame($C70,$D70,VLOOKUP(VLOOKUP(AN$26,FT[],9),Teachers[],MOD(COLUMN(AK70),6)+1)))),1,0)</f>
        <v>0</v>
      </c>
      <c r="AO70" s="6">
        <f>IF(AND(frame($C70,$D70,AM$8),NOT(frame($C70,$D70,VLOOKUP(VLOOKUP(AO$26,FT[],9),Teachers[],MOD(COLUMN(AL70),6)+1)))),1,0)</f>
        <v>0</v>
      </c>
      <c r="AP70" s="66">
        <f t="shared" si="11"/>
        <v>0</v>
      </c>
      <c r="AQ70" s="6">
        <f>IF(AND(frame($C70,$D70,AO$8),NOT(frame($C70,$D70,VLOOKUP(VLOOKUP(AQ$26,FT[],9),Teachers[],MOD(COLUMN(AN70),6)+1)))),1,0)</f>
        <v>0</v>
      </c>
      <c r="AR70" s="6">
        <f>IF(AND(frame($C70,$D70,AP$8),NOT(frame($C70,$D70,VLOOKUP(VLOOKUP(AR$26,FT[],9),Teachers[],MOD(COLUMN(AO70),6)+1)))),1,0)</f>
        <v>0</v>
      </c>
      <c r="AS70" s="6">
        <f>IF(AND(frame($C70,$D70,AQ$8),NOT(frame($C70,$D70,VLOOKUP(VLOOKUP(AS$26,FT[],9),Teachers[],MOD(COLUMN(AP70),6)+1)))),1,0)</f>
        <v>0</v>
      </c>
      <c r="AT70" s="6">
        <f>IF(AND(frame($C70,$D70,AR$8),NOT(frame($C70,$D70,VLOOKUP(VLOOKUP(AT$26,FT[],9),Teachers[],MOD(COLUMN(AQ70),6)+1)))),1,0)</f>
        <v>0</v>
      </c>
      <c r="AU70" s="6">
        <f>IF(AND(frame($C70,$D70,AS$8),NOT(frame($C70,$D70,VLOOKUP(VLOOKUP(AU$26,FT[],9),Teachers[],MOD(COLUMN(AR70),6)+1)))),1,0)</f>
        <v>0</v>
      </c>
      <c r="AV70" s="6">
        <f>IF(AND(frame($C70,$D70,AT$8),NOT(frame($C70,$D70,VLOOKUP(VLOOKUP(AV$26,FT[],9),Teachers[],MOD(COLUMN(AS70),6)+1)))),1,0)</f>
        <v>0</v>
      </c>
      <c r="AW70" s="6">
        <f>IF(AND(frame($C70,$D70,AU$8),NOT(frame($C70,$D70,VLOOKUP(VLOOKUP(AW$26,FT[],9),Teachers[],MOD(COLUMN(AT70),6)+1)))),1,0)</f>
        <v>0</v>
      </c>
      <c r="AX70" s="6">
        <f>IF(AND(frame($C70,$D70,AV$8),NOT(frame($C70,$D70,VLOOKUP(VLOOKUP(AX$26,FT[],9),Teachers[],MOD(COLUMN(AU70),6)+1)))),1,0)</f>
        <v>0</v>
      </c>
      <c r="AY70" s="6">
        <f>IF(AND(frame($C70,$D70,AW$8),NOT(frame($C70,$D70,VLOOKUP(VLOOKUP(AY$26,FT[],9),Teachers[],MOD(COLUMN(AV70),6)+1)))),1,0)</f>
        <v>0</v>
      </c>
      <c r="AZ70" s="6">
        <f>IF(AND(frame($C70,$D70,AX$8),NOT(frame($C70,$D70,VLOOKUP(VLOOKUP(AZ$26,FT[],9),Teachers[],MOD(COLUMN(AW70),6)+1)))),1,0)</f>
        <v>0</v>
      </c>
      <c r="BA70" s="6">
        <f>IF(AND(frame($C70,$D70,AY$8),NOT(frame($C70,$D70,VLOOKUP(VLOOKUP(BA$26,FT[],9),Teachers[],MOD(COLUMN(AX70),6)+1)))),1,0)</f>
        <v>0</v>
      </c>
      <c r="BB70" s="6">
        <f>IF(AND(frame($C70,$D70,AZ$8),NOT(frame($C70,$D70,VLOOKUP(VLOOKUP(BB$26,FT[],9),Teachers[],MOD(COLUMN(AY70),6)+1)))),1,0)</f>
        <v>0</v>
      </c>
      <c r="BC70" s="6">
        <f>IF(AND(frame($C70,$D70,BA$8),NOT(frame($C70,$D70,VLOOKUP(VLOOKUP(BC$26,FT[],9),Teachers[],MOD(COLUMN(AZ70),6)+1)))),1,0)</f>
        <v>0</v>
      </c>
      <c r="BD70" s="6">
        <f>IF(AND(frame($C70,$D70,BB$8),NOT(frame($C70,$D70,VLOOKUP(VLOOKUP(BD$26,FT[],9),Teachers[],MOD(COLUMN(BA70),6)+1)))),1,0)</f>
        <v>0</v>
      </c>
      <c r="BE70" s="6">
        <f>IF(AND(frame($C70,$D70,BC$8),NOT(frame($C70,$D70,VLOOKUP(VLOOKUP(BE$26,FT[],9),Teachers[],MOD(COLUMN(BB70),6)+1)))),1,0)</f>
        <v>0</v>
      </c>
      <c r="BF70" s="6">
        <f>IF(AND(frame($C70,$D70,BD$8),NOT(frame($C70,$D70,VLOOKUP(VLOOKUP(BF$26,FT[],9),Teachers[],MOD(COLUMN(BC70),6)+1)))),1,0)</f>
        <v>0</v>
      </c>
      <c r="BG70" s="6">
        <f>IF(AND(frame($C70,$D70,BE$8),NOT(frame($C70,$D70,VLOOKUP(VLOOKUP(BG$26,FT[],9),Teachers[],MOD(COLUMN(BD70),6)+1)))),1,0)</f>
        <v>0</v>
      </c>
      <c r="BH70" s="6">
        <f>IF(AND(frame($C70,$D70,BF$8),NOT(frame($C70,$D70,VLOOKUP(VLOOKUP(BH$26,FT[],9),Teachers[],MOD(COLUMN(BE70),6)+1)))),1,0)</f>
        <v>0</v>
      </c>
      <c r="BI70" s="6">
        <f>IF(AND(frame($C70,$D70,BG$8),NOT(frame($C70,$D70,VLOOKUP(VLOOKUP(BI$26,FT[],9),Teachers[],MOD(COLUMN(BF70),6)+1)))),1,0)</f>
        <v>0</v>
      </c>
      <c r="BJ70" s="6">
        <f>IF(AND(frame($C70,$D70,BH$8),NOT(frame($C70,$D70,VLOOKUP(VLOOKUP(BJ$26,FT[],9),Teachers[],MOD(COLUMN(BG70),6)+1)))),1,0)</f>
        <v>0</v>
      </c>
      <c r="BK70" s="6">
        <f>IF(AND(frame($C70,$D70,BI$8),NOT(frame($C70,$D70,VLOOKUP(VLOOKUP(BK$26,FT[],9),Teachers[],MOD(COLUMN(BH70),6)+1)))),1,0)</f>
        <v>0</v>
      </c>
      <c r="BL70" s="6">
        <f>IF(AND(frame($C70,$D70,BJ$8),NOT(frame($C70,$D70,VLOOKUP(VLOOKUP(BL$26,FT[],9),Teachers[],MOD(COLUMN(BI70),6)+1)))),1,0)</f>
        <v>0</v>
      </c>
    </row>
    <row r="71" spans="2:64" ht="15.75" thickBot="1">
      <c r="B71" s="1">
        <v>44</v>
      </c>
      <c r="C71" s="9">
        <v>0.77083333333333315</v>
      </c>
      <c r="D71" s="9">
        <v>0.80208333333333304</v>
      </c>
      <c r="E71" s="6" t="e">
        <f ca="1">frame(СВ[[#This Row],[49]],СВ[[#This Row],[Столбец1]],C50,C64)</f>
        <v>#NAME?</v>
      </c>
      <c r="F71" s="6">
        <f>IF(AND(frame($C71,$D71,D$7),NOT(frame($C71,$D71,VLOOKUP(VLOOKUP(F$26,FT[],9),Teachers[],MOD(COLUMN(B71),6)+1)))),1,0)</f>
        <v>0</v>
      </c>
      <c r="G71" s="6">
        <f>IF(AND(frame($C71,$D71,E$7),NOT(frame($C71,$D71,VLOOKUP(VLOOKUP(G$26,FT[],9),Teachers[],MOD(COLUMN(C71),6)+1)))),1,0)</f>
        <v>0</v>
      </c>
      <c r="H71" s="6">
        <f>IF(AND(frame($C71,$D71,F$7),NOT(frame($C71,$D71,VLOOKUP(VLOOKUP(H$26,FT[],9),Teachers[],MOD(COLUMN(D71),6)+1)))),1,0)</f>
        <v>0</v>
      </c>
      <c r="I71" s="6" t="e">
        <f ca="1">IF(AND(frame($C71,$D71,G$7),NOT(frame($C71,$D71,VLOOKUP(VLOOKUP(I$26,FT[],9),Teachers[],MOD(COLUMN(E71),6)+1)))),1,0)</f>
        <v>#NAME?</v>
      </c>
      <c r="J71" s="6">
        <f>IF(AND(frame($C71,$D71,H$7),NOT(frame($C71,$D71,VLOOKUP(VLOOKUP(J$26,FT[],9),Teachers[],MOD(COLUMN(F71),6)+1)))),1,0)</f>
        <v>0</v>
      </c>
      <c r="K71" s="6">
        <f>IF(AND(frame($C71,$D71,I$8),NOT(frame($C71,$D71,VLOOKUP(VLOOKUP(K$26,FT[],9),Teachers[],MOD(COLUMN(H71),6)+1)))),1,0)</f>
        <v>0</v>
      </c>
      <c r="L71" s="1">
        <f t="shared" si="9"/>
        <v>0</v>
      </c>
      <c r="M71" s="6">
        <f>IF(AND(frame($C71,$D71,K$8),NOT(frame($C71,$D71,VLOOKUP(VLOOKUP(M$26,FT[],9),Teachers[],MOD(COLUMN(J71),6)+1)))),1,0)</f>
        <v>0</v>
      </c>
      <c r="N71" s="6">
        <f>IF(AND(frame($C71,$D71,L$8),NOT(frame($C71,$D71,VLOOKUP(VLOOKUP(N$26,FT[],9),Teachers[],MOD(COLUMN(K71),6)+1)))),1,0)</f>
        <v>0</v>
      </c>
      <c r="O71" s="6">
        <f>IF(AND(frame($C71,$D71,M$8),NOT(frame($C71,$D71,VLOOKUP(VLOOKUP(O$26,FT[],9),Teachers[],MOD(COLUMN(L71),6)+1)))),1,0)</f>
        <v>0</v>
      </c>
      <c r="P71" s="6">
        <f>IF(AND(frame($C71,$D71,N$8),NOT(frame($C71,$D71,VLOOKUP(VLOOKUP(P$26,FT[],9),Teachers[],MOD(COLUMN(M71),6)+1)))),1,0)</f>
        <v>0</v>
      </c>
      <c r="Q71" s="6">
        <f>IF(AND(frame($C71,$D71,O$8),NOT(frame($C71,$D71,VLOOKUP(VLOOKUP(Q$26,FT[],9),Teachers[],MOD(COLUMN(N71),6)+1)))),1,0)</f>
        <v>0</v>
      </c>
      <c r="R71" s="65">
        <f t="shared" si="10"/>
        <v>0</v>
      </c>
      <c r="S71" s="6">
        <f>IF(AND(frame($C71,$D71,Q$8),NOT(frame($C71,$D71,VLOOKUP(VLOOKUP(S$26,FT[],9),Teachers[],MOD(COLUMN(P71),6)+1)))),1,0)</f>
        <v>0</v>
      </c>
      <c r="T71" s="6">
        <f>IF(AND(frame($C71,$D71,R$8),NOT(frame($C71,$D71,VLOOKUP(VLOOKUP(T$26,FT[],9),Teachers[],MOD(COLUMN(Q71),6)+1)))),1,0)</f>
        <v>0</v>
      </c>
      <c r="U71" s="6">
        <f>IF(AND(frame($C71,$D71,S$8),NOT(frame($C71,$D71,VLOOKUP(VLOOKUP(U$26,FT[],9),Teachers[],MOD(COLUMN(R71),6)+1)))),1,0)</f>
        <v>0</v>
      </c>
      <c r="V71" s="6">
        <f>IF(AND(frame($C71,$D71,T$8),NOT(frame($C71,$D71,VLOOKUP(VLOOKUP(V$26,FT[],9),Teachers[],MOD(COLUMN(S71),6)+1)))),1,0)</f>
        <v>0</v>
      </c>
      <c r="W71" s="6">
        <f>IF(AND(frame($C71,$D71,U$8),NOT(frame($C71,$D71,VLOOKUP(VLOOKUP(W$26,FT[],9),Teachers[],MOD(COLUMN(T71),6)+1)))),1,0)</f>
        <v>0</v>
      </c>
      <c r="X71" s="6">
        <f>IF(AND(frame($C71,$D71,V$8),NOT(frame($C71,$D71,VLOOKUP(VLOOKUP(X$26,FT[],9),Teachers[],MOD(COLUMN(U71),6)+1)))),1,0)</f>
        <v>0</v>
      </c>
      <c r="Y71" s="6">
        <f>IF(AND(frame($C71,$D71,W$8),NOT(frame($C71,$D71,VLOOKUP(VLOOKUP(Y$26,FT[],9),Teachers[],MOD(COLUMN(V71),6)+1)))),1,0)</f>
        <v>0</v>
      </c>
      <c r="Z71" s="6">
        <f>IF(AND(frame($C71,$D71,X$8),NOT(frame($C71,$D71,VLOOKUP(VLOOKUP(Z$26,FT[],9),Teachers[],MOD(COLUMN(W71),6)+1)))),1,0)</f>
        <v>0</v>
      </c>
      <c r="AA71" s="6">
        <f>IF(AND(frame($C71,$D71,Y$8),NOT(frame($C71,$D71,VLOOKUP(VLOOKUP(AA$26,FT[],9),Teachers[],MOD(COLUMN(X71),6)+1)))),1,0)</f>
        <v>0</v>
      </c>
      <c r="AB71" s="6">
        <f>IF(AND(frame($C71,$D71,Z$8),NOT(frame($C71,$D71,VLOOKUP(VLOOKUP(AB$26,FT[],9),Teachers[],MOD(COLUMN(Y71),6)+1)))),1,0)</f>
        <v>0</v>
      </c>
      <c r="AC71" s="6">
        <f>IF(AND(frame($C71,$D71,AA$8),NOT(frame($C71,$D71,VLOOKUP(VLOOKUP(AC$26,FT[],9),Teachers[],MOD(COLUMN(Z71),6)+1)))),1,0)</f>
        <v>0</v>
      </c>
      <c r="AD71" s="6">
        <f>IF(AND(frame($C71,$D71,AB$8),NOT(frame($C71,$D71,VLOOKUP(VLOOKUP(AD$26,FT[],9),Teachers[],MOD(COLUMN(AA71),6)+1)))),1,0)</f>
        <v>0</v>
      </c>
      <c r="AE71" s="6">
        <f>IF(AND(frame($C71,$D71,AC$8),NOT(frame($C71,$D71,VLOOKUP(VLOOKUP(AE$26,FT[],9),Teachers[],MOD(COLUMN(AB71),6)+1)))),1,0)</f>
        <v>0</v>
      </c>
      <c r="AF71" s="6">
        <f>IF(AND(frame($C71,$D71,AD$8),NOT(frame($C71,$D71,VLOOKUP(VLOOKUP(AF$26,FT[],9),Teachers[],MOD(COLUMN(AC71),6)+1)))),1,0)</f>
        <v>0</v>
      </c>
      <c r="AG71" s="6">
        <f>IF(AND(frame($C71,$D71,AE$8),NOT(frame($C71,$D71,VLOOKUP(VLOOKUP(AG$26,FT[],9),Teachers[],MOD(COLUMN(AD71),6)+1)))),1,0)</f>
        <v>0</v>
      </c>
      <c r="AH71" s="6">
        <f>IF(AND(frame($C71,$D71,AF$8),NOT(frame($C71,$D71,VLOOKUP(VLOOKUP(AH$26,FT[],9),Teachers[],MOD(COLUMN(AE71),6)+1)))),1,0)</f>
        <v>0</v>
      </c>
      <c r="AI71" s="6">
        <f>IF(AND(frame($C71,$D71,AG$8),NOT(frame($C71,$D71,VLOOKUP(VLOOKUP(AI$26,FT[],9),Teachers[],MOD(COLUMN(AF71),6)+1)))),1,0)</f>
        <v>0</v>
      </c>
      <c r="AJ71" s="6">
        <f>IF(AND(frame($C71,$D71,AH$8),NOT(frame($C71,$D71,VLOOKUP(VLOOKUP(AJ$26,FT[],9),Teachers[],MOD(COLUMN(AG71),6)+1)))),1,0)</f>
        <v>0</v>
      </c>
      <c r="AK71" s="6">
        <f>IF(AND(frame($C71,$D71,AI$8),NOT(frame($C71,$D71,VLOOKUP(VLOOKUP(AK$26,FT[],9),Teachers[],MOD(COLUMN(AH71),6)+1)))),1,0)</f>
        <v>0</v>
      </c>
      <c r="AL71" s="6">
        <f>IF(AND(frame($C71,$D71,AJ$8),NOT(frame($C71,$D71,VLOOKUP(VLOOKUP(AL$26,FT[],9),Teachers[],MOD(COLUMN(AI71),6)+1)))),1,0)</f>
        <v>0</v>
      </c>
      <c r="AM71" s="6">
        <f>IF(AND(frame($C71,$D71,AK$8),NOT(frame($C71,$D71,VLOOKUP(VLOOKUP(AM$26,FT[],9),Teachers[],MOD(COLUMN(AJ71),6)+1)))),1,0)</f>
        <v>0</v>
      </c>
      <c r="AN71" s="6">
        <f>IF(AND(frame($C71,$D71,AL$8),NOT(frame($C71,$D71,VLOOKUP(VLOOKUP(AN$26,FT[],9),Teachers[],MOD(COLUMN(AK71),6)+1)))),1,0)</f>
        <v>0</v>
      </c>
      <c r="AO71" s="6">
        <f>IF(AND(frame($C71,$D71,AM$8),NOT(frame($C71,$D71,VLOOKUP(VLOOKUP(AO$26,FT[],9),Teachers[],MOD(COLUMN(AL71),6)+1)))),1,0)</f>
        <v>0</v>
      </c>
      <c r="AP71" s="66">
        <f t="shared" si="11"/>
        <v>0</v>
      </c>
      <c r="AQ71" s="6">
        <f>IF(AND(frame($C71,$D71,AO$8),NOT(frame($C71,$D71,VLOOKUP(VLOOKUP(AQ$26,FT[],9),Teachers[],MOD(COLUMN(AN71),6)+1)))),1,0)</f>
        <v>0</v>
      </c>
      <c r="AR71" s="6">
        <f>IF(AND(frame($C71,$D71,AP$8),NOT(frame($C71,$D71,VLOOKUP(VLOOKUP(AR$26,FT[],9),Teachers[],MOD(COLUMN(AO71),6)+1)))),1,0)</f>
        <v>0</v>
      </c>
      <c r="AS71" s="6">
        <f>IF(AND(frame($C71,$D71,AQ$8),NOT(frame($C71,$D71,VLOOKUP(VLOOKUP(AS$26,FT[],9),Teachers[],MOD(COLUMN(AP71),6)+1)))),1,0)</f>
        <v>0</v>
      </c>
      <c r="AT71" s="6">
        <f>IF(AND(frame($C71,$D71,AR$8),NOT(frame($C71,$D71,VLOOKUP(VLOOKUP(AT$26,FT[],9),Teachers[],MOD(COLUMN(AQ71),6)+1)))),1,0)</f>
        <v>0</v>
      </c>
      <c r="AU71" s="6">
        <f>IF(AND(frame($C71,$D71,AS$8),NOT(frame($C71,$D71,VLOOKUP(VLOOKUP(AU$26,FT[],9),Teachers[],MOD(COLUMN(AR71),6)+1)))),1,0)</f>
        <v>0</v>
      </c>
      <c r="AV71" s="6">
        <f>IF(AND(frame($C71,$D71,AT$8),NOT(frame($C71,$D71,VLOOKUP(VLOOKUP(AV$26,FT[],9),Teachers[],MOD(COLUMN(AS71),6)+1)))),1,0)</f>
        <v>0</v>
      </c>
      <c r="AW71" s="6">
        <f>IF(AND(frame($C71,$D71,AU$8),NOT(frame($C71,$D71,VLOOKUP(VLOOKUP(AW$26,FT[],9),Teachers[],MOD(COLUMN(AT71),6)+1)))),1,0)</f>
        <v>0</v>
      </c>
      <c r="AX71" s="6">
        <f>IF(AND(frame($C71,$D71,AV$8),NOT(frame($C71,$D71,VLOOKUP(VLOOKUP(AX$26,FT[],9),Teachers[],MOD(COLUMN(AU71),6)+1)))),1,0)</f>
        <v>0</v>
      </c>
      <c r="AY71" s="6">
        <f>IF(AND(frame($C71,$D71,AW$8),NOT(frame($C71,$D71,VLOOKUP(VLOOKUP(AY$26,FT[],9),Teachers[],MOD(COLUMN(AV71),6)+1)))),1,0)</f>
        <v>0</v>
      </c>
      <c r="AZ71" s="6">
        <f>IF(AND(frame($C71,$D71,AX$8),NOT(frame($C71,$D71,VLOOKUP(VLOOKUP(AZ$26,FT[],9),Teachers[],MOD(COLUMN(AW71),6)+1)))),1,0)</f>
        <v>0</v>
      </c>
      <c r="BA71" s="6">
        <f>IF(AND(frame($C71,$D71,AY$8),NOT(frame($C71,$D71,VLOOKUP(VLOOKUP(BA$26,FT[],9),Teachers[],MOD(COLUMN(AX71),6)+1)))),1,0)</f>
        <v>0</v>
      </c>
      <c r="BB71" s="6">
        <f>IF(AND(frame($C71,$D71,AZ$8),NOT(frame($C71,$D71,VLOOKUP(VLOOKUP(BB$26,FT[],9),Teachers[],MOD(COLUMN(AY71),6)+1)))),1,0)</f>
        <v>0</v>
      </c>
      <c r="BC71" s="6">
        <f>IF(AND(frame($C71,$D71,BA$8),NOT(frame($C71,$D71,VLOOKUP(VLOOKUP(BC$26,FT[],9),Teachers[],MOD(COLUMN(AZ71),6)+1)))),1,0)</f>
        <v>0</v>
      </c>
      <c r="BD71" s="6">
        <f>IF(AND(frame($C71,$D71,BB$8),NOT(frame($C71,$D71,VLOOKUP(VLOOKUP(BD$26,FT[],9),Teachers[],MOD(COLUMN(BA71),6)+1)))),1,0)</f>
        <v>0</v>
      </c>
      <c r="BE71" s="6">
        <f>IF(AND(frame($C71,$D71,BC$8),NOT(frame($C71,$D71,VLOOKUP(VLOOKUP(BE$26,FT[],9),Teachers[],MOD(COLUMN(BB71),6)+1)))),1,0)</f>
        <v>0</v>
      </c>
      <c r="BF71" s="6">
        <f>IF(AND(frame($C71,$D71,BD$8),NOT(frame($C71,$D71,VLOOKUP(VLOOKUP(BF$26,FT[],9),Teachers[],MOD(COLUMN(BC71),6)+1)))),1,0)</f>
        <v>0</v>
      </c>
      <c r="BG71" s="6">
        <f>IF(AND(frame($C71,$D71,BE$8),NOT(frame($C71,$D71,VLOOKUP(VLOOKUP(BG$26,FT[],9),Teachers[],MOD(COLUMN(BD71),6)+1)))),1,0)</f>
        <v>0</v>
      </c>
      <c r="BH71" s="6">
        <f>IF(AND(frame($C71,$D71,BF$8),NOT(frame($C71,$D71,VLOOKUP(VLOOKUP(BH$26,FT[],9),Teachers[],MOD(COLUMN(BE71),6)+1)))),1,0)</f>
        <v>0</v>
      </c>
      <c r="BI71" s="6">
        <f>IF(AND(frame($C71,$D71,BG$8),NOT(frame($C71,$D71,VLOOKUP(VLOOKUP(BI$26,FT[],9),Teachers[],MOD(COLUMN(BF71),6)+1)))),1,0)</f>
        <v>0</v>
      </c>
      <c r="BJ71" s="6">
        <f>IF(AND(frame($C71,$D71,BH$8),NOT(frame($C71,$D71,VLOOKUP(VLOOKUP(BJ$26,FT[],9),Teachers[],MOD(COLUMN(BG71),6)+1)))),1,0)</f>
        <v>0</v>
      </c>
      <c r="BK71" s="6">
        <f>IF(AND(frame($C71,$D71,BI$8),NOT(frame($C71,$D71,VLOOKUP(VLOOKUP(BK$26,FT[],9),Teachers[],MOD(COLUMN(BH71),6)+1)))),1,0)</f>
        <v>0</v>
      </c>
      <c r="BL71" s="6">
        <f>IF(AND(frame($C71,$D71,BJ$8),NOT(frame($C71,$D71,VLOOKUP(VLOOKUP(BL$26,FT[],9),Teachers[],MOD(COLUMN(BI71),6)+1)))),1,0)</f>
        <v>0</v>
      </c>
    </row>
    <row r="72" spans="2:64" ht="15.75" thickBot="1">
      <c r="B72" s="1">
        <v>45</v>
      </c>
      <c r="C72" s="9">
        <v>0.78124999999999978</v>
      </c>
      <c r="D72" s="9">
        <v>0.81249999999999978</v>
      </c>
      <c r="E72" s="6" t="e">
        <f ca="1">frame(СВ[[#This Row],[49]],СВ[[#This Row],[Столбец1]],C51,C65)</f>
        <v>#NAME?</v>
      </c>
      <c r="F72" s="6">
        <f>IF(AND(frame($C72,$D72,D$7),NOT(frame($C72,$D72,VLOOKUP(VLOOKUP(F$26,FT[],9),Teachers[],MOD(COLUMN(B72),6)+1)))),1,0)</f>
        <v>0</v>
      </c>
      <c r="G72" s="6">
        <f>IF(AND(frame($C72,$D72,E$7),NOT(frame($C72,$D72,VLOOKUP(VLOOKUP(G$26,FT[],9),Teachers[],MOD(COLUMN(C72),6)+1)))),1,0)</f>
        <v>0</v>
      </c>
      <c r="H72" s="6">
        <f>IF(AND(frame($C72,$D72,F$7),NOT(frame($C72,$D72,VLOOKUP(VLOOKUP(H$26,FT[],9),Teachers[],MOD(COLUMN(D72),6)+1)))),1,0)</f>
        <v>0</v>
      </c>
      <c r="I72" s="6" t="e">
        <f ca="1">IF(AND(frame($C72,$D72,G$7),NOT(frame($C72,$D72,VLOOKUP(VLOOKUP(I$26,FT[],9),Teachers[],MOD(COLUMN(E72),6)+1)))),1,0)</f>
        <v>#NAME?</v>
      </c>
      <c r="J72" s="6">
        <f>IF(AND(frame($C72,$D72,H$7),NOT(frame($C72,$D72,VLOOKUP(VLOOKUP(J$26,FT[],9),Teachers[],MOD(COLUMN(F72),6)+1)))),1,0)</f>
        <v>0</v>
      </c>
      <c r="K72" s="6">
        <f>IF(AND(frame($C72,$D72,I$8),NOT(frame($C72,$D72,VLOOKUP(VLOOKUP(K$26,FT[],9),Teachers[],MOD(COLUMN(H72),6)+1)))),1,0)</f>
        <v>0</v>
      </c>
      <c r="L72" s="1">
        <f t="shared" si="9"/>
        <v>0</v>
      </c>
      <c r="M72" s="6">
        <f>IF(AND(frame($C72,$D72,K$8),NOT(frame($C72,$D72,VLOOKUP(VLOOKUP(M$26,FT[],9),Teachers[],MOD(COLUMN(J72),6)+1)))),1,0)</f>
        <v>0</v>
      </c>
      <c r="N72" s="6">
        <f>IF(AND(frame($C72,$D72,L$8),NOT(frame($C72,$D72,VLOOKUP(VLOOKUP(N$26,FT[],9),Teachers[],MOD(COLUMN(K72),6)+1)))),1,0)</f>
        <v>0</v>
      </c>
      <c r="O72" s="6">
        <f>IF(AND(frame($C72,$D72,M$8),NOT(frame($C72,$D72,VLOOKUP(VLOOKUP(O$26,FT[],9),Teachers[],MOD(COLUMN(L72),6)+1)))),1,0)</f>
        <v>0</v>
      </c>
      <c r="P72" s="6">
        <f>IF(AND(frame($C72,$D72,N$8),NOT(frame($C72,$D72,VLOOKUP(VLOOKUP(P$26,FT[],9),Teachers[],MOD(COLUMN(M72),6)+1)))),1,0)</f>
        <v>0</v>
      </c>
      <c r="Q72" s="6">
        <f>IF(AND(frame($C72,$D72,O$8),NOT(frame($C72,$D72,VLOOKUP(VLOOKUP(Q$26,FT[],9),Teachers[],MOD(COLUMN(N72),6)+1)))),1,0)</f>
        <v>0</v>
      </c>
      <c r="R72" s="65">
        <f t="shared" si="10"/>
        <v>0</v>
      </c>
      <c r="S72" s="6">
        <f>IF(AND(frame($C72,$D72,Q$8),NOT(frame($C72,$D72,VLOOKUP(VLOOKUP(S$26,FT[],9),Teachers[],MOD(COLUMN(P72),6)+1)))),1,0)</f>
        <v>0</v>
      </c>
      <c r="T72" s="6">
        <f>IF(AND(frame($C72,$D72,R$8),NOT(frame($C72,$D72,VLOOKUP(VLOOKUP(T$26,FT[],9),Teachers[],MOD(COLUMN(Q72),6)+1)))),1,0)</f>
        <v>0</v>
      </c>
      <c r="U72" s="6">
        <f>IF(AND(frame($C72,$D72,S$8),NOT(frame($C72,$D72,VLOOKUP(VLOOKUP(U$26,FT[],9),Teachers[],MOD(COLUMN(R72),6)+1)))),1,0)</f>
        <v>0</v>
      </c>
      <c r="V72" s="6">
        <f>IF(AND(frame($C72,$D72,T$8),NOT(frame($C72,$D72,VLOOKUP(VLOOKUP(V$26,FT[],9),Teachers[],MOD(COLUMN(S72),6)+1)))),1,0)</f>
        <v>0</v>
      </c>
      <c r="W72" s="6">
        <f>IF(AND(frame($C72,$D72,U$8),NOT(frame($C72,$D72,VLOOKUP(VLOOKUP(W$26,FT[],9),Teachers[],MOD(COLUMN(T72),6)+1)))),1,0)</f>
        <v>0</v>
      </c>
      <c r="X72" s="6">
        <f>IF(AND(frame($C72,$D72,V$8),NOT(frame($C72,$D72,VLOOKUP(VLOOKUP(X$26,FT[],9),Teachers[],MOD(COLUMN(U72),6)+1)))),1,0)</f>
        <v>0</v>
      </c>
      <c r="Y72" s="6">
        <f>IF(AND(frame($C72,$D72,W$8),NOT(frame($C72,$D72,VLOOKUP(VLOOKUP(Y$26,FT[],9),Teachers[],MOD(COLUMN(V72),6)+1)))),1,0)</f>
        <v>0</v>
      </c>
      <c r="Z72" s="6">
        <f>IF(AND(frame($C72,$D72,X$8),NOT(frame($C72,$D72,VLOOKUP(VLOOKUP(Z$26,FT[],9),Teachers[],MOD(COLUMN(W72),6)+1)))),1,0)</f>
        <v>0</v>
      </c>
      <c r="AA72" s="6">
        <f>IF(AND(frame($C72,$D72,Y$8),NOT(frame($C72,$D72,VLOOKUP(VLOOKUP(AA$26,FT[],9),Teachers[],MOD(COLUMN(X72),6)+1)))),1,0)</f>
        <v>0</v>
      </c>
      <c r="AB72" s="6">
        <f>IF(AND(frame($C72,$D72,Z$8),NOT(frame($C72,$D72,VLOOKUP(VLOOKUP(AB$26,FT[],9),Teachers[],MOD(COLUMN(Y72),6)+1)))),1,0)</f>
        <v>0</v>
      </c>
      <c r="AC72" s="6">
        <f>IF(AND(frame($C72,$D72,AA$8),NOT(frame($C72,$D72,VLOOKUP(VLOOKUP(AC$26,FT[],9),Teachers[],MOD(COLUMN(Z72),6)+1)))),1,0)</f>
        <v>0</v>
      </c>
      <c r="AD72" s="6">
        <f>IF(AND(frame($C72,$D72,AB$8),NOT(frame($C72,$D72,VLOOKUP(VLOOKUP(AD$26,FT[],9),Teachers[],MOD(COLUMN(AA72),6)+1)))),1,0)</f>
        <v>0</v>
      </c>
      <c r="AE72" s="6">
        <f>IF(AND(frame($C72,$D72,AC$8),NOT(frame($C72,$D72,VLOOKUP(VLOOKUP(AE$26,FT[],9),Teachers[],MOD(COLUMN(AB72),6)+1)))),1,0)</f>
        <v>0</v>
      </c>
      <c r="AF72" s="6">
        <f>IF(AND(frame($C72,$D72,AD$8),NOT(frame($C72,$D72,VLOOKUP(VLOOKUP(AF$26,FT[],9),Teachers[],MOD(COLUMN(AC72),6)+1)))),1,0)</f>
        <v>0</v>
      </c>
      <c r="AG72" s="6">
        <f>IF(AND(frame($C72,$D72,AE$8),NOT(frame($C72,$D72,VLOOKUP(VLOOKUP(AG$26,FT[],9),Teachers[],MOD(COLUMN(AD72),6)+1)))),1,0)</f>
        <v>0</v>
      </c>
      <c r="AH72" s="6">
        <f>IF(AND(frame($C72,$D72,AF$8),NOT(frame($C72,$D72,VLOOKUP(VLOOKUP(AH$26,FT[],9),Teachers[],MOD(COLUMN(AE72),6)+1)))),1,0)</f>
        <v>0</v>
      </c>
      <c r="AI72" s="6">
        <f>IF(AND(frame($C72,$D72,AG$8),NOT(frame($C72,$D72,VLOOKUP(VLOOKUP(AI$26,FT[],9),Teachers[],MOD(COLUMN(AF72),6)+1)))),1,0)</f>
        <v>0</v>
      </c>
      <c r="AJ72" s="6">
        <f>IF(AND(frame($C72,$D72,AH$8),NOT(frame($C72,$D72,VLOOKUP(VLOOKUP(AJ$26,FT[],9),Teachers[],MOD(COLUMN(AG72),6)+1)))),1,0)</f>
        <v>0</v>
      </c>
      <c r="AK72" s="6">
        <f>IF(AND(frame($C72,$D72,AI$8),NOT(frame($C72,$D72,VLOOKUP(VLOOKUP(AK$26,FT[],9),Teachers[],MOD(COLUMN(AH72),6)+1)))),1,0)</f>
        <v>0</v>
      </c>
      <c r="AL72" s="6">
        <f>IF(AND(frame($C72,$D72,AJ$8),NOT(frame($C72,$D72,VLOOKUP(VLOOKUP(AL$26,FT[],9),Teachers[],MOD(COLUMN(AI72),6)+1)))),1,0)</f>
        <v>0</v>
      </c>
      <c r="AM72" s="6">
        <f>IF(AND(frame($C72,$D72,AK$8),NOT(frame($C72,$D72,VLOOKUP(VLOOKUP(AM$26,FT[],9),Teachers[],MOD(COLUMN(AJ72),6)+1)))),1,0)</f>
        <v>0</v>
      </c>
      <c r="AN72" s="6">
        <f>IF(AND(frame($C72,$D72,AL$8),NOT(frame($C72,$D72,VLOOKUP(VLOOKUP(AN$26,FT[],9),Teachers[],MOD(COLUMN(AK72),6)+1)))),1,0)</f>
        <v>0</v>
      </c>
      <c r="AO72" s="6">
        <f>IF(AND(frame($C72,$D72,AM$8),NOT(frame($C72,$D72,VLOOKUP(VLOOKUP(AO$26,FT[],9),Teachers[],MOD(COLUMN(AL72),6)+1)))),1,0)</f>
        <v>0</v>
      </c>
      <c r="AP72" s="66">
        <f t="shared" si="11"/>
        <v>0</v>
      </c>
      <c r="AQ72" s="6">
        <f>IF(AND(frame($C72,$D72,AO$8),NOT(frame($C72,$D72,VLOOKUP(VLOOKUP(AQ$26,FT[],9),Teachers[],MOD(COLUMN(AN72),6)+1)))),1,0)</f>
        <v>0</v>
      </c>
      <c r="AR72" s="6">
        <f>IF(AND(frame($C72,$D72,AP$8),NOT(frame($C72,$D72,VLOOKUP(VLOOKUP(AR$26,FT[],9),Teachers[],MOD(COLUMN(AO72),6)+1)))),1,0)</f>
        <v>0</v>
      </c>
      <c r="AS72" s="6">
        <f>IF(AND(frame($C72,$D72,AQ$8),NOT(frame($C72,$D72,VLOOKUP(VLOOKUP(AS$26,FT[],9),Teachers[],MOD(COLUMN(AP72),6)+1)))),1,0)</f>
        <v>0</v>
      </c>
      <c r="AT72" s="6">
        <f>IF(AND(frame($C72,$D72,AR$8),NOT(frame($C72,$D72,VLOOKUP(VLOOKUP(AT$26,FT[],9),Teachers[],MOD(COLUMN(AQ72),6)+1)))),1,0)</f>
        <v>0</v>
      </c>
      <c r="AU72" s="6">
        <f>IF(AND(frame($C72,$D72,AS$8),NOT(frame($C72,$D72,VLOOKUP(VLOOKUP(AU$26,FT[],9),Teachers[],MOD(COLUMN(AR72),6)+1)))),1,0)</f>
        <v>0</v>
      </c>
      <c r="AV72" s="6">
        <f>IF(AND(frame($C72,$D72,AT$8),NOT(frame($C72,$D72,VLOOKUP(VLOOKUP(AV$26,FT[],9),Teachers[],MOD(COLUMN(AS72),6)+1)))),1,0)</f>
        <v>0</v>
      </c>
      <c r="AW72" s="6">
        <f>IF(AND(frame($C72,$D72,AU$8),NOT(frame($C72,$D72,VLOOKUP(VLOOKUP(AW$26,FT[],9),Teachers[],MOD(COLUMN(AT72),6)+1)))),1,0)</f>
        <v>0</v>
      </c>
      <c r="AX72" s="6">
        <f>IF(AND(frame($C72,$D72,AV$8),NOT(frame($C72,$D72,VLOOKUP(VLOOKUP(AX$26,FT[],9),Teachers[],MOD(COLUMN(AU72),6)+1)))),1,0)</f>
        <v>0</v>
      </c>
      <c r="AY72" s="6">
        <f>IF(AND(frame($C72,$D72,AW$8),NOT(frame($C72,$D72,VLOOKUP(VLOOKUP(AY$26,FT[],9),Teachers[],MOD(COLUMN(AV72),6)+1)))),1,0)</f>
        <v>0</v>
      </c>
      <c r="AZ72" s="6">
        <f>IF(AND(frame($C72,$D72,AX$8),NOT(frame($C72,$D72,VLOOKUP(VLOOKUP(AZ$26,FT[],9),Teachers[],MOD(COLUMN(AW72),6)+1)))),1,0)</f>
        <v>0</v>
      </c>
      <c r="BA72" s="6">
        <f>IF(AND(frame($C72,$D72,AY$8),NOT(frame($C72,$D72,VLOOKUP(VLOOKUP(BA$26,FT[],9),Teachers[],MOD(COLUMN(AX72),6)+1)))),1,0)</f>
        <v>0</v>
      </c>
      <c r="BB72" s="6">
        <f>IF(AND(frame($C72,$D72,AZ$8),NOT(frame($C72,$D72,VLOOKUP(VLOOKUP(BB$26,FT[],9),Teachers[],MOD(COLUMN(AY72),6)+1)))),1,0)</f>
        <v>0</v>
      </c>
      <c r="BC72" s="6">
        <f>IF(AND(frame($C72,$D72,BA$8),NOT(frame($C72,$D72,VLOOKUP(VLOOKUP(BC$26,FT[],9),Teachers[],MOD(COLUMN(AZ72),6)+1)))),1,0)</f>
        <v>0</v>
      </c>
      <c r="BD72" s="6">
        <f>IF(AND(frame($C72,$D72,BB$8),NOT(frame($C72,$D72,VLOOKUP(VLOOKUP(BD$26,FT[],9),Teachers[],MOD(COLUMN(BA72),6)+1)))),1,0)</f>
        <v>0</v>
      </c>
      <c r="BE72" s="6">
        <f>IF(AND(frame($C72,$D72,BC$8),NOT(frame($C72,$D72,VLOOKUP(VLOOKUP(BE$26,FT[],9),Teachers[],MOD(COLUMN(BB72),6)+1)))),1,0)</f>
        <v>0</v>
      </c>
      <c r="BF72" s="6">
        <f>IF(AND(frame($C72,$D72,BD$8),NOT(frame($C72,$D72,VLOOKUP(VLOOKUP(BF$26,FT[],9),Teachers[],MOD(COLUMN(BC72),6)+1)))),1,0)</f>
        <v>0</v>
      </c>
      <c r="BG72" s="6">
        <f>IF(AND(frame($C72,$D72,BE$8),NOT(frame($C72,$D72,VLOOKUP(VLOOKUP(BG$26,FT[],9),Teachers[],MOD(COLUMN(BD72),6)+1)))),1,0)</f>
        <v>0</v>
      </c>
      <c r="BH72" s="6">
        <f>IF(AND(frame($C72,$D72,BF$8),NOT(frame($C72,$D72,VLOOKUP(VLOOKUP(BH$26,FT[],9),Teachers[],MOD(COLUMN(BE72),6)+1)))),1,0)</f>
        <v>0</v>
      </c>
      <c r="BI72" s="6">
        <f>IF(AND(frame($C72,$D72,BG$8),NOT(frame($C72,$D72,VLOOKUP(VLOOKUP(BI$26,FT[],9),Teachers[],MOD(COLUMN(BF72),6)+1)))),1,0)</f>
        <v>0</v>
      </c>
      <c r="BJ72" s="6">
        <f>IF(AND(frame($C72,$D72,BH$8),NOT(frame($C72,$D72,VLOOKUP(VLOOKUP(BJ$26,FT[],9),Teachers[],MOD(COLUMN(BG72),6)+1)))),1,0)</f>
        <v>0</v>
      </c>
      <c r="BK72" s="6">
        <f>IF(AND(frame($C72,$D72,BI$8),NOT(frame($C72,$D72,VLOOKUP(VLOOKUP(BK$26,FT[],9),Teachers[],MOD(COLUMN(BH72),6)+1)))),1,0)</f>
        <v>0</v>
      </c>
      <c r="BL72" s="6">
        <f>IF(AND(frame($C72,$D72,BJ$8),NOT(frame($C72,$D72,VLOOKUP(VLOOKUP(BL$26,FT[],9),Teachers[],MOD(COLUMN(BI72),6)+1)))),1,0)</f>
        <v>0</v>
      </c>
    </row>
    <row r="73" spans="2:64" ht="15.75" thickBot="1">
      <c r="B73" s="1">
        <v>46</v>
      </c>
      <c r="C73" s="9">
        <v>0.79166666666666641</v>
      </c>
      <c r="D73" s="9">
        <v>0.83333333333333304</v>
      </c>
      <c r="E73" s="6" t="e">
        <f ca="1">frame(СВ[[#This Row],[49]],СВ[[#This Row],[Столбец1]],C52,C66)</f>
        <v>#NAME?</v>
      </c>
      <c r="F73" s="6">
        <f>IF(AND(frame($C73,$D73,D$7),NOT(frame($C73,$D73,VLOOKUP(VLOOKUP(F$26,FT[],9),Teachers[],MOD(COLUMN(B73),6)+1)))),1,0)</f>
        <v>0</v>
      </c>
      <c r="G73" s="6">
        <f>IF(AND(frame($C73,$D73,E$7),NOT(frame($C73,$D73,VLOOKUP(VLOOKUP(G$26,FT[],9),Teachers[],MOD(COLUMN(C73),6)+1)))),1,0)</f>
        <v>0</v>
      </c>
      <c r="H73" s="6">
        <f>IF(AND(frame($C73,$D73,F$7),NOT(frame($C73,$D73,VLOOKUP(VLOOKUP(H$26,FT[],9),Teachers[],MOD(COLUMN(D73),6)+1)))),1,0)</f>
        <v>0</v>
      </c>
      <c r="I73" s="6" t="e">
        <f ca="1">IF(AND(frame($C73,$D73,G$7),NOT(frame($C73,$D73,VLOOKUP(VLOOKUP(I$26,FT[],9),Teachers[],MOD(COLUMN(E73),6)+1)))),1,0)</f>
        <v>#NAME?</v>
      </c>
      <c r="J73" s="6">
        <f>IF(AND(frame($C73,$D73,H$7),NOT(frame($C73,$D73,VLOOKUP(VLOOKUP(J$26,FT[],9),Teachers[],MOD(COLUMN(F73),6)+1)))),1,0)</f>
        <v>0</v>
      </c>
      <c r="K73" s="6">
        <f>IF(AND(frame($C73,$D73,I$8),NOT(frame($C73,$D73,VLOOKUP(VLOOKUP(K$26,FT[],9),Teachers[],MOD(COLUMN(H73),6)+1)))),1,0)</f>
        <v>0</v>
      </c>
      <c r="L73" s="1">
        <f t="shared" si="9"/>
        <v>0</v>
      </c>
      <c r="M73" s="6">
        <f>IF(AND(frame($C73,$D73,K$8),NOT(frame($C73,$D73,VLOOKUP(VLOOKUP(M$26,FT[],9),Teachers[],MOD(COLUMN(J73),6)+1)))),1,0)</f>
        <v>0</v>
      </c>
      <c r="N73" s="6">
        <f>IF(AND(frame($C73,$D73,L$8),NOT(frame($C73,$D73,VLOOKUP(VLOOKUP(N$26,FT[],9),Teachers[],MOD(COLUMN(K73),6)+1)))),1,0)</f>
        <v>0</v>
      </c>
      <c r="O73" s="6">
        <f>IF(AND(frame($C73,$D73,M$8),NOT(frame($C73,$D73,VLOOKUP(VLOOKUP(O$26,FT[],9),Teachers[],MOD(COLUMN(L73),6)+1)))),1,0)</f>
        <v>0</v>
      </c>
      <c r="P73" s="6">
        <f>IF(AND(frame($C73,$D73,N$8),NOT(frame($C73,$D73,VLOOKUP(VLOOKUP(P$26,FT[],9),Teachers[],MOD(COLUMN(M73),6)+1)))),1,0)</f>
        <v>0</v>
      </c>
      <c r="Q73" s="6">
        <f>IF(AND(frame($C73,$D73,O$8),NOT(frame($C73,$D73,VLOOKUP(VLOOKUP(Q$26,FT[],9),Teachers[],MOD(COLUMN(N73),6)+1)))),1,0)</f>
        <v>0</v>
      </c>
      <c r="R73" s="65">
        <f t="shared" si="10"/>
        <v>0</v>
      </c>
      <c r="S73" s="6">
        <f>IF(AND(frame($C73,$D73,Q$8),NOT(frame($C73,$D73,VLOOKUP(VLOOKUP(S$26,FT[],9),Teachers[],MOD(COLUMN(P73),6)+1)))),1,0)</f>
        <v>0</v>
      </c>
      <c r="T73" s="6">
        <f>IF(AND(frame($C73,$D73,R$8),NOT(frame($C73,$D73,VLOOKUP(VLOOKUP(T$26,FT[],9),Teachers[],MOD(COLUMN(Q73),6)+1)))),1,0)</f>
        <v>0</v>
      </c>
      <c r="U73" s="6">
        <f>IF(AND(frame($C73,$D73,S$8),NOT(frame($C73,$D73,VLOOKUP(VLOOKUP(U$26,FT[],9),Teachers[],MOD(COLUMN(R73),6)+1)))),1,0)</f>
        <v>0</v>
      </c>
      <c r="V73" s="6">
        <f>IF(AND(frame($C73,$D73,T$8),NOT(frame($C73,$D73,VLOOKUP(VLOOKUP(V$26,FT[],9),Teachers[],MOD(COLUMN(S73),6)+1)))),1,0)</f>
        <v>0</v>
      </c>
      <c r="W73" s="6">
        <f>IF(AND(frame($C73,$D73,U$8),NOT(frame($C73,$D73,VLOOKUP(VLOOKUP(W$26,FT[],9),Teachers[],MOD(COLUMN(T73),6)+1)))),1,0)</f>
        <v>0</v>
      </c>
      <c r="X73" s="6">
        <f>IF(AND(frame($C73,$D73,V$8),NOT(frame($C73,$D73,VLOOKUP(VLOOKUP(X$26,FT[],9),Teachers[],MOD(COLUMN(U73),6)+1)))),1,0)</f>
        <v>0</v>
      </c>
      <c r="Y73" s="6">
        <f>IF(AND(frame($C73,$D73,W$8),NOT(frame($C73,$D73,VLOOKUP(VLOOKUP(Y$26,FT[],9),Teachers[],MOD(COLUMN(V73),6)+1)))),1,0)</f>
        <v>0</v>
      </c>
      <c r="Z73" s="6">
        <f>IF(AND(frame($C73,$D73,X$8),NOT(frame($C73,$D73,VLOOKUP(VLOOKUP(Z$26,FT[],9),Teachers[],MOD(COLUMN(W73),6)+1)))),1,0)</f>
        <v>0</v>
      </c>
      <c r="AA73" s="6">
        <f>IF(AND(frame($C73,$D73,Y$8),NOT(frame($C73,$D73,VLOOKUP(VLOOKUP(AA$26,FT[],9),Teachers[],MOD(COLUMN(X73),6)+1)))),1,0)</f>
        <v>0</v>
      </c>
      <c r="AB73" s="6">
        <f>IF(AND(frame($C73,$D73,Z$8),NOT(frame($C73,$D73,VLOOKUP(VLOOKUP(AB$26,FT[],9),Teachers[],MOD(COLUMN(Y73),6)+1)))),1,0)</f>
        <v>0</v>
      </c>
      <c r="AC73" s="6">
        <f>IF(AND(frame($C73,$D73,AA$8),NOT(frame($C73,$D73,VLOOKUP(VLOOKUP(AC$26,FT[],9),Teachers[],MOD(COLUMN(Z73),6)+1)))),1,0)</f>
        <v>0</v>
      </c>
      <c r="AD73" s="6">
        <f>IF(AND(frame($C73,$D73,AB$8),NOT(frame($C73,$D73,VLOOKUP(VLOOKUP(AD$26,FT[],9),Teachers[],MOD(COLUMN(AA73),6)+1)))),1,0)</f>
        <v>0</v>
      </c>
      <c r="AE73" s="6">
        <f>IF(AND(frame($C73,$D73,AC$8),NOT(frame($C73,$D73,VLOOKUP(VLOOKUP(AE$26,FT[],9),Teachers[],MOD(COLUMN(AB73),6)+1)))),1,0)</f>
        <v>0</v>
      </c>
      <c r="AF73" s="6">
        <f>IF(AND(frame($C73,$D73,AD$8),NOT(frame($C73,$D73,VLOOKUP(VLOOKUP(AF$26,FT[],9),Teachers[],MOD(COLUMN(AC73),6)+1)))),1,0)</f>
        <v>0</v>
      </c>
      <c r="AG73" s="6">
        <f>IF(AND(frame($C73,$D73,AE$8),NOT(frame($C73,$D73,VLOOKUP(VLOOKUP(AG$26,FT[],9),Teachers[],MOD(COLUMN(AD73),6)+1)))),1,0)</f>
        <v>0</v>
      </c>
      <c r="AH73" s="6">
        <f>IF(AND(frame($C73,$D73,AF$8),NOT(frame($C73,$D73,VLOOKUP(VLOOKUP(AH$26,FT[],9),Teachers[],MOD(COLUMN(AE73),6)+1)))),1,0)</f>
        <v>0</v>
      </c>
      <c r="AI73" s="6">
        <f>IF(AND(frame($C73,$D73,AG$8),NOT(frame($C73,$D73,VLOOKUP(VLOOKUP(AI$26,FT[],9),Teachers[],MOD(COLUMN(AF73),6)+1)))),1,0)</f>
        <v>0</v>
      </c>
      <c r="AJ73" s="6">
        <f>IF(AND(frame($C73,$D73,AH$8),NOT(frame($C73,$D73,VLOOKUP(VLOOKUP(AJ$26,FT[],9),Teachers[],MOD(COLUMN(AG73),6)+1)))),1,0)</f>
        <v>0</v>
      </c>
      <c r="AK73" s="6">
        <f>IF(AND(frame($C73,$D73,AI$8),NOT(frame($C73,$D73,VLOOKUP(VLOOKUP(AK$26,FT[],9),Teachers[],MOD(COLUMN(AH73),6)+1)))),1,0)</f>
        <v>0</v>
      </c>
      <c r="AL73" s="6">
        <f>IF(AND(frame($C73,$D73,AJ$8),NOT(frame($C73,$D73,VLOOKUP(VLOOKUP(AL$26,FT[],9),Teachers[],MOD(COLUMN(AI73),6)+1)))),1,0)</f>
        <v>0</v>
      </c>
      <c r="AM73" s="6">
        <f>IF(AND(frame($C73,$D73,AK$8),NOT(frame($C73,$D73,VLOOKUP(VLOOKUP(AM$26,FT[],9),Teachers[],MOD(COLUMN(AJ73),6)+1)))),1,0)</f>
        <v>0</v>
      </c>
      <c r="AN73" s="6">
        <f>IF(AND(frame($C73,$D73,AL$8),NOT(frame($C73,$D73,VLOOKUP(VLOOKUP(AN$26,FT[],9),Teachers[],MOD(COLUMN(AK73),6)+1)))),1,0)</f>
        <v>0</v>
      </c>
      <c r="AO73" s="6">
        <f>IF(AND(frame($C73,$D73,AM$8),NOT(frame($C73,$D73,VLOOKUP(VLOOKUP(AO$26,FT[],9),Teachers[],MOD(COLUMN(AL73),6)+1)))),1,0)</f>
        <v>0</v>
      </c>
      <c r="AP73" s="66">
        <f t="shared" si="11"/>
        <v>0</v>
      </c>
      <c r="AQ73" s="6">
        <f>IF(AND(frame($C73,$D73,AO$8),NOT(frame($C73,$D73,VLOOKUP(VLOOKUP(AQ$26,FT[],9),Teachers[],MOD(COLUMN(AN73),6)+1)))),1,0)</f>
        <v>0</v>
      </c>
      <c r="AR73" s="6">
        <f>IF(AND(frame($C73,$D73,AP$8),NOT(frame($C73,$D73,VLOOKUP(VLOOKUP(AR$26,FT[],9),Teachers[],MOD(COLUMN(AO73),6)+1)))),1,0)</f>
        <v>0</v>
      </c>
      <c r="AS73" s="6">
        <f>IF(AND(frame($C73,$D73,AQ$8),NOT(frame($C73,$D73,VLOOKUP(VLOOKUP(AS$26,FT[],9),Teachers[],MOD(COLUMN(AP73),6)+1)))),1,0)</f>
        <v>0</v>
      </c>
      <c r="AT73" s="6">
        <f>IF(AND(frame($C73,$D73,AR$8),NOT(frame($C73,$D73,VLOOKUP(VLOOKUP(AT$26,FT[],9),Teachers[],MOD(COLUMN(AQ73),6)+1)))),1,0)</f>
        <v>0</v>
      </c>
      <c r="AU73" s="6">
        <f>IF(AND(frame($C73,$D73,AS$8),NOT(frame($C73,$D73,VLOOKUP(VLOOKUP(AU$26,FT[],9),Teachers[],MOD(COLUMN(AR73),6)+1)))),1,0)</f>
        <v>0</v>
      </c>
      <c r="AV73" s="6">
        <f>IF(AND(frame($C73,$D73,AT$8),NOT(frame($C73,$D73,VLOOKUP(VLOOKUP(AV$26,FT[],9),Teachers[],MOD(COLUMN(AS73),6)+1)))),1,0)</f>
        <v>0</v>
      </c>
      <c r="AW73" s="6">
        <f>IF(AND(frame($C73,$D73,AU$8),NOT(frame($C73,$D73,VLOOKUP(VLOOKUP(AW$26,FT[],9),Teachers[],MOD(COLUMN(AT73),6)+1)))),1,0)</f>
        <v>0</v>
      </c>
      <c r="AX73" s="6">
        <f>IF(AND(frame($C73,$D73,AV$8),NOT(frame($C73,$D73,VLOOKUP(VLOOKUP(AX$26,FT[],9),Teachers[],MOD(COLUMN(AU73),6)+1)))),1,0)</f>
        <v>0</v>
      </c>
      <c r="AY73" s="6">
        <f>IF(AND(frame($C73,$D73,AW$8),NOT(frame($C73,$D73,VLOOKUP(VLOOKUP(AY$26,FT[],9),Teachers[],MOD(COLUMN(AV73),6)+1)))),1,0)</f>
        <v>0</v>
      </c>
      <c r="AZ73" s="6">
        <f>IF(AND(frame($C73,$D73,AX$8),NOT(frame($C73,$D73,VLOOKUP(VLOOKUP(AZ$26,FT[],9),Teachers[],MOD(COLUMN(AW73),6)+1)))),1,0)</f>
        <v>0</v>
      </c>
      <c r="BA73" s="6">
        <f>IF(AND(frame($C73,$D73,AY$8),NOT(frame($C73,$D73,VLOOKUP(VLOOKUP(BA$26,FT[],9),Teachers[],MOD(COLUMN(AX73),6)+1)))),1,0)</f>
        <v>0</v>
      </c>
      <c r="BB73" s="6">
        <f>IF(AND(frame($C73,$D73,AZ$8),NOT(frame($C73,$D73,VLOOKUP(VLOOKUP(BB$26,FT[],9),Teachers[],MOD(COLUMN(AY73),6)+1)))),1,0)</f>
        <v>0</v>
      </c>
      <c r="BC73" s="6">
        <f>IF(AND(frame($C73,$D73,BA$8),NOT(frame($C73,$D73,VLOOKUP(VLOOKUP(BC$26,FT[],9),Teachers[],MOD(COLUMN(AZ73),6)+1)))),1,0)</f>
        <v>0</v>
      </c>
      <c r="BD73" s="6">
        <f>IF(AND(frame($C73,$D73,BB$8),NOT(frame($C73,$D73,VLOOKUP(VLOOKUP(BD$26,FT[],9),Teachers[],MOD(COLUMN(BA73),6)+1)))),1,0)</f>
        <v>0</v>
      </c>
      <c r="BE73" s="6">
        <f>IF(AND(frame($C73,$D73,BC$8),NOT(frame($C73,$D73,VLOOKUP(VLOOKUP(BE$26,FT[],9),Teachers[],MOD(COLUMN(BB73),6)+1)))),1,0)</f>
        <v>0</v>
      </c>
      <c r="BF73" s="6">
        <f>IF(AND(frame($C73,$D73,BD$8),NOT(frame($C73,$D73,VLOOKUP(VLOOKUP(BF$26,FT[],9),Teachers[],MOD(COLUMN(BC73),6)+1)))),1,0)</f>
        <v>0</v>
      </c>
      <c r="BG73" s="6">
        <f>IF(AND(frame($C73,$D73,BE$8),NOT(frame($C73,$D73,VLOOKUP(VLOOKUP(BG$26,FT[],9),Teachers[],MOD(COLUMN(BD73),6)+1)))),1,0)</f>
        <v>0</v>
      </c>
      <c r="BH73" s="6">
        <f>IF(AND(frame($C73,$D73,BF$8),NOT(frame($C73,$D73,VLOOKUP(VLOOKUP(BH$26,FT[],9),Teachers[],MOD(COLUMN(BE73),6)+1)))),1,0)</f>
        <v>0</v>
      </c>
      <c r="BI73" s="6">
        <f>IF(AND(frame($C73,$D73,BG$8),NOT(frame($C73,$D73,VLOOKUP(VLOOKUP(BI$26,FT[],9),Teachers[],MOD(COLUMN(BF73),6)+1)))),1,0)</f>
        <v>0</v>
      </c>
      <c r="BJ73" s="6">
        <f>IF(AND(frame($C73,$D73,BH$8),NOT(frame($C73,$D73,VLOOKUP(VLOOKUP(BJ$26,FT[],9),Teachers[],MOD(COLUMN(BG73),6)+1)))),1,0)</f>
        <v>0</v>
      </c>
      <c r="BK73" s="6">
        <f>IF(AND(frame($C73,$D73,BI$8),NOT(frame($C73,$D73,VLOOKUP(VLOOKUP(BK$26,FT[],9),Teachers[],MOD(COLUMN(BH73),6)+1)))),1,0)</f>
        <v>0</v>
      </c>
      <c r="BL73" s="6">
        <f>IF(AND(frame($C73,$D73,BJ$8),NOT(frame($C73,$D73,VLOOKUP(VLOOKUP(BL$26,FT[],9),Teachers[],MOD(COLUMN(BI73),6)+1)))),1,0)</f>
        <v>0</v>
      </c>
    </row>
    <row r="74" spans="2:64" ht="15.75" thickBot="1">
      <c r="B74" s="1">
        <v>47</v>
      </c>
      <c r="C74" s="9">
        <v>0.80208333333333304</v>
      </c>
      <c r="D74" s="9">
        <v>0.83333333333333304</v>
      </c>
      <c r="E74" s="6" t="e">
        <f ca="1">frame(СВ[[#This Row],[49]],СВ[[#This Row],[Столбец1]],C53,C67)</f>
        <v>#NAME?</v>
      </c>
      <c r="F74" s="6">
        <f>IF(AND(frame($C74,$D74,D$7),NOT(frame($C74,$D74,VLOOKUP(VLOOKUP(F$26,FT[],9),Teachers[],MOD(COLUMN(B74),6)+1)))),1,0)</f>
        <v>0</v>
      </c>
      <c r="G74" s="6">
        <f>IF(AND(frame($C74,$D74,E$7),NOT(frame($C74,$D74,VLOOKUP(VLOOKUP(G$26,FT[],9),Teachers[],MOD(COLUMN(C74),6)+1)))),1,0)</f>
        <v>0</v>
      </c>
      <c r="H74" s="6">
        <f>IF(AND(frame($C74,$D74,F$7),NOT(frame($C74,$D74,VLOOKUP(VLOOKUP(H$26,FT[],9),Teachers[],MOD(COLUMN(D74),6)+1)))),1,0)</f>
        <v>0</v>
      </c>
      <c r="I74" s="6" t="e">
        <f ca="1">IF(AND(frame($C74,$D74,G$7),NOT(frame($C74,$D74,VLOOKUP(VLOOKUP(I$26,FT[],9),Teachers[],MOD(COLUMN(E74),6)+1)))),1,0)</f>
        <v>#NAME?</v>
      </c>
      <c r="J74" s="6">
        <f>IF(AND(frame($C74,$D74,H$7),NOT(frame($C74,$D74,VLOOKUP(VLOOKUP(J$26,FT[],9),Teachers[],MOD(COLUMN(F74),6)+1)))),1,0)</f>
        <v>0</v>
      </c>
      <c r="K74" s="6">
        <f>IF(AND(frame($C74,$D74,I$8),NOT(frame($C74,$D74,VLOOKUP(VLOOKUP(K$26,FT[],9),Teachers[],MOD(COLUMN(H74),6)+1)))),1,0)</f>
        <v>0</v>
      </c>
      <c r="L74" s="1">
        <f t="shared" si="9"/>
        <v>0</v>
      </c>
      <c r="M74" s="6">
        <f>IF(AND(frame($C74,$D74,K$8),NOT(frame($C74,$D74,VLOOKUP(VLOOKUP(M$26,FT[],9),Teachers[],MOD(COLUMN(J74),6)+1)))),1,0)</f>
        <v>0</v>
      </c>
      <c r="N74" s="6">
        <f>IF(AND(frame($C74,$D74,L$8),NOT(frame($C74,$D74,VLOOKUP(VLOOKUP(N$26,FT[],9),Teachers[],MOD(COLUMN(K74),6)+1)))),1,0)</f>
        <v>0</v>
      </c>
      <c r="O74" s="6">
        <f>IF(AND(frame($C74,$D74,M$8),NOT(frame($C74,$D74,VLOOKUP(VLOOKUP(O$26,FT[],9),Teachers[],MOD(COLUMN(L74),6)+1)))),1,0)</f>
        <v>0</v>
      </c>
      <c r="P74" s="6">
        <f>IF(AND(frame($C74,$D74,N$8),NOT(frame($C74,$D74,VLOOKUP(VLOOKUP(P$26,FT[],9),Teachers[],MOD(COLUMN(M74),6)+1)))),1,0)</f>
        <v>0</v>
      </c>
      <c r="Q74" s="6">
        <f>IF(AND(frame($C74,$D74,O$8),NOT(frame($C74,$D74,VLOOKUP(VLOOKUP(Q$26,FT[],9),Teachers[],MOD(COLUMN(N74),6)+1)))),1,0)</f>
        <v>0</v>
      </c>
      <c r="R74" s="65">
        <f t="shared" si="10"/>
        <v>0</v>
      </c>
      <c r="S74" s="6">
        <f>IF(AND(frame($C74,$D74,Q$8),NOT(frame($C74,$D74,VLOOKUP(VLOOKUP(S$26,FT[],9),Teachers[],MOD(COLUMN(P74),6)+1)))),1,0)</f>
        <v>0</v>
      </c>
      <c r="T74" s="6">
        <f>IF(AND(frame($C74,$D74,R$8),NOT(frame($C74,$D74,VLOOKUP(VLOOKUP(T$26,FT[],9),Teachers[],MOD(COLUMN(Q74),6)+1)))),1,0)</f>
        <v>0</v>
      </c>
      <c r="U74" s="6">
        <f>IF(AND(frame($C74,$D74,S$8),NOT(frame($C74,$D74,VLOOKUP(VLOOKUP(U$26,FT[],9),Teachers[],MOD(COLUMN(R74),6)+1)))),1,0)</f>
        <v>0</v>
      </c>
      <c r="V74" s="6">
        <f>IF(AND(frame($C74,$D74,T$8),NOT(frame($C74,$D74,VLOOKUP(VLOOKUP(V$26,FT[],9),Teachers[],MOD(COLUMN(S74),6)+1)))),1,0)</f>
        <v>0</v>
      </c>
      <c r="W74" s="6">
        <f>IF(AND(frame($C74,$D74,U$8),NOT(frame($C74,$D74,VLOOKUP(VLOOKUP(W$26,FT[],9),Teachers[],MOD(COLUMN(T74),6)+1)))),1,0)</f>
        <v>0</v>
      </c>
      <c r="X74" s="6">
        <f>IF(AND(frame($C74,$D74,V$8),NOT(frame($C74,$D74,VLOOKUP(VLOOKUP(X$26,FT[],9),Teachers[],MOD(COLUMN(U74),6)+1)))),1,0)</f>
        <v>0</v>
      </c>
      <c r="Y74" s="6">
        <f>IF(AND(frame($C74,$D74,W$8),NOT(frame($C74,$D74,VLOOKUP(VLOOKUP(Y$26,FT[],9),Teachers[],MOD(COLUMN(V74),6)+1)))),1,0)</f>
        <v>0</v>
      </c>
      <c r="Z74" s="6">
        <f>IF(AND(frame($C74,$D74,X$8),NOT(frame($C74,$D74,VLOOKUP(VLOOKUP(Z$26,FT[],9),Teachers[],MOD(COLUMN(W74),6)+1)))),1,0)</f>
        <v>0</v>
      </c>
      <c r="AA74" s="6">
        <f>IF(AND(frame($C74,$D74,Y$8),NOT(frame($C74,$D74,VLOOKUP(VLOOKUP(AA$26,FT[],9),Teachers[],MOD(COLUMN(X74),6)+1)))),1,0)</f>
        <v>0</v>
      </c>
      <c r="AB74" s="6">
        <f>IF(AND(frame($C74,$D74,Z$8),NOT(frame($C74,$D74,VLOOKUP(VLOOKUP(AB$26,FT[],9),Teachers[],MOD(COLUMN(Y74),6)+1)))),1,0)</f>
        <v>0</v>
      </c>
      <c r="AC74" s="6">
        <f>IF(AND(frame($C74,$D74,AA$8),NOT(frame($C74,$D74,VLOOKUP(VLOOKUP(AC$26,FT[],9),Teachers[],MOD(COLUMN(Z74),6)+1)))),1,0)</f>
        <v>0</v>
      </c>
      <c r="AD74" s="6">
        <f>IF(AND(frame($C74,$D74,AB$8),NOT(frame($C74,$D74,VLOOKUP(VLOOKUP(AD$26,FT[],9),Teachers[],MOD(COLUMN(AA74),6)+1)))),1,0)</f>
        <v>0</v>
      </c>
      <c r="AE74" s="6">
        <f>IF(AND(frame($C74,$D74,AC$8),NOT(frame($C74,$D74,VLOOKUP(VLOOKUP(AE$26,FT[],9),Teachers[],MOD(COLUMN(AB74),6)+1)))),1,0)</f>
        <v>0</v>
      </c>
      <c r="AF74" s="6">
        <f>IF(AND(frame($C74,$D74,AD$8),NOT(frame($C74,$D74,VLOOKUP(VLOOKUP(AF$26,FT[],9),Teachers[],MOD(COLUMN(AC74),6)+1)))),1,0)</f>
        <v>0</v>
      </c>
      <c r="AG74" s="6">
        <f>IF(AND(frame($C74,$D74,AE$8),NOT(frame($C74,$D74,VLOOKUP(VLOOKUP(AG$26,FT[],9),Teachers[],MOD(COLUMN(AD74),6)+1)))),1,0)</f>
        <v>0</v>
      </c>
      <c r="AH74" s="6">
        <f>IF(AND(frame($C74,$D74,AF$8),NOT(frame($C74,$D74,VLOOKUP(VLOOKUP(AH$26,FT[],9),Teachers[],MOD(COLUMN(AE74),6)+1)))),1,0)</f>
        <v>0</v>
      </c>
      <c r="AI74" s="6">
        <f>IF(AND(frame($C74,$D74,AG$8),NOT(frame($C74,$D74,VLOOKUP(VLOOKUP(AI$26,FT[],9),Teachers[],MOD(COLUMN(AF74),6)+1)))),1,0)</f>
        <v>0</v>
      </c>
      <c r="AJ74" s="6">
        <f>IF(AND(frame($C74,$D74,AH$8),NOT(frame($C74,$D74,VLOOKUP(VLOOKUP(AJ$26,FT[],9),Teachers[],MOD(COLUMN(AG74),6)+1)))),1,0)</f>
        <v>0</v>
      </c>
      <c r="AK74" s="6">
        <f>IF(AND(frame($C74,$D74,AI$8),NOT(frame($C74,$D74,VLOOKUP(VLOOKUP(AK$26,FT[],9),Teachers[],MOD(COLUMN(AH74),6)+1)))),1,0)</f>
        <v>0</v>
      </c>
      <c r="AL74" s="6">
        <f>IF(AND(frame($C74,$D74,AJ$8),NOT(frame($C74,$D74,VLOOKUP(VLOOKUP(AL$26,FT[],9),Teachers[],MOD(COLUMN(AI74),6)+1)))),1,0)</f>
        <v>0</v>
      </c>
      <c r="AM74" s="6">
        <f>IF(AND(frame($C74,$D74,AK$8),NOT(frame($C74,$D74,VLOOKUP(VLOOKUP(AM$26,FT[],9),Teachers[],MOD(COLUMN(AJ74),6)+1)))),1,0)</f>
        <v>0</v>
      </c>
      <c r="AN74" s="6">
        <f>IF(AND(frame($C74,$D74,AL$8),NOT(frame($C74,$D74,VLOOKUP(VLOOKUP(AN$26,FT[],9),Teachers[],MOD(COLUMN(AK74),6)+1)))),1,0)</f>
        <v>0</v>
      </c>
      <c r="AO74" s="6">
        <f>IF(AND(frame($C74,$D74,AM$8),NOT(frame($C74,$D74,VLOOKUP(VLOOKUP(AO$26,FT[],9),Teachers[],MOD(COLUMN(AL74),6)+1)))),1,0)</f>
        <v>0</v>
      </c>
      <c r="AP74" s="66">
        <f t="shared" si="11"/>
        <v>0</v>
      </c>
      <c r="AQ74" s="6">
        <f>IF(AND(frame($C74,$D74,AO$8),NOT(frame($C74,$D74,VLOOKUP(VLOOKUP(AQ$26,FT[],9),Teachers[],MOD(COLUMN(AN74),6)+1)))),1,0)</f>
        <v>0</v>
      </c>
      <c r="AR74" s="6">
        <f>IF(AND(frame($C74,$D74,AP$8),NOT(frame($C74,$D74,VLOOKUP(VLOOKUP(AR$26,FT[],9),Teachers[],MOD(COLUMN(AO74),6)+1)))),1,0)</f>
        <v>0</v>
      </c>
      <c r="AS74" s="6">
        <f>IF(AND(frame($C74,$D74,AQ$8),NOT(frame($C74,$D74,VLOOKUP(VLOOKUP(AS$26,FT[],9),Teachers[],MOD(COLUMN(AP74),6)+1)))),1,0)</f>
        <v>0</v>
      </c>
      <c r="AT74" s="6">
        <f>IF(AND(frame($C74,$D74,AR$8),NOT(frame($C74,$D74,VLOOKUP(VLOOKUP(AT$26,FT[],9),Teachers[],MOD(COLUMN(AQ74),6)+1)))),1,0)</f>
        <v>0</v>
      </c>
      <c r="AU74" s="6">
        <f>IF(AND(frame($C74,$D74,AS$8),NOT(frame($C74,$D74,VLOOKUP(VLOOKUP(AU$26,FT[],9),Teachers[],MOD(COLUMN(AR74),6)+1)))),1,0)</f>
        <v>0</v>
      </c>
      <c r="AV74" s="6">
        <f>IF(AND(frame($C74,$D74,AT$8),NOT(frame($C74,$D74,VLOOKUP(VLOOKUP(AV$26,FT[],9),Teachers[],MOD(COLUMN(AS74),6)+1)))),1,0)</f>
        <v>0</v>
      </c>
      <c r="AW74" s="6">
        <f>IF(AND(frame($C74,$D74,AU$8),NOT(frame($C74,$D74,VLOOKUP(VLOOKUP(AW$26,FT[],9),Teachers[],MOD(COLUMN(AT74),6)+1)))),1,0)</f>
        <v>0</v>
      </c>
      <c r="AX74" s="6">
        <f>IF(AND(frame($C74,$D74,AV$8),NOT(frame($C74,$D74,VLOOKUP(VLOOKUP(AX$26,FT[],9),Teachers[],MOD(COLUMN(AU74),6)+1)))),1,0)</f>
        <v>0</v>
      </c>
      <c r="AY74" s="6">
        <f>IF(AND(frame($C74,$D74,AW$8),NOT(frame($C74,$D74,VLOOKUP(VLOOKUP(AY$26,FT[],9),Teachers[],MOD(COLUMN(AV74),6)+1)))),1,0)</f>
        <v>0</v>
      </c>
      <c r="AZ74" s="6">
        <f>IF(AND(frame($C74,$D74,AX$8),NOT(frame($C74,$D74,VLOOKUP(VLOOKUP(AZ$26,FT[],9),Teachers[],MOD(COLUMN(AW74),6)+1)))),1,0)</f>
        <v>0</v>
      </c>
      <c r="BA74" s="6">
        <f>IF(AND(frame($C74,$D74,AY$8),NOT(frame($C74,$D74,VLOOKUP(VLOOKUP(BA$26,FT[],9),Teachers[],MOD(COLUMN(AX74),6)+1)))),1,0)</f>
        <v>0</v>
      </c>
      <c r="BB74" s="6">
        <f>IF(AND(frame($C74,$D74,AZ$8),NOT(frame($C74,$D74,VLOOKUP(VLOOKUP(BB$26,FT[],9),Teachers[],MOD(COLUMN(AY74),6)+1)))),1,0)</f>
        <v>0</v>
      </c>
      <c r="BC74" s="6">
        <f>IF(AND(frame($C74,$D74,BA$8),NOT(frame($C74,$D74,VLOOKUP(VLOOKUP(BC$26,FT[],9),Teachers[],MOD(COLUMN(AZ74),6)+1)))),1,0)</f>
        <v>0</v>
      </c>
      <c r="BD74" s="6">
        <f>IF(AND(frame($C74,$D74,BB$8),NOT(frame($C74,$D74,VLOOKUP(VLOOKUP(BD$26,FT[],9),Teachers[],MOD(COLUMN(BA74),6)+1)))),1,0)</f>
        <v>0</v>
      </c>
      <c r="BE74" s="6">
        <f>IF(AND(frame($C74,$D74,BC$8),NOT(frame($C74,$D74,VLOOKUP(VLOOKUP(BE$26,FT[],9),Teachers[],MOD(COLUMN(BB74),6)+1)))),1,0)</f>
        <v>0</v>
      </c>
      <c r="BF74" s="6">
        <f>IF(AND(frame($C74,$D74,BD$8),NOT(frame($C74,$D74,VLOOKUP(VLOOKUP(BF$26,FT[],9),Teachers[],MOD(COLUMN(BC74),6)+1)))),1,0)</f>
        <v>0</v>
      </c>
      <c r="BG74" s="6">
        <f>IF(AND(frame($C74,$D74,BE$8),NOT(frame($C74,$D74,VLOOKUP(VLOOKUP(BG$26,FT[],9),Teachers[],MOD(COLUMN(BD74),6)+1)))),1,0)</f>
        <v>0</v>
      </c>
      <c r="BH74" s="6">
        <f>IF(AND(frame($C74,$D74,BF$8),NOT(frame($C74,$D74,VLOOKUP(VLOOKUP(BH$26,FT[],9),Teachers[],MOD(COLUMN(BE74),6)+1)))),1,0)</f>
        <v>0</v>
      </c>
      <c r="BI74" s="6">
        <f>IF(AND(frame($C74,$D74,BG$8),NOT(frame($C74,$D74,VLOOKUP(VLOOKUP(BI$26,FT[],9),Teachers[],MOD(COLUMN(BF74),6)+1)))),1,0)</f>
        <v>0</v>
      </c>
      <c r="BJ74" s="6">
        <f>IF(AND(frame($C74,$D74,BH$8),NOT(frame($C74,$D74,VLOOKUP(VLOOKUP(BJ$26,FT[],9),Teachers[],MOD(COLUMN(BG74),6)+1)))),1,0)</f>
        <v>0</v>
      </c>
      <c r="BK74" s="6">
        <f>IF(AND(frame($C74,$D74,BI$8),NOT(frame($C74,$D74,VLOOKUP(VLOOKUP(BK$26,FT[],9),Teachers[],MOD(COLUMN(BH74),6)+1)))),1,0)</f>
        <v>0</v>
      </c>
      <c r="BL74" s="6">
        <f>IF(AND(frame($C74,$D74,BJ$8),NOT(frame($C74,$D74,VLOOKUP(VLOOKUP(BL$26,FT[],9),Teachers[],MOD(COLUMN(BI74),6)+1)))),1,0)</f>
        <v>0</v>
      </c>
    </row>
    <row r="75" spans="2:64" ht="15.75" thickBot="1">
      <c r="B75" s="1">
        <v>48</v>
      </c>
      <c r="C75" s="9">
        <v>0.81249999999999978</v>
      </c>
      <c r="D75" s="9">
        <v>0.84374999999999967</v>
      </c>
      <c r="E75" s="6" t="e">
        <f ca="1">frame(СВ[[#This Row],[49]],СВ[[#This Row],[Столбец1]],C54,C68)</f>
        <v>#NAME?</v>
      </c>
      <c r="F75" s="6">
        <f>IF(AND(frame($C75,$D75,D$7),NOT(frame($C75,$D75,VLOOKUP(VLOOKUP(F$26,FT[],9),Teachers[],MOD(COLUMN(B75),6)+1)))),1,0)</f>
        <v>0</v>
      </c>
      <c r="G75" s="6">
        <f>IF(AND(frame($C75,$D75,E$7),NOT(frame($C75,$D75,VLOOKUP(VLOOKUP(G$26,FT[],9),Teachers[],MOD(COLUMN(C75),6)+1)))),1,0)</f>
        <v>0</v>
      </c>
      <c r="H75" s="6">
        <f>IF(AND(frame($C75,$D75,F$7),NOT(frame($C75,$D75,VLOOKUP(VLOOKUP(H$26,FT[],9),Teachers[],MOD(COLUMN(D75),6)+1)))),1,0)</f>
        <v>0</v>
      </c>
      <c r="I75" s="6" t="e">
        <f ca="1">IF(AND(frame($C75,$D75,G$7),NOT(frame($C75,$D75,VLOOKUP(VLOOKUP(I$26,FT[],9),Teachers[],MOD(COLUMN(E75),6)+1)))),1,0)</f>
        <v>#NAME?</v>
      </c>
      <c r="J75" s="6">
        <f>IF(AND(frame($C75,$D75,H$7),NOT(frame($C75,$D75,VLOOKUP(VLOOKUP(J$26,FT[],9),Teachers[],MOD(COLUMN(F75),6)+1)))),1,0)</f>
        <v>0</v>
      </c>
      <c r="K75" s="6">
        <f>IF(AND(frame($C75,$D75,I$8),NOT(frame($C75,$D75,VLOOKUP(VLOOKUP(K$26,FT[],9),Teachers[],MOD(COLUMN(H75),6)+1)))),1,0)</f>
        <v>0</v>
      </c>
      <c r="L75" s="1">
        <f t="shared" si="9"/>
        <v>0</v>
      </c>
      <c r="M75" s="6">
        <f>IF(AND(frame($C75,$D75,K$8),NOT(frame($C75,$D75,VLOOKUP(VLOOKUP(M$26,FT[],9),Teachers[],MOD(COLUMN(J75),6)+1)))),1,0)</f>
        <v>0</v>
      </c>
      <c r="N75" s="6">
        <f>IF(AND(frame($C75,$D75,L$8),NOT(frame($C75,$D75,VLOOKUP(VLOOKUP(N$26,FT[],9),Teachers[],MOD(COLUMN(K75),6)+1)))),1,0)</f>
        <v>0</v>
      </c>
      <c r="O75" s="6">
        <f>IF(AND(frame($C75,$D75,M$8),NOT(frame($C75,$D75,VLOOKUP(VLOOKUP(O$26,FT[],9),Teachers[],MOD(COLUMN(L75),6)+1)))),1,0)</f>
        <v>0</v>
      </c>
      <c r="P75" s="6">
        <f>IF(AND(frame($C75,$D75,N$8),NOT(frame($C75,$D75,VLOOKUP(VLOOKUP(P$26,FT[],9),Teachers[],MOD(COLUMN(M75),6)+1)))),1,0)</f>
        <v>0</v>
      </c>
      <c r="Q75" s="6">
        <f>IF(AND(frame($C75,$D75,O$8),NOT(frame($C75,$D75,VLOOKUP(VLOOKUP(Q$26,FT[],9),Teachers[],MOD(COLUMN(N75),6)+1)))),1,0)</f>
        <v>0</v>
      </c>
      <c r="R75" s="65">
        <f t="shared" si="10"/>
        <v>0</v>
      </c>
      <c r="S75" s="6">
        <f>IF(AND(frame($C75,$D75,Q$8),NOT(frame($C75,$D75,VLOOKUP(VLOOKUP(S$26,FT[],9),Teachers[],MOD(COLUMN(P75),6)+1)))),1,0)</f>
        <v>0</v>
      </c>
      <c r="T75" s="6">
        <f>IF(AND(frame($C75,$D75,R$8),NOT(frame($C75,$D75,VLOOKUP(VLOOKUP(T$26,FT[],9),Teachers[],MOD(COLUMN(Q75),6)+1)))),1,0)</f>
        <v>0</v>
      </c>
      <c r="U75" s="6">
        <f>IF(AND(frame($C75,$D75,S$8),NOT(frame($C75,$D75,VLOOKUP(VLOOKUP(U$26,FT[],9),Teachers[],MOD(COLUMN(R75),6)+1)))),1,0)</f>
        <v>0</v>
      </c>
      <c r="V75" s="6">
        <f>IF(AND(frame($C75,$D75,T$8),NOT(frame($C75,$D75,VLOOKUP(VLOOKUP(V$26,FT[],9),Teachers[],MOD(COLUMN(S75),6)+1)))),1,0)</f>
        <v>0</v>
      </c>
      <c r="W75" s="6">
        <f>IF(AND(frame($C75,$D75,U$8),NOT(frame($C75,$D75,VLOOKUP(VLOOKUP(W$26,FT[],9),Teachers[],MOD(COLUMN(T75),6)+1)))),1,0)</f>
        <v>0</v>
      </c>
      <c r="X75" s="6">
        <f>IF(AND(frame($C75,$D75,V$8),NOT(frame($C75,$D75,VLOOKUP(VLOOKUP(X$26,FT[],9),Teachers[],MOD(COLUMN(U75),6)+1)))),1,0)</f>
        <v>0</v>
      </c>
      <c r="Y75" s="6">
        <f>IF(AND(frame($C75,$D75,W$8),NOT(frame($C75,$D75,VLOOKUP(VLOOKUP(Y$26,FT[],9),Teachers[],MOD(COLUMN(V75),6)+1)))),1,0)</f>
        <v>0</v>
      </c>
      <c r="Z75" s="6">
        <f>IF(AND(frame($C75,$D75,X$8),NOT(frame($C75,$D75,VLOOKUP(VLOOKUP(Z$26,FT[],9),Teachers[],MOD(COLUMN(W75),6)+1)))),1,0)</f>
        <v>0</v>
      </c>
      <c r="AA75" s="6">
        <f>IF(AND(frame($C75,$D75,Y$8),NOT(frame($C75,$D75,VLOOKUP(VLOOKUP(AA$26,FT[],9),Teachers[],MOD(COLUMN(X75),6)+1)))),1,0)</f>
        <v>0</v>
      </c>
      <c r="AB75" s="6">
        <f>IF(AND(frame($C75,$D75,Z$8),NOT(frame($C75,$D75,VLOOKUP(VLOOKUP(AB$26,FT[],9),Teachers[],MOD(COLUMN(Y75),6)+1)))),1,0)</f>
        <v>0</v>
      </c>
      <c r="AC75" s="6">
        <f>IF(AND(frame($C75,$D75,AA$8),NOT(frame($C75,$D75,VLOOKUP(VLOOKUP(AC$26,FT[],9),Teachers[],MOD(COLUMN(Z75),6)+1)))),1,0)</f>
        <v>0</v>
      </c>
      <c r="AD75" s="6">
        <f>IF(AND(frame($C75,$D75,AB$8),NOT(frame($C75,$D75,VLOOKUP(VLOOKUP(AD$26,FT[],9),Teachers[],MOD(COLUMN(AA75),6)+1)))),1,0)</f>
        <v>0</v>
      </c>
      <c r="AE75" s="6">
        <f>IF(AND(frame($C75,$D75,AC$8),NOT(frame($C75,$D75,VLOOKUP(VLOOKUP(AE$26,FT[],9),Teachers[],MOD(COLUMN(AB75),6)+1)))),1,0)</f>
        <v>0</v>
      </c>
      <c r="AF75" s="6">
        <f>IF(AND(frame($C75,$D75,AD$8),NOT(frame($C75,$D75,VLOOKUP(VLOOKUP(AF$26,FT[],9),Teachers[],MOD(COLUMN(AC75),6)+1)))),1,0)</f>
        <v>0</v>
      </c>
      <c r="AG75" s="6">
        <f>IF(AND(frame($C75,$D75,AE$8),NOT(frame($C75,$D75,VLOOKUP(VLOOKUP(AG$26,FT[],9),Teachers[],MOD(COLUMN(AD75),6)+1)))),1,0)</f>
        <v>0</v>
      </c>
      <c r="AH75" s="6">
        <f>IF(AND(frame($C75,$D75,AF$8),NOT(frame($C75,$D75,VLOOKUP(VLOOKUP(AH$26,FT[],9),Teachers[],MOD(COLUMN(AE75),6)+1)))),1,0)</f>
        <v>0</v>
      </c>
      <c r="AI75" s="6">
        <f>IF(AND(frame($C75,$D75,AG$8),NOT(frame($C75,$D75,VLOOKUP(VLOOKUP(AI$26,FT[],9),Teachers[],MOD(COLUMN(AF75),6)+1)))),1,0)</f>
        <v>0</v>
      </c>
      <c r="AJ75" s="6">
        <f>IF(AND(frame($C75,$D75,AH$8),NOT(frame($C75,$D75,VLOOKUP(VLOOKUP(AJ$26,FT[],9),Teachers[],MOD(COLUMN(AG75),6)+1)))),1,0)</f>
        <v>0</v>
      </c>
      <c r="AK75" s="6">
        <f>IF(AND(frame($C75,$D75,AI$8),NOT(frame($C75,$D75,VLOOKUP(VLOOKUP(AK$26,FT[],9),Teachers[],MOD(COLUMN(AH75),6)+1)))),1,0)</f>
        <v>0</v>
      </c>
      <c r="AL75" s="6">
        <f>IF(AND(frame($C75,$D75,AJ$8),NOT(frame($C75,$D75,VLOOKUP(VLOOKUP(AL$26,FT[],9),Teachers[],MOD(COLUMN(AI75),6)+1)))),1,0)</f>
        <v>0</v>
      </c>
      <c r="AM75" s="6">
        <f>IF(AND(frame($C75,$D75,AK$8),NOT(frame($C75,$D75,VLOOKUP(VLOOKUP(AM$26,FT[],9),Teachers[],MOD(COLUMN(AJ75),6)+1)))),1,0)</f>
        <v>0</v>
      </c>
      <c r="AN75" s="6">
        <f>IF(AND(frame($C75,$D75,AL$8),NOT(frame($C75,$D75,VLOOKUP(VLOOKUP(AN$26,FT[],9),Teachers[],MOD(COLUMN(AK75),6)+1)))),1,0)</f>
        <v>0</v>
      </c>
      <c r="AO75" s="6">
        <f>IF(AND(frame($C75,$D75,AM$8),NOT(frame($C75,$D75,VLOOKUP(VLOOKUP(AO$26,FT[],9),Teachers[],MOD(COLUMN(AL75),6)+1)))),1,0)</f>
        <v>0</v>
      </c>
      <c r="AP75" s="66">
        <f t="shared" si="11"/>
        <v>0</v>
      </c>
      <c r="AQ75" s="6">
        <f>IF(AND(frame($C75,$D75,AO$8),NOT(frame($C75,$D75,VLOOKUP(VLOOKUP(AQ$26,FT[],9),Teachers[],MOD(COLUMN(AN75),6)+1)))),1,0)</f>
        <v>0</v>
      </c>
      <c r="AR75" s="6">
        <f>IF(AND(frame($C75,$D75,AP$8),NOT(frame($C75,$D75,VLOOKUP(VLOOKUP(AR$26,FT[],9),Teachers[],MOD(COLUMN(AO75),6)+1)))),1,0)</f>
        <v>0</v>
      </c>
      <c r="AS75" s="6">
        <f>IF(AND(frame($C75,$D75,AQ$8),NOT(frame($C75,$D75,VLOOKUP(VLOOKUP(AS$26,FT[],9),Teachers[],MOD(COLUMN(AP75),6)+1)))),1,0)</f>
        <v>0</v>
      </c>
      <c r="AT75" s="6">
        <f>IF(AND(frame($C75,$D75,AR$8),NOT(frame($C75,$D75,VLOOKUP(VLOOKUP(AT$26,FT[],9),Teachers[],MOD(COLUMN(AQ75),6)+1)))),1,0)</f>
        <v>0</v>
      </c>
      <c r="AU75" s="6">
        <f>IF(AND(frame($C75,$D75,AS$8),NOT(frame($C75,$D75,VLOOKUP(VLOOKUP(AU$26,FT[],9),Teachers[],MOD(COLUMN(AR75),6)+1)))),1,0)</f>
        <v>0</v>
      </c>
      <c r="AV75" s="6">
        <f>IF(AND(frame($C75,$D75,AT$8),NOT(frame($C75,$D75,VLOOKUP(VLOOKUP(AV$26,FT[],9),Teachers[],MOD(COLUMN(AS75),6)+1)))),1,0)</f>
        <v>0</v>
      </c>
      <c r="AW75" s="6">
        <f>IF(AND(frame($C75,$D75,AU$8),NOT(frame($C75,$D75,VLOOKUP(VLOOKUP(AW$26,FT[],9),Teachers[],MOD(COLUMN(AT75),6)+1)))),1,0)</f>
        <v>0</v>
      </c>
      <c r="AX75" s="6">
        <f>IF(AND(frame($C75,$D75,AV$8),NOT(frame($C75,$D75,VLOOKUP(VLOOKUP(AX$26,FT[],9),Teachers[],MOD(COLUMN(AU75),6)+1)))),1,0)</f>
        <v>0</v>
      </c>
      <c r="AY75" s="6">
        <f>IF(AND(frame($C75,$D75,AW$8),NOT(frame($C75,$D75,VLOOKUP(VLOOKUP(AY$26,FT[],9),Teachers[],MOD(COLUMN(AV75),6)+1)))),1,0)</f>
        <v>0</v>
      </c>
      <c r="AZ75" s="6">
        <f>IF(AND(frame($C75,$D75,AX$8),NOT(frame($C75,$D75,VLOOKUP(VLOOKUP(AZ$26,FT[],9),Teachers[],MOD(COLUMN(AW75),6)+1)))),1,0)</f>
        <v>0</v>
      </c>
      <c r="BA75" s="6">
        <f>IF(AND(frame($C75,$D75,AY$8),NOT(frame($C75,$D75,VLOOKUP(VLOOKUP(BA$26,FT[],9),Teachers[],MOD(COLUMN(AX75),6)+1)))),1,0)</f>
        <v>0</v>
      </c>
      <c r="BB75" s="6">
        <f>IF(AND(frame($C75,$D75,AZ$8),NOT(frame($C75,$D75,VLOOKUP(VLOOKUP(BB$26,FT[],9),Teachers[],MOD(COLUMN(AY75),6)+1)))),1,0)</f>
        <v>0</v>
      </c>
      <c r="BC75" s="6">
        <f>IF(AND(frame($C75,$D75,BA$8),NOT(frame($C75,$D75,VLOOKUP(VLOOKUP(BC$26,FT[],9),Teachers[],MOD(COLUMN(AZ75),6)+1)))),1,0)</f>
        <v>0</v>
      </c>
      <c r="BD75" s="6">
        <f>IF(AND(frame($C75,$D75,BB$8),NOT(frame($C75,$D75,VLOOKUP(VLOOKUP(BD$26,FT[],9),Teachers[],MOD(COLUMN(BA75),6)+1)))),1,0)</f>
        <v>0</v>
      </c>
      <c r="BE75" s="6">
        <f>IF(AND(frame($C75,$D75,BC$8),NOT(frame($C75,$D75,VLOOKUP(VLOOKUP(BE$26,FT[],9),Teachers[],MOD(COLUMN(BB75),6)+1)))),1,0)</f>
        <v>0</v>
      </c>
      <c r="BF75" s="6">
        <f>IF(AND(frame($C75,$D75,BD$8),NOT(frame($C75,$D75,VLOOKUP(VLOOKUP(BF$26,FT[],9),Teachers[],MOD(COLUMN(BC75),6)+1)))),1,0)</f>
        <v>0</v>
      </c>
      <c r="BG75" s="6">
        <f>IF(AND(frame($C75,$D75,BE$8),NOT(frame($C75,$D75,VLOOKUP(VLOOKUP(BG$26,FT[],9),Teachers[],MOD(COLUMN(BD75),6)+1)))),1,0)</f>
        <v>0</v>
      </c>
      <c r="BH75" s="6">
        <f>IF(AND(frame($C75,$D75,BF$8),NOT(frame($C75,$D75,VLOOKUP(VLOOKUP(BH$26,FT[],9),Teachers[],MOD(COLUMN(BE75),6)+1)))),1,0)</f>
        <v>0</v>
      </c>
      <c r="BI75" s="6">
        <f>IF(AND(frame($C75,$D75,BG$8),NOT(frame($C75,$D75,VLOOKUP(VLOOKUP(BI$26,FT[],9),Teachers[],MOD(COLUMN(BF75),6)+1)))),1,0)</f>
        <v>0</v>
      </c>
      <c r="BJ75" s="6">
        <f>IF(AND(frame($C75,$D75,BH$8),NOT(frame($C75,$D75,VLOOKUP(VLOOKUP(BJ$26,FT[],9),Teachers[],MOD(COLUMN(BG75),6)+1)))),1,0)</f>
        <v>0</v>
      </c>
      <c r="BK75" s="6">
        <f>IF(AND(frame($C75,$D75,BI$8),NOT(frame($C75,$D75,VLOOKUP(VLOOKUP(BK$26,FT[],9),Teachers[],MOD(COLUMN(BH75),6)+1)))),1,0)</f>
        <v>0</v>
      </c>
      <c r="BL75" s="6">
        <f>IF(AND(frame($C75,$D75,BJ$8),NOT(frame($C75,$D75,VLOOKUP(VLOOKUP(BL$26,FT[],9),Teachers[],MOD(COLUMN(BI75),6)+1)))),1,0)</f>
        <v>0</v>
      </c>
    </row>
    <row r="76" spans="2:64" ht="15.75" thickBot="1">
      <c r="B76" s="1">
        <v>49</v>
      </c>
      <c r="C76" s="9">
        <v>0.82291666666666641</v>
      </c>
      <c r="D76" s="9">
        <v>0.85416666666666641</v>
      </c>
      <c r="E76" s="6" t="e">
        <f ca="1">frame(СВ[[#This Row],[49]],СВ[[#This Row],[Столбец1]],C55,C69)</f>
        <v>#NAME?</v>
      </c>
      <c r="F76" s="6">
        <f>IF(AND(frame($C76,$D76,D$7),NOT(frame($C76,$D76,VLOOKUP(VLOOKUP(F$26,FT[],9),Teachers[],MOD(COLUMN(B76),6)+1)))),1,0)</f>
        <v>0</v>
      </c>
      <c r="G76" s="6">
        <f>IF(AND(frame($C76,$D76,E$7),NOT(frame($C76,$D76,VLOOKUP(VLOOKUP(G$26,FT[],9),Teachers[],MOD(COLUMN(C76),6)+1)))),1,0)</f>
        <v>0</v>
      </c>
      <c r="H76" s="6">
        <f>IF(AND(frame($C76,$D76,F$7),NOT(frame($C76,$D76,VLOOKUP(VLOOKUP(H$26,FT[],9),Teachers[],MOD(COLUMN(D76),6)+1)))),1,0)</f>
        <v>0</v>
      </c>
      <c r="I76" s="6" t="e">
        <f ca="1">IF(AND(frame($C76,$D76,G$7),NOT(frame($C76,$D76,VLOOKUP(VLOOKUP(I$26,FT[],9),Teachers[],MOD(COLUMN(E76),6)+1)))),1,0)</f>
        <v>#NAME?</v>
      </c>
      <c r="J76" s="6">
        <f>IF(AND(frame($C76,$D76,H$7),NOT(frame($C76,$D76,VLOOKUP(VLOOKUP(J$26,FT[],9),Teachers[],MOD(COLUMN(F76),6)+1)))),1,0)</f>
        <v>0</v>
      </c>
      <c r="K76" s="6">
        <f>IF(AND(frame($C76,$D76,I$8),NOT(frame($C76,$D76,VLOOKUP(VLOOKUP(K$26,FT[],9),Teachers[],MOD(COLUMN(H76),6)+1)))),1,0)</f>
        <v>0</v>
      </c>
      <c r="L76" s="1">
        <f t="shared" si="9"/>
        <v>0</v>
      </c>
      <c r="M76" s="6">
        <f>IF(AND(frame($C76,$D76,K$8),NOT(frame($C76,$D76,VLOOKUP(VLOOKUP(M$26,FT[],9),Teachers[],MOD(COLUMN(J76),6)+1)))),1,0)</f>
        <v>0</v>
      </c>
      <c r="N76" s="6">
        <f>IF(AND(frame($C76,$D76,L$8),NOT(frame($C76,$D76,VLOOKUP(VLOOKUP(N$26,FT[],9),Teachers[],MOD(COLUMN(K76),6)+1)))),1,0)</f>
        <v>0</v>
      </c>
      <c r="O76" s="6">
        <f>IF(AND(frame($C76,$D76,M$8),NOT(frame($C76,$D76,VLOOKUP(VLOOKUP(O$26,FT[],9),Teachers[],MOD(COLUMN(L76),6)+1)))),1,0)</f>
        <v>0</v>
      </c>
      <c r="P76" s="6">
        <f>IF(AND(frame($C76,$D76,N$8),NOT(frame($C76,$D76,VLOOKUP(VLOOKUP(P$26,FT[],9),Teachers[],MOD(COLUMN(M76),6)+1)))),1,0)</f>
        <v>0</v>
      </c>
      <c r="Q76" s="6">
        <f>IF(AND(frame($C76,$D76,O$8),NOT(frame($C76,$D76,VLOOKUP(VLOOKUP(Q$26,FT[],9),Teachers[],MOD(COLUMN(N76),6)+1)))),1,0)</f>
        <v>0</v>
      </c>
      <c r="R76" s="65">
        <f t="shared" si="10"/>
        <v>0</v>
      </c>
      <c r="S76" s="6">
        <f>IF(AND(frame($C76,$D76,Q$8),NOT(frame($C76,$D76,VLOOKUP(VLOOKUP(S$26,FT[],9),Teachers[],MOD(COLUMN(P76),6)+1)))),1,0)</f>
        <v>0</v>
      </c>
      <c r="T76" s="6">
        <f>IF(AND(frame($C76,$D76,R$8),NOT(frame($C76,$D76,VLOOKUP(VLOOKUP(T$26,FT[],9),Teachers[],MOD(COLUMN(Q76),6)+1)))),1,0)</f>
        <v>0</v>
      </c>
      <c r="U76" s="6">
        <f>IF(AND(frame($C76,$D76,S$8),NOT(frame($C76,$D76,VLOOKUP(VLOOKUP(U$26,FT[],9),Teachers[],MOD(COLUMN(R76),6)+1)))),1,0)</f>
        <v>0</v>
      </c>
      <c r="V76" s="6">
        <f>IF(AND(frame($C76,$D76,T$8),NOT(frame($C76,$D76,VLOOKUP(VLOOKUP(V$26,FT[],9),Teachers[],MOD(COLUMN(S76),6)+1)))),1,0)</f>
        <v>0</v>
      </c>
      <c r="W76" s="6">
        <f>IF(AND(frame($C76,$D76,U$8),NOT(frame($C76,$D76,VLOOKUP(VLOOKUP(W$26,FT[],9),Teachers[],MOD(COLUMN(T76),6)+1)))),1,0)</f>
        <v>0</v>
      </c>
      <c r="X76" s="6">
        <f>IF(AND(frame($C76,$D76,V$8),NOT(frame($C76,$D76,VLOOKUP(VLOOKUP(X$26,FT[],9),Teachers[],MOD(COLUMN(U76),6)+1)))),1,0)</f>
        <v>0</v>
      </c>
      <c r="Y76" s="6">
        <f>IF(AND(frame($C76,$D76,W$8),NOT(frame($C76,$D76,VLOOKUP(VLOOKUP(Y$26,FT[],9),Teachers[],MOD(COLUMN(V76),6)+1)))),1,0)</f>
        <v>0</v>
      </c>
      <c r="Z76" s="6">
        <f>IF(AND(frame($C76,$D76,X$8),NOT(frame($C76,$D76,VLOOKUP(VLOOKUP(Z$26,FT[],9),Teachers[],MOD(COLUMN(W76),6)+1)))),1,0)</f>
        <v>0</v>
      </c>
      <c r="AA76" s="6">
        <f>IF(AND(frame($C76,$D76,Y$8),NOT(frame($C76,$D76,VLOOKUP(VLOOKUP(AA$26,FT[],9),Teachers[],MOD(COLUMN(X76),6)+1)))),1,0)</f>
        <v>0</v>
      </c>
      <c r="AB76" s="6">
        <f>IF(AND(frame($C76,$D76,Z$8),NOT(frame($C76,$D76,VLOOKUP(VLOOKUP(AB$26,FT[],9),Teachers[],MOD(COLUMN(Y76),6)+1)))),1,0)</f>
        <v>0</v>
      </c>
      <c r="AC76" s="6">
        <f>IF(AND(frame($C76,$D76,AA$8),NOT(frame($C76,$D76,VLOOKUP(VLOOKUP(AC$26,FT[],9),Teachers[],MOD(COLUMN(Z76),6)+1)))),1,0)</f>
        <v>0</v>
      </c>
      <c r="AD76" s="6">
        <f>IF(AND(frame($C76,$D76,AB$8),NOT(frame($C76,$D76,VLOOKUP(VLOOKUP(AD$26,FT[],9),Teachers[],MOD(COLUMN(AA76),6)+1)))),1,0)</f>
        <v>0</v>
      </c>
      <c r="AE76" s="6">
        <f>IF(AND(frame($C76,$D76,AC$8),NOT(frame($C76,$D76,VLOOKUP(VLOOKUP(AE$26,FT[],9),Teachers[],MOD(COLUMN(AB76),6)+1)))),1,0)</f>
        <v>0</v>
      </c>
      <c r="AF76" s="6">
        <f>IF(AND(frame($C76,$D76,AD$8),NOT(frame($C76,$D76,VLOOKUP(VLOOKUP(AF$26,FT[],9),Teachers[],MOD(COLUMN(AC76),6)+1)))),1,0)</f>
        <v>0</v>
      </c>
      <c r="AG76" s="6">
        <f>IF(AND(frame($C76,$D76,AE$8),NOT(frame($C76,$D76,VLOOKUP(VLOOKUP(AG$26,FT[],9),Teachers[],MOD(COLUMN(AD76),6)+1)))),1,0)</f>
        <v>0</v>
      </c>
      <c r="AH76" s="6">
        <f>IF(AND(frame($C76,$D76,AF$8),NOT(frame($C76,$D76,VLOOKUP(VLOOKUP(AH$26,FT[],9),Teachers[],MOD(COLUMN(AE76),6)+1)))),1,0)</f>
        <v>0</v>
      </c>
      <c r="AI76" s="6">
        <f>IF(AND(frame($C76,$D76,AG$8),NOT(frame($C76,$D76,VLOOKUP(VLOOKUP(AI$26,FT[],9),Teachers[],MOD(COLUMN(AF76),6)+1)))),1,0)</f>
        <v>0</v>
      </c>
      <c r="AJ76" s="6">
        <f>IF(AND(frame($C76,$D76,AH$8),NOT(frame($C76,$D76,VLOOKUP(VLOOKUP(AJ$26,FT[],9),Teachers[],MOD(COLUMN(AG76),6)+1)))),1,0)</f>
        <v>0</v>
      </c>
      <c r="AK76" s="6">
        <f>IF(AND(frame($C76,$D76,AI$8),NOT(frame($C76,$D76,VLOOKUP(VLOOKUP(AK$26,FT[],9),Teachers[],MOD(COLUMN(AH76),6)+1)))),1,0)</f>
        <v>0</v>
      </c>
      <c r="AL76" s="6">
        <f>IF(AND(frame($C76,$D76,AJ$8),NOT(frame($C76,$D76,VLOOKUP(VLOOKUP(AL$26,FT[],9),Teachers[],MOD(COLUMN(AI76),6)+1)))),1,0)</f>
        <v>0</v>
      </c>
      <c r="AM76" s="6">
        <f>IF(AND(frame($C76,$D76,AK$8),NOT(frame($C76,$D76,VLOOKUP(VLOOKUP(AM$26,FT[],9),Teachers[],MOD(COLUMN(AJ76),6)+1)))),1,0)</f>
        <v>0</v>
      </c>
      <c r="AN76" s="6">
        <f>IF(AND(frame($C76,$D76,AL$8),NOT(frame($C76,$D76,VLOOKUP(VLOOKUP(AN$26,FT[],9),Teachers[],MOD(COLUMN(AK76),6)+1)))),1,0)</f>
        <v>0</v>
      </c>
      <c r="AO76" s="6">
        <f>IF(AND(frame($C76,$D76,AM$8),NOT(frame($C76,$D76,VLOOKUP(VLOOKUP(AO$26,FT[],9),Teachers[],MOD(COLUMN(AL76),6)+1)))),1,0)</f>
        <v>0</v>
      </c>
      <c r="AP76" s="66">
        <f t="shared" si="11"/>
        <v>0</v>
      </c>
      <c r="AQ76" s="6">
        <f>IF(AND(frame($C76,$D76,AO$8),NOT(frame($C76,$D76,VLOOKUP(VLOOKUP(AQ$26,FT[],9),Teachers[],MOD(COLUMN(AN76),6)+1)))),1,0)</f>
        <v>0</v>
      </c>
      <c r="AR76" s="6">
        <f>IF(AND(frame($C76,$D76,AP$8),NOT(frame($C76,$D76,VLOOKUP(VLOOKUP(AR$26,FT[],9),Teachers[],MOD(COLUMN(AO76),6)+1)))),1,0)</f>
        <v>0</v>
      </c>
      <c r="AS76" s="6">
        <f>IF(AND(frame($C76,$D76,AQ$8),NOT(frame($C76,$D76,VLOOKUP(VLOOKUP(AS$26,FT[],9),Teachers[],MOD(COLUMN(AP76),6)+1)))),1,0)</f>
        <v>0</v>
      </c>
      <c r="AT76" s="6">
        <f>IF(AND(frame($C76,$D76,AR$8),NOT(frame($C76,$D76,VLOOKUP(VLOOKUP(AT$26,FT[],9),Teachers[],MOD(COLUMN(AQ76),6)+1)))),1,0)</f>
        <v>0</v>
      </c>
      <c r="AU76" s="6">
        <f>IF(AND(frame($C76,$D76,AS$8),NOT(frame($C76,$D76,VLOOKUP(VLOOKUP(AU$26,FT[],9),Teachers[],MOD(COLUMN(AR76),6)+1)))),1,0)</f>
        <v>0</v>
      </c>
      <c r="AV76" s="6">
        <f>IF(AND(frame($C76,$D76,AT$8),NOT(frame($C76,$D76,VLOOKUP(VLOOKUP(AV$26,FT[],9),Teachers[],MOD(COLUMN(AS76),6)+1)))),1,0)</f>
        <v>0</v>
      </c>
      <c r="AW76" s="6">
        <f>IF(AND(frame($C76,$D76,AU$8),NOT(frame($C76,$D76,VLOOKUP(VLOOKUP(AW$26,FT[],9),Teachers[],MOD(COLUMN(AT76),6)+1)))),1,0)</f>
        <v>0</v>
      </c>
      <c r="AX76" s="6">
        <f>IF(AND(frame($C76,$D76,AV$8),NOT(frame($C76,$D76,VLOOKUP(VLOOKUP(AX$26,FT[],9),Teachers[],MOD(COLUMN(AU76),6)+1)))),1,0)</f>
        <v>0</v>
      </c>
      <c r="AY76" s="6">
        <f>IF(AND(frame($C76,$D76,AW$8),NOT(frame($C76,$D76,VLOOKUP(VLOOKUP(AY$26,FT[],9),Teachers[],MOD(COLUMN(AV76),6)+1)))),1,0)</f>
        <v>0</v>
      </c>
      <c r="AZ76" s="6">
        <f>IF(AND(frame($C76,$D76,AX$8),NOT(frame($C76,$D76,VLOOKUP(VLOOKUP(AZ$26,FT[],9),Teachers[],MOD(COLUMN(AW76),6)+1)))),1,0)</f>
        <v>0</v>
      </c>
      <c r="BA76" s="6">
        <f>IF(AND(frame($C76,$D76,AY$8),NOT(frame($C76,$D76,VLOOKUP(VLOOKUP(BA$26,FT[],9),Teachers[],MOD(COLUMN(AX76),6)+1)))),1,0)</f>
        <v>0</v>
      </c>
      <c r="BB76" s="6">
        <f>IF(AND(frame($C76,$D76,AZ$8),NOT(frame($C76,$D76,VLOOKUP(VLOOKUP(BB$26,FT[],9),Teachers[],MOD(COLUMN(AY76),6)+1)))),1,0)</f>
        <v>0</v>
      </c>
      <c r="BC76" s="6">
        <f>IF(AND(frame($C76,$D76,BA$8),NOT(frame($C76,$D76,VLOOKUP(VLOOKUP(BC$26,FT[],9),Teachers[],MOD(COLUMN(AZ76),6)+1)))),1,0)</f>
        <v>0</v>
      </c>
      <c r="BD76" s="6">
        <f>IF(AND(frame($C76,$D76,BB$8),NOT(frame($C76,$D76,VLOOKUP(VLOOKUP(BD$26,FT[],9),Teachers[],MOD(COLUMN(BA76),6)+1)))),1,0)</f>
        <v>0</v>
      </c>
      <c r="BE76" s="6">
        <f>IF(AND(frame($C76,$D76,BC$8),NOT(frame($C76,$D76,VLOOKUP(VLOOKUP(BE$26,FT[],9),Teachers[],MOD(COLUMN(BB76),6)+1)))),1,0)</f>
        <v>0</v>
      </c>
      <c r="BF76" s="6">
        <f>IF(AND(frame($C76,$D76,BD$8),NOT(frame($C76,$D76,VLOOKUP(VLOOKUP(BF$26,FT[],9),Teachers[],MOD(COLUMN(BC76),6)+1)))),1,0)</f>
        <v>0</v>
      </c>
      <c r="BG76" s="6">
        <f>IF(AND(frame($C76,$D76,BE$8),NOT(frame($C76,$D76,VLOOKUP(VLOOKUP(BG$26,FT[],9),Teachers[],MOD(COLUMN(BD76),6)+1)))),1,0)</f>
        <v>0</v>
      </c>
      <c r="BH76" s="6">
        <f>IF(AND(frame($C76,$D76,BF$8),NOT(frame($C76,$D76,VLOOKUP(VLOOKUP(BH$26,FT[],9),Teachers[],MOD(COLUMN(BE76),6)+1)))),1,0)</f>
        <v>0</v>
      </c>
      <c r="BI76" s="6">
        <f>IF(AND(frame($C76,$D76,BG$8),NOT(frame($C76,$D76,VLOOKUP(VLOOKUP(BI$26,FT[],9),Teachers[],MOD(COLUMN(BF76),6)+1)))),1,0)</f>
        <v>0</v>
      </c>
      <c r="BJ76" s="6">
        <f>IF(AND(frame($C76,$D76,BH$8),NOT(frame($C76,$D76,VLOOKUP(VLOOKUP(BJ$26,FT[],9),Teachers[],MOD(COLUMN(BG76),6)+1)))),1,0)</f>
        <v>0</v>
      </c>
      <c r="BK76" s="6">
        <f>IF(AND(frame($C76,$D76,BI$8),NOT(frame($C76,$D76,VLOOKUP(VLOOKUP(BK$26,FT[],9),Teachers[],MOD(COLUMN(BH76),6)+1)))),1,0)</f>
        <v>0</v>
      </c>
      <c r="BL76" s="6">
        <f>IF(AND(frame($C76,$D76,BJ$8),NOT(frame($C76,$D76,VLOOKUP(VLOOKUP(BL$26,FT[],9),Teachers[],MOD(COLUMN(BI76),6)+1)))),1,0)</f>
        <v>0</v>
      </c>
    </row>
    <row r="112" ht="15.75" thickBot="1"/>
    <row r="113" spans="3:27" ht="15.75" thickBot="1"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3:27" ht="15.75" thickBot="1"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3:27" ht="15.75" thickBot="1">
      <c r="C115" s="10">
        <v>4.1666666666666664E-2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3:27" ht="15.75" thickBot="1"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3:27" ht="15.75" thickBot="1"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3:27" ht="15.75" thickBot="1"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3:27" ht="15.75" thickBot="1"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3:27" ht="15.75" thickBot="1"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3:27" ht="15.75" thickBot="1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3:27" ht="15.75" thickBot="1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3:27" ht="15.75" thickBot="1"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3:27" ht="15.75" thickBot="1"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3:27" ht="15.75" thickBot="1"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3:27" ht="15.75" thickBot="1"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3:27" ht="15.75" thickBot="1"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3:27" ht="15.75" thickBot="1"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5:27" ht="15.75" thickBot="1"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5:27" ht="15.75" thickBot="1"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5:27" ht="15.75" thickBot="1"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5:27" ht="15.75" thickBot="1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5:27" ht="15.75" thickBot="1"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5:27" ht="15.75" thickBot="1"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5:27" ht="15.75" thickBot="1"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5:27" ht="15.75" thickBot="1"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5:27" ht="15.75" thickBot="1"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5:27" ht="15.75" thickBot="1"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5:27" ht="15.75" thickBot="1"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5:27" ht="15.75" thickBot="1"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5:27" ht="15.75" thickBot="1"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5:27" ht="15.75" thickBot="1"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5:27" ht="15.75" thickBot="1"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5:27" ht="15.75" thickBot="1"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5:27" ht="15.75" thickBot="1"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5:27" ht="15.75" thickBot="1"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5:27" ht="15.75" thickBot="1"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5:27" ht="15.75" thickBot="1"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5:27" ht="15.75" thickBot="1"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5:27" ht="15.75" thickBot="1"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5:27" ht="15.75" thickBot="1"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5:27" ht="15.75" thickBot="1"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5:27" ht="15.75" thickBot="1"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5:27" ht="15.75" thickBot="1"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5:27" ht="15.75" thickBot="1"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5:27" ht="15.75" thickBot="1"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5:27" ht="15.75" thickBot="1"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5:27" ht="15.75" thickBot="1"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5:27" ht="15.75" thickBot="1"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5:27" ht="15.75" thickBot="1"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5:27" ht="15.75" thickBot="1"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5:27" ht="15.75" thickBot="1"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5:27" ht="15.75" thickBot="1"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5:27" ht="15.75" thickBot="1"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5:27" ht="15.75" thickBot="1"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5:27" ht="15.75" thickBot="1"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5:27" ht="15.75" thickBot="1"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5:27" ht="15.75" thickBot="1"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5:27" ht="15.75" thickBot="1"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5:27" ht="15.75" thickBot="1"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5:27" ht="15.75" thickBot="1"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5:27" ht="15.75" thickBot="1"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5:27" ht="15.75" thickBot="1"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5:27" ht="15.75" thickBot="1"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5:27" ht="15.75" thickBot="1"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5:27" ht="15.75" thickBot="1"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5:27" ht="15.75" thickBot="1"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5:27" ht="15.75" thickBot="1"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5:27" ht="15.75" thickBot="1"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5:27" ht="15.75" thickBot="1"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5:27" ht="15.75" thickBot="1"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5:27" ht="15.75" thickBot="1"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5:27" ht="15.75" thickBot="1"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5:27" ht="15.75" thickBot="1"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5:27" ht="15.75" thickBot="1"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5:27" ht="15.75" thickBot="1"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5:27" ht="15.75" thickBot="1"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5:27" ht="15.75" thickBot="1"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5:27" ht="15.75" thickBot="1"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5:27" ht="15.75" thickBot="1"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5:27" ht="15.75" thickBot="1"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5:27" ht="15.75" thickBot="1"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2:27" ht="15.75" thickBot="1"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2:27" ht="15.75" thickBot="1"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2:27" ht="15.75" thickBot="1"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2:27" ht="15.75" thickBot="1"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2:27" ht="15.75" thickBot="1"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2:27" ht="15.75" thickBot="1"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2:27" ht="15.75" thickBot="1"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2:27" ht="15.75" thickBot="1"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2:27" ht="15.75" thickBot="1"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2:27" ht="15.75" thickBot="1"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2:27" ht="15.75" thickBot="1"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2:27" ht="15.75" thickBot="1">
      <c r="B204" s="1"/>
      <c r="C204" s="9"/>
      <c r="D204" s="9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2:27" ht="15.75" thickBot="1">
      <c r="B205" s="1"/>
      <c r="C205" s="9"/>
      <c r="D205" s="9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2:27" ht="15.75" thickBot="1">
      <c r="B206" s="1"/>
      <c r="C206" s="9"/>
      <c r="D206" s="9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2:27" ht="15.75" thickBot="1">
      <c r="B207" s="1"/>
      <c r="C207" s="9"/>
      <c r="D207" s="9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2:27" ht="15.75" thickBot="1">
      <c r="B208" s="1"/>
      <c r="C208" s="9"/>
      <c r="D208" s="9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2:27" ht="15.75" thickBot="1">
      <c r="B209" s="1"/>
      <c r="C209" s="9"/>
      <c r="D209" s="9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2:27" ht="15.75" thickBot="1">
      <c r="B210" s="1"/>
      <c r="C210" s="9"/>
      <c r="D210" s="9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2:27" ht="15.75" thickBot="1">
      <c r="B211" s="1"/>
      <c r="C211" s="9"/>
      <c r="D211" s="9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2:27" ht="15.75" thickBot="1">
      <c r="B212" s="1"/>
      <c r="C212" s="9"/>
      <c r="D212" s="9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2:27" ht="15.75" thickBot="1">
      <c r="B213" s="1"/>
      <c r="C213" s="9"/>
      <c r="D213" s="9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2:27" ht="15.75" thickBot="1">
      <c r="B214" s="1"/>
      <c r="C214" s="9"/>
      <c r="D214" s="9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2:27" ht="15.75" thickBot="1">
      <c r="B215" s="1"/>
      <c r="C215" s="9"/>
      <c r="D215" s="9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2:27" ht="15.75" thickBot="1">
      <c r="B216" s="1"/>
      <c r="C216" s="9"/>
      <c r="D216" s="9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2:27" ht="15.75" thickBot="1">
      <c r="B217" s="1"/>
      <c r="C217" s="9"/>
      <c r="D217" s="9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2:27" ht="15.75" thickBot="1">
      <c r="B218" s="1"/>
      <c r="C218" s="9"/>
      <c r="D218" s="9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2:27" ht="15.75" thickBot="1">
      <c r="B219" s="1"/>
      <c r="C219" s="9"/>
      <c r="D219" s="9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2:27" ht="15.75" thickBot="1">
      <c r="B220" s="1"/>
      <c r="C220" s="9"/>
      <c r="D220" s="9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2:27" ht="15.75" thickBot="1">
      <c r="B221" s="1"/>
      <c r="C221" s="9"/>
      <c r="D221" s="9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2:27" ht="15.75" thickBot="1">
      <c r="B222" s="1"/>
      <c r="C222" s="9"/>
      <c r="D222" s="9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2:27" ht="15.75" thickBot="1">
      <c r="B223" s="1"/>
      <c r="C223" s="9"/>
      <c r="D223" s="9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2:27" ht="15.75" thickBot="1">
      <c r="B224" s="1"/>
      <c r="C224" s="9"/>
      <c r="D224" s="9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2:27" ht="15.75" thickBot="1">
      <c r="B225" s="1"/>
      <c r="C225" s="9"/>
      <c r="D225" s="9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2:27" ht="15.75" thickBot="1">
      <c r="B226" s="1"/>
      <c r="C226" s="9"/>
      <c r="D226" s="9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2:27" ht="15.75" thickBot="1">
      <c r="B227" s="1"/>
      <c r="C227" s="9"/>
      <c r="D227" s="9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2:27" ht="15.75" thickBot="1">
      <c r="B228" s="1"/>
      <c r="C228" s="9"/>
      <c r="D228" s="9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2:27" ht="15.75" thickBot="1">
      <c r="B229" s="1"/>
      <c r="C229" s="9"/>
      <c r="D229" s="9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2:27" ht="15.75" thickBot="1">
      <c r="B230" s="1"/>
      <c r="C230" s="9"/>
      <c r="D230" s="9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2:27" ht="15.75" thickBot="1">
      <c r="B231" s="1"/>
      <c r="C231" s="9"/>
      <c r="D231" s="9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2:27" ht="15.75" thickBot="1">
      <c r="B232" s="1"/>
      <c r="C232" s="9"/>
      <c r="D232" s="9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2:27" ht="15.75" thickBot="1">
      <c r="B233" s="1"/>
      <c r="C233" s="9"/>
      <c r="D233" s="9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2:27" ht="15.75" thickBot="1">
      <c r="B234" s="1"/>
      <c r="C234" s="9"/>
      <c r="D234" s="9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2:27" ht="15.75" thickBot="1">
      <c r="B235" s="1"/>
      <c r="C235" s="9"/>
      <c r="D235" s="9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2:27" ht="15.75" thickBot="1">
      <c r="B236" s="1"/>
      <c r="C236" s="9"/>
      <c r="D236" s="9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2:27" ht="15.75" thickBot="1">
      <c r="B237" s="1"/>
      <c r="C237" s="9"/>
      <c r="D237" s="9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2:27" ht="15.75" thickBot="1">
      <c r="B238" s="1"/>
      <c r="C238" s="9"/>
      <c r="D238" s="9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2:27" ht="15.75" thickBot="1">
      <c r="B239" s="1"/>
      <c r="C239" s="9"/>
      <c r="D239" s="9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2:27" ht="15.75" thickBot="1">
      <c r="B240" s="1"/>
      <c r="C240" s="9"/>
      <c r="D240" s="9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2:27" ht="15.75" thickBot="1">
      <c r="B241" s="1"/>
      <c r="C241" s="9"/>
      <c r="D241" s="9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2:27" ht="15.75" thickBot="1">
      <c r="B242" s="1"/>
      <c r="C242" s="9"/>
      <c r="D242" s="9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2:27" ht="15.75" thickBot="1">
      <c r="B243" s="1"/>
      <c r="C243" s="9"/>
      <c r="D243" s="9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2:27" ht="15.75" thickBot="1">
      <c r="B244" s="1"/>
      <c r="C244" s="9"/>
      <c r="D244" s="9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2:27" ht="15.75" thickBot="1">
      <c r="B245" s="1"/>
      <c r="C245" s="9"/>
      <c r="D245" s="9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2:27" ht="15.75" thickBot="1">
      <c r="B246" s="1"/>
      <c r="C246" s="9"/>
      <c r="D246" s="9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2:27" ht="15.75" thickBot="1">
      <c r="B247" s="1"/>
      <c r="C247" s="9"/>
      <c r="D247" s="9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2:27" ht="15.75" thickBot="1">
      <c r="B248" s="1"/>
      <c r="C248" s="9"/>
      <c r="D248" s="9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2:27" ht="15.75" thickBot="1">
      <c r="B249" s="1"/>
      <c r="C249" s="9"/>
      <c r="D249" s="9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2:27" ht="15.75" thickBot="1">
      <c r="B250" s="1"/>
      <c r="C250" s="9"/>
      <c r="D250" s="9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2:27" ht="15.75" thickBot="1">
      <c r="B251" s="1"/>
      <c r="C251" s="9"/>
      <c r="D251" s="9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2:27" ht="15.75" thickBot="1">
      <c r="B252" s="1"/>
      <c r="C252" s="9"/>
      <c r="D252" s="9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2:27" ht="15.75" thickBot="1">
      <c r="B253" s="1"/>
      <c r="C253" s="9"/>
      <c r="D253" s="9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2:27" ht="15.75" thickBot="1">
      <c r="B254" s="1"/>
      <c r="C254" s="9"/>
      <c r="D254" s="9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2:27" ht="15.75" thickBot="1">
      <c r="B255" s="1"/>
      <c r="C255" s="9"/>
      <c r="D255" s="9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2:27" ht="15.75" thickBot="1">
      <c r="B256" s="1"/>
      <c r="C256" s="9"/>
      <c r="D256" s="9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2:27" ht="15.75" thickBot="1">
      <c r="B257" s="1"/>
      <c r="C257" s="9"/>
      <c r="D257" s="9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2:27" ht="15.75" thickBot="1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2:27" ht="15.75" thickBot="1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2:27" ht="15.75" thickBot="1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2:27" ht="15.75" thickBot="1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2:27" ht="15.75" thickBot="1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2:27" ht="15.75" thickBot="1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2:27" ht="15.75" thickBot="1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2:27" ht="15.75" thickBot="1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2:27" ht="15.75" thickBot="1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2:27" ht="15.75" thickBot="1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2:27" ht="15.75" thickBot="1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2:27" ht="15.75" thickBot="1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2:27" ht="15.75" thickBot="1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2:27" ht="15.75" thickBot="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2:27" ht="15.75" thickBot="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2:27" ht="15.75" thickBot="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2:27" ht="15.75" thickBot="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2:27" ht="15.75" thickBot="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2:27" ht="15.75" thickBot="1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2:27" ht="15.75" thickBot="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2:27" ht="15.75" thickBot="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2:27" ht="15.75" thickBot="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2:27" ht="15.75" thickBot="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2:27" ht="15.75" thickBot="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2:27" ht="15.75" thickBot="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2:27" ht="15.75" thickBot="1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2:27" ht="15.75" thickBot="1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2:27" ht="15.75" thickBot="1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2:27" ht="15.75" thickBot="1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2:27" ht="15.75" thickBot="1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2:27" ht="15.75" thickBot="1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2:27" ht="15.75" thickBot="1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2:27" ht="15.75" thickBot="1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2:27" ht="15.75" thickBot="1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2:27" ht="15.75" thickBot="1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2:27" ht="15.75" thickBot="1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2:27" ht="15.75" thickBot="1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2:27" ht="15.75" thickBot="1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2:27" ht="15.75" thickBot="1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2:27" ht="15.75" thickBot="1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2:27" ht="15.75" thickBot="1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2:27" ht="15.75" thickBot="1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2:27" ht="15.75" thickBot="1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2:27" ht="15.75" thickBot="1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2:27" ht="15.75" thickBot="1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2:27" ht="15.75" thickBot="1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2:27" ht="15.75" thickBot="1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2:27" ht="15.75" thickBot="1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2:27" ht="15.75" thickBot="1"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2:27" ht="15.75" thickBot="1"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2:27" ht="15.75" thickBot="1"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2:27" ht="15.75" thickBot="1"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2:27" ht="15.75" thickBot="1"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2:27" ht="15.75" thickBot="1"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2:27" ht="15.75" thickBot="1"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2:27" ht="15.75" thickBot="1"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2:27" ht="15.75" thickBot="1"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2:27" ht="15.75" thickBot="1"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2:27" ht="15.75" thickBot="1"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2:27" ht="15.75" thickBot="1"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2:27" ht="15.75" thickBot="1"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2:27" ht="15.75" thickBot="1"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2:27" ht="15.75" thickBot="1"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2:27" ht="15.75" thickBot="1"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2:27" ht="15.75" thickBot="1"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2:27" ht="15.75" thickBot="1"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2:27" ht="15.75" thickBot="1"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2:27" ht="15.75" thickBot="1"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2:27" ht="15.75" thickBot="1"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2:27" ht="15.75" thickBot="1"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2:27" ht="15.75" thickBot="1"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2:27" ht="15.75" thickBot="1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2:27" ht="15.75" thickBot="1"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2:27" ht="15.75" thickBot="1"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2:27" ht="15.75" thickBot="1"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2:27" ht="15.75" thickBot="1"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2:27" ht="15.75" thickBot="1"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2:27" ht="15.75" thickBot="1"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2:27" ht="15.75" thickBot="1"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2:27" ht="15.75" thickBot="1"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2:27" ht="15.75" thickBot="1"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2:27" ht="15.75" thickBot="1"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2:27" ht="15.75" thickBot="1"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2:27" ht="15.75" thickBot="1"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2:27" ht="15.75" thickBot="1"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2:27" ht="15.75" thickBot="1"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2:27" ht="15.75" thickBot="1"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2:27" ht="15.75" thickBot="1"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2:27" ht="15.75" thickBot="1"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2:27" ht="15.75" thickBot="1"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2:27" ht="15.75" thickBot="1"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2:27" ht="15.75" thickBot="1"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2:27" ht="15.75" thickBot="1"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2:27" ht="15.75" thickBot="1"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2:27" ht="15.75" thickBot="1"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2:27" ht="15.75" thickBot="1"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2:27" ht="15.75" thickBot="1"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2:27" ht="15.75" thickBot="1"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2:27" ht="15.75" thickBot="1"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2:27" ht="15.75" thickBot="1"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2:27" ht="15.75" thickBot="1"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2:27" ht="15.75" thickBot="1"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2:27" ht="15.75" thickBot="1"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2:27" ht="15.75" thickBot="1"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2:27" ht="15.75" thickBot="1"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2:27" ht="15.75" thickBot="1"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2:27" ht="15.75" thickBot="1"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2:27" ht="15.75" thickBot="1"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2:27" ht="15.75" thickBot="1"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2:27" ht="15.75" thickBot="1"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2:27" ht="15.75" thickBot="1"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2:27" ht="15.75" thickBot="1"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2:27" ht="15.75" thickBot="1"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2:27" ht="15.75" thickBot="1"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2:27" ht="15.75" thickBot="1"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2:27" ht="15.75" thickBot="1"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2:27" ht="15.75" thickBot="1"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2:27" ht="15.75" thickBot="1"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2:27" ht="15.75" thickBot="1"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2:27" ht="15.75" thickBot="1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2:27" ht="15.75" thickBot="1"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2:27" ht="15.75" thickBot="1"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2:27" ht="15.75" thickBot="1"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2:27" ht="15.75" thickBot="1"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2:27" ht="15.75" thickBot="1"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2:27" ht="15.75" thickBot="1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2:27" ht="15.75" thickBot="1"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2:27" ht="15.75" thickBot="1"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2:27" ht="15.75" thickBot="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2:27" ht="15.75" thickBot="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2:27" ht="15.75" thickBot="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2:27" ht="15.75" thickBot="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2:27" ht="15.75" thickBot="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2:27" ht="15.75" thickBot="1"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2:27" ht="15.75" thickBot="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2:27" ht="15.75" thickBot="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2:27" ht="15.75" thickBot="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2:27" ht="15.75" thickBot="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2:27" ht="15.75" thickBot="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2:27" ht="15.75" thickBot="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2:27" ht="15.75" thickBot="1"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2:27" ht="15.75" thickBot="1"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2:27" ht="15.75" thickBot="1"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2:27" ht="15.75" thickBot="1"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2:27" ht="15.75" thickBot="1"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2:27" ht="15.75" thickBot="1"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2:27" ht="15.75" thickBot="1"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2:27" ht="15.75" thickBot="1"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2:27" ht="15.75" thickBot="1"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2:27" ht="15.75" thickBot="1"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2:27" ht="15.75" thickBot="1"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2:27" ht="15.75" thickBot="1"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2:27" ht="15.75" thickBot="1"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2:27" ht="15.75" thickBot="1"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2:27" ht="15.75" thickBot="1"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2:27" ht="15.75" thickBot="1"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2:27" ht="15.75" thickBot="1"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2:27" ht="15.75" thickBot="1"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2:27" ht="15.75" thickBot="1"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2:27" ht="15.75" thickBot="1"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2:27" ht="15.75" thickBot="1"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2:27" ht="15.75" thickBot="1"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2:27" ht="15.75" thickBot="1"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2:27" ht="15.75" thickBot="1"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2:27" ht="15.75" thickBot="1"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2:27" ht="15.75" thickBot="1"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2:27" ht="15.75" thickBot="1"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2:27" ht="15.75" thickBot="1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2:27" ht="15.75" thickBot="1"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2:27" ht="15.75" thickBot="1"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2:27" ht="15.75" thickBot="1"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2:27" ht="15.75" thickBot="1"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2:27" ht="15.75" thickBot="1"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2:27" ht="15.75" thickBot="1"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2:27" ht="15.75" thickBot="1"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2:27" ht="15.75" thickBot="1"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2:27" ht="15.75" thickBot="1"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2:27" ht="15.75" thickBot="1"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2:27" ht="15.75" thickBot="1"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2:27" ht="15.75" thickBot="1"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2:27" ht="15.75" thickBot="1"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2:27" ht="15.75" thickBot="1"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2:27" ht="15.75" thickBot="1"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2:27" ht="15.75" thickBot="1"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2:27" ht="15.75" thickBot="1"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2:27" ht="15.75" thickBot="1"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2:27" ht="15.75" thickBot="1"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2:27" ht="15.75" thickBot="1"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2:27" ht="15.75" thickBot="1"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2:27" ht="15.75" thickBot="1"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2:27" ht="15.75" thickBot="1"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2:27" ht="15.75" thickBot="1"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2:27" ht="15.75" thickBot="1"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2:27" ht="15.75" thickBot="1"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2:27" ht="15.75" thickBot="1"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2:27" ht="15.75" thickBot="1"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2:27" ht="15.75" thickBot="1"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2:27" ht="15.75" thickBot="1"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2:27" ht="15.75" thickBot="1"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2:27" ht="15.75" thickBot="1"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2:27" ht="15.75" thickBot="1"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2:27" ht="15.75" thickBot="1"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2:27" ht="15.75" thickBot="1"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2:27" ht="15.75" thickBot="1"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2:27" ht="15.75" thickBot="1"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2:27" ht="15.75" thickBot="1"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2:27" ht="15.75" thickBot="1"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2:27" ht="15.75" thickBot="1"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2:27" ht="15.75" thickBot="1"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2:27" ht="15.75" thickBot="1"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2:27" ht="15.75" thickBot="1"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2:27" ht="15.75" thickBot="1"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2:27" ht="15.75" thickBot="1"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2:27" ht="15.75" thickBot="1"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2:27" ht="15.75" thickBot="1"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2:27" ht="15.75" thickBot="1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2:27" ht="15.75" thickBot="1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2:27" ht="15.75" thickBot="1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2:27" ht="15.75" thickBot="1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2:27" ht="15.75" thickBot="1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2:27" ht="15.75" thickBot="1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2:27" ht="15.75" thickBot="1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2:27" ht="15.75" thickBot="1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2:27" ht="15.75" thickBot="1"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2:27" ht="15.75" thickBot="1"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2:27" ht="15.75" thickBot="1"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2:27" ht="15.75" thickBot="1"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2:27" ht="15.75" thickBot="1"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2:27" ht="15.75" thickBot="1"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2:27" ht="15.75" thickBot="1"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2:27" ht="15.75" thickBot="1"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2:27" ht="15.75" thickBot="1"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2:27" ht="15.75" thickBot="1"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2:27" ht="15.75" thickBot="1"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2:27" ht="15.75" thickBot="1"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2:27" ht="15.75" thickBot="1"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2:27" ht="15.75" thickBot="1"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2:27" ht="15.75" thickBot="1"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2:27" ht="15.75" thickBot="1"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2:27" ht="15.75" thickBot="1"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2:27" ht="15.75" thickBot="1"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2:27" ht="15.75" thickBot="1"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2:27" ht="15.75" thickBot="1"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2:27" ht="15.75" thickBot="1"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2:27" ht="15.75" thickBot="1"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2:27" ht="15.75" thickBot="1"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2:27" ht="15.75" thickBot="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2:27" ht="15.75" thickBot="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2:27" ht="15.75" thickBot="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2:27" ht="15.75" thickBot="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2:27" ht="15.75" thickBot="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2:27" ht="15.75" thickBot="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2:27" ht="15.75" thickBot="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2:27" ht="15.75" thickBot="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2:27" ht="15.75" thickBot="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2:27" ht="15.75" thickBot="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2:27" ht="15.75" thickBot="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2:27" ht="15.75" thickBot="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2:27" ht="15.75" thickBot="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2:27" ht="15.75" thickBot="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2:27" ht="15.75" thickBot="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2:27" ht="15.75" thickBot="1"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2:27" ht="15.75" thickBot="1"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2:27" ht="15.75" thickBot="1"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2:27" ht="15.75" thickBot="1"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2:27" ht="15.75" thickBot="1"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2:27" ht="15.75" thickBot="1"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2:27" ht="15.75" thickBot="1"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2:27" ht="15.75" thickBot="1"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2:27" ht="15.75" thickBot="1"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2:27" ht="15.75" thickBot="1"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2:27" ht="15.75" thickBot="1"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2:27" ht="15.75" thickBot="1"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2:27" ht="15.75" thickBot="1"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2:27" ht="15.75" thickBot="1"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2:27" ht="15.75" thickBot="1"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2:27" ht="15.75" thickBot="1"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2:27" ht="15.75" thickBot="1"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2:27" ht="15.75" thickBot="1"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2:27" ht="15.75" thickBot="1"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2:27" ht="15.75" thickBot="1"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2:27" ht="15.75" thickBot="1"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2:27" ht="15.75" thickBot="1"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2:27" ht="15.75" thickBot="1"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2:27" ht="15.75" thickBot="1"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2:27" ht="15.75" thickBot="1"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2:27" ht="15.75" thickBot="1"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2:27" ht="15.75" thickBot="1"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2:27" ht="15.75" thickBot="1"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2:27" ht="15.75" thickBot="1"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2:27" ht="15.75" thickBot="1"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2:27" ht="15.75" thickBot="1"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2:27" ht="15.75" thickBot="1"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2:27" ht="15.75" thickBot="1"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2:27" ht="15.75" thickBot="1"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2:27" ht="15.75" thickBot="1"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2:27" ht="15.75" thickBot="1"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2:27" ht="15.75" thickBot="1"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2:27" ht="15.75" thickBot="1"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2:27" ht="15.75" thickBot="1"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2:27" ht="15.75" thickBot="1"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2:27" ht="15.75" thickBot="1"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2:27" ht="15.75" thickBot="1"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2:27" ht="15.75" thickBot="1"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2:27" ht="15.75" thickBot="1"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2:27" ht="15.75" thickBot="1"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2:27" ht="15.75" thickBot="1"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2:27" ht="15.75" thickBot="1"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2:27" ht="15.75" thickBot="1"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2:27" ht="15.75" thickBot="1"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2:27" ht="15.75" thickBot="1"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2:27" ht="15.75" thickBot="1"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2:27" ht="15.75" thickBot="1"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2:27" ht="15.75" thickBot="1"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2:27" ht="15.75" thickBot="1"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2:27" ht="15.75" thickBot="1"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2:27" ht="15.75" thickBot="1"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2:27" ht="15.75" thickBot="1"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2:27" ht="15.75" thickBot="1"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2:27" ht="15.75" thickBot="1"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2:27" ht="15.75" thickBot="1"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2:27" ht="15.75" thickBot="1"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2:27" ht="15.75" thickBot="1"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2:27" ht="15.75" thickBot="1"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2:27" ht="15.75" thickBot="1"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2:27" ht="15.75" thickBot="1"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2:27" ht="15.75" thickBot="1"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2:27" ht="15.75" thickBot="1"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2:27" ht="15.75" thickBot="1"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2:27" ht="15.75" thickBot="1"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2:27" ht="15.75" thickBot="1"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2:27" ht="15.75" thickBot="1"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2:27" ht="15.75" thickBot="1"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2:27" ht="15.75" thickBot="1"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2:27" ht="15.75" thickBot="1"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2:27" ht="15.75" thickBot="1"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2:27" ht="15.75" thickBot="1"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2:27" ht="15.75" thickBot="1"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2:27" ht="15.75" thickBot="1"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2:27" ht="15.75" thickBot="1"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2:27" ht="15.75" thickBot="1"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2:27" ht="15.75" thickBot="1"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2:27" ht="15.75" thickBot="1"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2:27" ht="15.75" thickBot="1"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2:27" ht="15.75" thickBot="1"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2:27" ht="15.75" thickBot="1"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2:27" ht="15.75" thickBot="1"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2:27" ht="15.75" thickBot="1"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2:27" ht="15.75" thickBot="1"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2:27" ht="15.75" thickBot="1"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2:27" ht="15.75" thickBot="1"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2:27" ht="15.75" thickBot="1"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2:27" ht="15.75" thickBot="1"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2:27" ht="15.75" thickBot="1"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2:27" ht="15.75" thickBot="1"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2:27" ht="15.75" thickBot="1"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2:27" ht="15.75" thickBot="1"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2:27" ht="15.75" thickBot="1"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2:27" ht="15.75" thickBot="1"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2:27" ht="15.75" thickBot="1"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2:27" ht="15.75" thickBot="1"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2:27" ht="15.75" thickBot="1"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2:27" ht="15.75" thickBot="1"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2:27" ht="15.75" thickBot="1"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2:27" ht="15.75" thickBot="1"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2:27" ht="15.75" thickBot="1"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2:27" ht="15.75" thickBot="1"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2:27" ht="15.75" thickBot="1"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2:27" ht="15.75" thickBot="1"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2:27" ht="15.75" thickBot="1"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2:27" ht="15.75" thickBot="1"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2:27" ht="15.75" thickBot="1"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2:27" ht="15.75" thickBot="1"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2:27" ht="15.75" thickBot="1"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2:27" ht="15.75" thickBot="1"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2:27" ht="15.75" thickBot="1"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2:27" ht="15.75" thickBot="1"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2:27" ht="15.75" thickBot="1"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2:27" ht="15.75" thickBot="1"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2:27" ht="15.75" thickBot="1"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2:27" ht="15.75" thickBot="1"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2:27" ht="15.75" thickBot="1"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2:27" ht="15.75" thickBot="1"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2:27" ht="15.75" thickBot="1"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2:27" ht="15.75" thickBot="1"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2:27" ht="15.75" thickBot="1"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2:27" ht="15.75" thickBot="1"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2:27" ht="15.75" thickBot="1"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2:27" ht="15.75" thickBot="1"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2:27" ht="15.75" thickBot="1"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2:27" ht="15.75" thickBot="1"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2:27" ht="15.75" thickBot="1"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2:27" ht="15.75" thickBot="1"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2:27" ht="15.75" thickBot="1"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2:27" ht="15.75" thickBot="1"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2:27" ht="15.75" thickBot="1"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2:27" ht="15.75" thickBot="1"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2:27" ht="15.75" thickBot="1"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2:27" ht="15.75" thickBot="1"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2:27" ht="15.75" thickBot="1"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2:27" ht="15.75" thickBot="1"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2:27" ht="15.75" thickBot="1"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2:27" ht="15.75" thickBot="1"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2:27" ht="15.75" thickBot="1"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2:27" ht="15.75" thickBot="1"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2:27" ht="15.75" thickBot="1"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2:27" ht="15.75" thickBot="1"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2:27" ht="15.75" thickBot="1"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2:27" ht="15.75" thickBot="1"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2:27" ht="15.75" thickBot="1"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2:27" ht="15.75" thickBot="1"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2:27" ht="15.75" thickBot="1"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2:27" ht="15.75" thickBot="1"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2:27" ht="15.75" thickBot="1"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2:27" ht="15.75" thickBot="1"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2:27" ht="15.75" thickBot="1"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2:27" ht="15.75" thickBot="1"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2:27" ht="15.75" thickBot="1"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2:27" ht="15.75" thickBot="1"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2:27" ht="15.75" thickBot="1"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2:27" ht="15.75" thickBot="1"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2:27" ht="15.75" thickBot="1"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2:27" ht="15.75" thickBot="1"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2:27" ht="15.75" thickBot="1"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2:27" ht="15.75" thickBot="1"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2:27" ht="15.75" thickBot="1"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2:27" ht="15.75" thickBot="1"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2:27" ht="15.75" thickBot="1"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2:27" ht="15.75" thickBot="1"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2:27" ht="15.75" thickBot="1"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2:27" ht="15.75" thickBot="1"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2:27" ht="15.75" thickBot="1"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2:27" ht="15.75" thickBot="1"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2:27" ht="15.75" thickBot="1"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2:27" ht="15.75" thickBot="1"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2:27" ht="15.75" thickBot="1"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2:27" ht="15.75" thickBot="1"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2:27" ht="15.75" thickBot="1"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2:27" ht="15.75" thickBot="1"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2:27" ht="15.75" thickBot="1"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2:27" ht="15.75" thickBot="1"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2:27" ht="15.75" thickBot="1"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2:27" ht="15.75" thickBot="1"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2:27" ht="15.75" thickBot="1"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2:27" ht="15.75" thickBot="1"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2:27" ht="15.75" thickBot="1"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2:27" ht="15.75" thickBot="1"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2:27" ht="15.75" thickBot="1"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2:27" ht="15.75" thickBot="1"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2:27" ht="15.75" thickBot="1"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2:27" ht="15.75" thickBot="1"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2:27" ht="15.75" thickBot="1"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2:27" ht="15.75" thickBot="1"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2:27" ht="15.75" thickBot="1"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2:27" ht="15.75" thickBot="1"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2:27" ht="15.75" thickBot="1"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2:27" ht="15.75" thickBot="1"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2:27" ht="15.75" thickBot="1"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2:27" ht="15.75" thickBot="1"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2:27" ht="15.75" thickBot="1"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2:27" ht="15.75" thickBot="1"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2:27" ht="15.75" thickBot="1"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2:27" ht="15.75" thickBot="1"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2:27" ht="15.75" thickBot="1"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2:27" ht="15.75" thickBot="1"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2:27" ht="15.75" thickBot="1"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2:27" ht="15.75" thickBot="1"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2:27" ht="15.75" thickBot="1"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2:27" ht="15.75" thickBot="1"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2:27" ht="15.75" thickBot="1"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2:27" ht="15.75" thickBot="1"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2:27" ht="15.75" thickBot="1"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2:27" ht="15.75" thickBot="1"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2:27" ht="15.75" thickBot="1"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2:27" ht="15.75" thickBot="1"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2:27" ht="15.75" thickBot="1"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2:27" ht="15.75" thickBot="1"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2:27" ht="15.75" thickBot="1"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2:27" ht="15.75" thickBot="1"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2:27" ht="15.75" thickBot="1"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2:27" ht="15.75" thickBot="1"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2:27" ht="15.75" thickBot="1"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2:27" ht="15.75" thickBot="1"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2:27" ht="15.75" thickBot="1"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2:27" ht="15.75" thickBot="1"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2:27" ht="15.75" thickBot="1"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2:27" ht="15.75" thickBot="1"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2:27" ht="15.75" thickBot="1"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2:27" ht="15.75" thickBot="1"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2:27" ht="15.75" thickBot="1"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2:27" ht="15.75" thickBot="1"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2:27" ht="15.75" thickBot="1"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2:27" ht="15.75" thickBot="1"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2:27" ht="15.75" thickBot="1"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2:27" ht="15.75" thickBot="1"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2:27" ht="15.75" thickBot="1"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2:27" ht="15.75" thickBot="1"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2:27" ht="15.75" thickBot="1"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2:27" ht="15.75" thickBot="1"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2:27" ht="15.75" thickBot="1"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2:27" ht="15.75" thickBot="1"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2:27" ht="15.75" thickBot="1"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2:27" ht="15.75" thickBot="1"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2:27" ht="15.75" thickBot="1"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2:27" ht="15.75" thickBot="1"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2:27" ht="15.75" thickBot="1"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2:27" ht="15.75" thickBot="1"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2:27" ht="15.75" thickBot="1"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2:27" ht="15.75" thickBot="1"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2:27" ht="15.75" thickBot="1"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2:27" ht="15.75" thickBot="1"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2:27" ht="15.75" thickBot="1"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2:27" ht="15.75" thickBot="1"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2:27" ht="15.75" thickBot="1"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2:27" ht="15.75" thickBot="1"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2:27" ht="15.75" thickBot="1"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2:27" ht="15.75" thickBot="1"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2:27" ht="15.75" thickBot="1"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2:27" ht="15.75" thickBot="1"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2:27" ht="15.75" thickBot="1"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2:27" ht="15.75" thickBot="1"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2:27" ht="15.75" thickBot="1"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2:27" ht="15.75" thickBot="1"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2:27" ht="15.75" thickBot="1"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2:27" ht="15.75" thickBot="1"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2:27" ht="15.75" thickBot="1"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2:27" ht="15.75" thickBot="1"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2:27" ht="15.75" thickBot="1"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2:27" ht="15.75" thickBot="1"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2:27" ht="15.75" thickBot="1"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2:27" ht="15.75" thickBot="1"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2:27" ht="15.75" thickBot="1"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2:27" ht="15.75" thickBot="1"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2:27" ht="15.75" thickBot="1"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2:27" ht="15.75" thickBot="1"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2:27" ht="15.75" thickBot="1"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2:27" ht="15.75" thickBot="1"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2:27" ht="15.75" thickBot="1"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2:27" ht="15.75" thickBot="1"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2:27" ht="15.75" thickBot="1"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2:27" ht="15.75" thickBot="1"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2:27" ht="15.75" thickBot="1"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2:27" ht="15.75" thickBot="1"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2:27" ht="15.75" thickBot="1"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2:27" ht="15.75" thickBot="1"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2:27" ht="15.75" thickBot="1"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2:27" ht="15.75" thickBot="1"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2:27" ht="15.75" thickBot="1"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2:27" ht="15.75" thickBot="1"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2:27" ht="15.75" thickBot="1"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2:27" ht="15.75" thickBot="1"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2:27" ht="15.75" thickBot="1"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2:27" ht="15.75" thickBot="1"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2:27" ht="15.75" thickBot="1"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2:27" ht="15.75" thickBot="1"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2:27" ht="15.75" thickBot="1"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2:27" ht="15.75" thickBot="1"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2:27" ht="15.75" thickBot="1"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2:27" ht="15.75" thickBot="1"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2:27" ht="15.75" thickBot="1"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2:27" ht="15.75" thickBot="1"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2:27" ht="15.75" thickBot="1"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2:27" ht="15.75" thickBot="1"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2:27" ht="15.75" thickBot="1"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2:27" ht="15.75" thickBot="1"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2:27" ht="15.75" thickBot="1"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2:27" ht="15.75" thickBot="1"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2:27" ht="15.75" thickBot="1"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2:27" ht="15.75" thickBot="1"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2:27" ht="15.75" thickBot="1"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2:27" ht="15.75" thickBot="1"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2:27" ht="15.75" thickBot="1"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2:27" ht="15.75" thickBot="1"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2:27" ht="15.75" thickBot="1"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2:27" ht="15.75" thickBot="1"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2:27" ht="15.75" thickBot="1"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2:27" ht="15.75" thickBot="1"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2:27" ht="15.75" thickBot="1"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2:27" ht="15.75" thickBot="1"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2:27" ht="15.75" thickBot="1"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2:27" ht="15.75" thickBot="1"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2:27" ht="15.75" thickBot="1"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2:27" ht="15.75" thickBot="1"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2:27" ht="15.75" thickBot="1"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2:27" ht="15.75" thickBot="1"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2:27" ht="15.75" thickBot="1"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2:27" ht="15.75" thickBot="1"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2:27" ht="15.75" thickBot="1"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2:27" ht="15.75" thickBot="1"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2:27" ht="15.75" thickBot="1"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2:27" ht="15.75" thickBot="1"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2:27" ht="15.75" thickBot="1"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2:27" ht="15.75" thickBot="1"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2:27" ht="15.75" thickBot="1"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2:27" ht="15.75" thickBot="1"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2:27" ht="15.75" thickBot="1"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2:27" ht="15.75" thickBot="1"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2:27" ht="15.75" thickBot="1"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2:27" ht="15.75" thickBot="1"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2:27" ht="15.75" thickBot="1"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2:27" ht="15.75" thickBot="1"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2:27" ht="15.75" thickBot="1"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2:27" ht="15.75" thickBot="1"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2:27" ht="15.75" thickBot="1"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2:27" ht="15.75" thickBot="1"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2:27" ht="15.75" thickBot="1"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2:27" ht="15.75" thickBot="1"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2:27" ht="15.75" thickBot="1"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2:27" ht="15.75" thickBot="1"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2:27" ht="15.75" thickBot="1"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2:27" ht="15.75" thickBot="1"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2:27" ht="15.75" thickBot="1"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2:27" ht="15.75" thickBot="1"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2:27" ht="15.75" thickBot="1"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2:27" ht="15.75" thickBot="1"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2:27" ht="15.75" thickBot="1"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2:27" ht="15.75" thickBot="1"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2:27" ht="15.75" thickBot="1"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2:27" ht="15.75" thickBot="1"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2:27" ht="15.75" thickBot="1"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2:27" ht="15.75" thickBot="1"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2:27" ht="15.75" thickBot="1"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2:27" ht="15.75" thickBot="1"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2:27" ht="15.75" thickBot="1"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2:27" ht="15.75" thickBot="1"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2:27" ht="15.75" thickBot="1"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2:27" ht="15.75" thickBot="1"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2:27" ht="15.75" thickBot="1"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2:27" ht="15.75" thickBot="1"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2:27" ht="15.75" thickBot="1"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2:27" ht="15.75" thickBot="1"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2:27" ht="15.75" thickBot="1"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2:27" ht="15.75" thickBot="1"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2:27" ht="15.75" thickBot="1"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2:27" ht="15.75" thickBot="1"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2:27" ht="15.75" thickBot="1"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2:27" ht="15.75" thickBot="1"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2:27" ht="15.75" thickBot="1"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2:27" ht="15.75" thickBot="1"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2:27" ht="15.75" thickBot="1"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2:27" ht="15.75" thickBot="1"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2:27" ht="15.75" thickBot="1"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2:27" ht="15.75" thickBot="1"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2:27" ht="15.75" thickBot="1"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2:27" ht="15.75" thickBot="1"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2:27" ht="15.75" thickBot="1"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2:27" ht="15.75" thickBot="1"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2:27" ht="15.75" thickBot="1"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2:27" ht="15.75" thickBot="1"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2:27" ht="15.75" thickBot="1"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2:27" ht="15.75" thickBot="1"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2:27" ht="15.75" thickBot="1"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2:27" ht="15.75" thickBot="1"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2:27" ht="15.75" thickBot="1"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2:27" ht="15.75" thickBot="1"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2:27" ht="15.75" thickBot="1"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</sheetData>
  <mergeCells count="2">
    <mergeCell ref="C19:H19"/>
    <mergeCell ref="C5:H5"/>
  </mergeCells>
  <pageMargins left="0.7" right="0.7" top="0.75" bottom="0.75" header="0.3" footer="0.3"/>
  <pageSetup paperSize="9" orientation="portrait" r:id="rId1"/>
  <cellWatches>
    <cellWatch r="J20"/>
  </cellWatches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CU364"/>
  <sheetViews>
    <sheetView workbookViewId="0">
      <selection activeCell="L9" sqref="L9"/>
    </sheetView>
  </sheetViews>
  <sheetFormatPr defaultRowHeight="15"/>
  <cols>
    <col min="1" max="1" width="11.85546875" customWidth="1"/>
    <col min="2" max="2" width="23.140625" style="5" bestFit="1" customWidth="1"/>
    <col min="3" max="3" width="12.7109375" style="5" customWidth="1"/>
    <col min="4" max="5" width="22" customWidth="1"/>
    <col min="6" max="6" width="14.85546875" customWidth="1"/>
    <col min="7" max="9" width="11.85546875" customWidth="1"/>
    <col min="10" max="11" width="20.140625" customWidth="1"/>
    <col min="12" max="15" width="12.85546875" customWidth="1"/>
    <col min="16" max="17" width="20.28515625" customWidth="1"/>
    <col min="18" max="21" width="12.85546875" customWidth="1"/>
    <col min="22" max="23" width="20" customWidth="1"/>
    <col min="24" max="27" width="12.85546875" customWidth="1"/>
    <col min="28" max="29" width="17.7109375" customWidth="1"/>
    <col min="30" max="33" width="12.85546875" customWidth="1"/>
    <col min="34" max="35" width="23" customWidth="1"/>
    <col min="36" max="39" width="12.85546875" customWidth="1"/>
    <col min="40" max="41" width="24.85546875" customWidth="1"/>
    <col min="42" max="45" width="12.85546875" customWidth="1"/>
    <col min="46" max="47" width="20.85546875" customWidth="1"/>
    <col min="48" max="51" width="12.85546875" customWidth="1"/>
    <col min="52" max="53" width="16.5703125" customWidth="1"/>
    <col min="54" max="57" width="12.85546875" customWidth="1"/>
    <col min="58" max="59" width="21.140625" customWidth="1"/>
    <col min="60" max="99" width="12.85546875" customWidth="1"/>
  </cols>
  <sheetData>
    <row r="1" spans="1:63" ht="15.75" thickBot="1">
      <c r="A1" t="s">
        <v>114</v>
      </c>
      <c r="G1" t="s">
        <v>115</v>
      </c>
    </row>
    <row r="2" spans="1:63" ht="15.75" thickBot="1">
      <c r="B2" s="25"/>
      <c r="G2" t="s">
        <v>116</v>
      </c>
      <c r="J2">
        <f>DV[[#Totals],[Столбец64]]</f>
        <v>4</v>
      </c>
    </row>
    <row r="3" spans="1:63" ht="15.75" thickBot="1">
      <c r="B3" s="26" t="s">
        <v>36</v>
      </c>
      <c r="H3" t="str">
        <f t="array" ref="H3:Q3">TRANSPOSE(B4:B13)</f>
        <v>Жантумсова Нургуль</v>
      </c>
      <c r="I3" t="str">
        <v>Тамабаева Динара</v>
      </c>
      <c r="J3" t="str">
        <v>Канылбаева Эльдар</v>
      </c>
      <c r="K3" t="str">
        <v>Нурабаева Жансая</v>
      </c>
      <c r="L3" t="str">
        <v>Сариева Сивиля</v>
      </c>
      <c r="M3" t="str">
        <v>Адилханов Нурсултан</v>
      </c>
      <c r="N3" t="str">
        <v>Дуисенгалиева Гульшат</v>
      </c>
      <c r="O3" t="str">
        <v>Байбосынова Санат</v>
      </c>
      <c r="P3" t="str">
        <v>Усеинов Рифат</v>
      </c>
      <c r="Q3" t="str">
        <v>Искакова Айымгуль</v>
      </c>
    </row>
    <row r="4" spans="1:63" ht="30.75" thickBot="1">
      <c r="B4" s="26" t="s">
        <v>7</v>
      </c>
      <c r="G4" s="24" t="s">
        <v>117</v>
      </c>
      <c r="H4">
        <f>SUM(DV[[#Totals],[Столбец4]:[Столбец9]])</f>
        <v>4</v>
      </c>
      <c r="I4">
        <f>SUM(DV[[#Totals],[Столбец10]:[Столбец15]])</f>
        <v>0</v>
      </c>
      <c r="J4">
        <f>SUM(DV[[#Totals],[Столбец16]:[Столбец21]])</f>
        <v>0</v>
      </c>
      <c r="K4">
        <f>SUM(DV[[#Totals],[Столбец22]:[Столбец27]])</f>
        <v>0</v>
      </c>
      <c r="L4">
        <f>SUM(DV[[#Totals],[Столбец28]:[Столбец33]])</f>
        <v>0</v>
      </c>
      <c r="M4">
        <f>SUM(DV[[#Totals],[Столбец34]:[Столбец39]])</f>
        <v>0</v>
      </c>
      <c r="N4">
        <f>SUM(DV[[#Totals],[Столбец40]:[Столбец45]])</f>
        <v>0</v>
      </c>
      <c r="O4">
        <f>SUM(DV[[#Totals],[Столбец46]:[Столбец51]])</f>
        <v>0</v>
      </c>
      <c r="P4">
        <f>SUM(DV[[#Totals],[Столбец52]:[Столбец57]])</f>
        <v>0</v>
      </c>
      <c r="Q4">
        <f>SUM(DV[[#Totals],[Столбец58]:[Столбец63]])</f>
        <v>0</v>
      </c>
    </row>
    <row r="5" spans="1:63" ht="30.75" thickBot="1">
      <c r="B5" s="26" t="s">
        <v>10</v>
      </c>
      <c r="G5" s="24" t="s">
        <v>118</v>
      </c>
      <c r="H5">
        <v>6</v>
      </c>
      <c r="I5">
        <v>2</v>
      </c>
      <c r="J5">
        <v>2</v>
      </c>
      <c r="K5">
        <v>3</v>
      </c>
      <c r="L5">
        <v>3</v>
      </c>
      <c r="M5">
        <v>2</v>
      </c>
      <c r="N5">
        <v>6</v>
      </c>
      <c r="O5">
        <v>4</v>
      </c>
      <c r="P5">
        <v>2</v>
      </c>
      <c r="Q5">
        <v>2</v>
      </c>
    </row>
    <row r="6" spans="1:63" ht="15.75" thickBot="1">
      <c r="B6" s="26" t="s">
        <v>43</v>
      </c>
    </row>
    <row r="7" spans="1:63" ht="15.75" thickBot="1">
      <c r="B7" s="26" t="s">
        <v>17</v>
      </c>
    </row>
    <row r="8" spans="1:63" ht="15.75" thickBot="1">
      <c r="B8" s="26" t="s">
        <v>21</v>
      </c>
    </row>
    <row r="9" spans="1:63" ht="15.75" thickBot="1">
      <c r="B9" s="26" t="s">
        <v>23</v>
      </c>
    </row>
    <row r="10" spans="1:63" ht="15.75" thickBot="1">
      <c r="B10" s="26" t="s">
        <v>26</v>
      </c>
    </row>
    <row r="11" spans="1:63" ht="15.75" thickBot="1">
      <c r="B11" s="26" t="s">
        <v>29</v>
      </c>
    </row>
    <row r="12" spans="1:63" ht="15.75" thickBot="1">
      <c r="B12" s="26" t="s">
        <v>33</v>
      </c>
    </row>
    <row r="13" spans="1:63" ht="15.75" thickBot="1">
      <c r="B13" s="26" t="s">
        <v>35</v>
      </c>
    </row>
    <row r="15" spans="1:63">
      <c r="D15" t="str">
        <f>СВ!E26</f>
        <v>Адилханов Нурсултан</v>
      </c>
      <c r="J15" t="str">
        <f>СВ!K26</f>
        <v>Байбосынова Санат</v>
      </c>
      <c r="P15" t="str">
        <f>СВ!Q26</f>
        <v>Дуисенгалиева Гульшат</v>
      </c>
      <c r="V15" t="str">
        <f>СВ!W26</f>
        <v>Жантумсова Нургуль</v>
      </c>
      <c r="AB15" t="str">
        <f>СВ!AC26</f>
        <v>Искакова Айымгуль</v>
      </c>
      <c r="AH15" t="str">
        <f>СВ!AI26</f>
        <v>Канылбаев Эльдар</v>
      </c>
      <c r="AN15" t="str">
        <f>СВ!AO26</f>
        <v>Нурабаева Жансая</v>
      </c>
      <c r="AT15" t="str">
        <f>СВ!AU26</f>
        <v>Сариева Сивиля</v>
      </c>
      <c r="AZ15" t="str">
        <f>СВ!BA26</f>
        <v>Тамабаева Динара</v>
      </c>
      <c r="BF15" t="str">
        <f>СВ!BG26</f>
        <v>Усеинов Рифат</v>
      </c>
    </row>
    <row r="16" spans="1:63">
      <c r="D16" t="s">
        <v>1</v>
      </c>
      <c r="E16" t="s">
        <v>2</v>
      </c>
      <c r="F16" t="s">
        <v>3</v>
      </c>
      <c r="G16" t="s">
        <v>4</v>
      </c>
      <c r="H16" t="s">
        <v>5</v>
      </c>
      <c r="I16" t="s">
        <v>6</v>
      </c>
      <c r="J16" t="s">
        <v>1</v>
      </c>
      <c r="K16" t="s">
        <v>2</v>
      </c>
      <c r="L16" t="s">
        <v>3</v>
      </c>
      <c r="M16" t="s">
        <v>4</v>
      </c>
      <c r="N16" t="s">
        <v>5</v>
      </c>
      <c r="O16" t="s">
        <v>6</v>
      </c>
      <c r="P16" t="s">
        <v>1</v>
      </c>
      <c r="Q16" t="s">
        <v>2</v>
      </c>
      <c r="R16" t="s">
        <v>3</v>
      </c>
      <c r="S16" t="s">
        <v>4</v>
      </c>
      <c r="T16" t="s">
        <v>5</v>
      </c>
      <c r="U16" t="s">
        <v>6</v>
      </c>
      <c r="V16" t="s">
        <v>1</v>
      </c>
      <c r="W16" t="s">
        <v>2</v>
      </c>
      <c r="X16" t="s">
        <v>3</v>
      </c>
      <c r="Y16" t="s">
        <v>4</v>
      </c>
      <c r="Z16" t="s">
        <v>5</v>
      </c>
      <c r="AA16" t="s">
        <v>6</v>
      </c>
      <c r="AB16" t="s">
        <v>1</v>
      </c>
      <c r="AC16" t="s">
        <v>2</v>
      </c>
      <c r="AD16" t="s">
        <v>3</v>
      </c>
      <c r="AE16" t="s">
        <v>4</v>
      </c>
      <c r="AF16" t="s">
        <v>5</v>
      </c>
      <c r="AG16" t="s">
        <v>6</v>
      </c>
      <c r="AH16" t="s">
        <v>1</v>
      </c>
      <c r="AI16" t="s">
        <v>2</v>
      </c>
      <c r="AJ16" t="s">
        <v>3</v>
      </c>
      <c r="AK16" t="s">
        <v>4</v>
      </c>
      <c r="AL16" t="s">
        <v>5</v>
      </c>
      <c r="AM16" t="s">
        <v>6</v>
      </c>
      <c r="AN16" t="s">
        <v>1</v>
      </c>
      <c r="AO16" t="s">
        <v>2</v>
      </c>
      <c r="AP16" t="s">
        <v>3</v>
      </c>
      <c r="AQ16" t="s">
        <v>4</v>
      </c>
      <c r="AR16" t="s">
        <v>5</v>
      </c>
      <c r="AS16" t="s">
        <v>6</v>
      </c>
      <c r="AT16" t="s">
        <v>1</v>
      </c>
      <c r="AU16" t="s">
        <v>2</v>
      </c>
      <c r="AV16" t="s">
        <v>3</v>
      </c>
      <c r="AW16" t="s">
        <v>4</v>
      </c>
      <c r="AX16" t="s">
        <v>5</v>
      </c>
      <c r="AY16" t="s">
        <v>6</v>
      </c>
      <c r="AZ16" t="s">
        <v>1</v>
      </c>
      <c r="BA16" t="s">
        <v>2</v>
      </c>
      <c r="BB16" t="s">
        <v>3</v>
      </c>
      <c r="BC16" t="s">
        <v>4</v>
      </c>
      <c r="BD16" t="s">
        <v>5</v>
      </c>
      <c r="BE16" t="s">
        <v>6</v>
      </c>
      <c r="BF16" t="s">
        <v>1</v>
      </c>
      <c r="BG16" t="s">
        <v>2</v>
      </c>
      <c r="BH16" t="s">
        <v>3</v>
      </c>
      <c r="BI16" t="s">
        <v>4</v>
      </c>
      <c r="BJ16" t="s">
        <v>5</v>
      </c>
      <c r="BK16" t="s">
        <v>6</v>
      </c>
    </row>
    <row r="18" spans="1:64">
      <c r="A18">
        <f>СВ!B28</f>
        <v>1</v>
      </c>
      <c r="B18" s="5">
        <f>СВ!C28</f>
        <v>0.35416666666666669</v>
      </c>
      <c r="C18" s="5">
        <f>СВ!D28</f>
        <v>0.38541666666666669</v>
      </c>
      <c r="D18" s="11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7">
        <v>0</v>
      </c>
      <c r="BL18" s="23"/>
    </row>
    <row r="19" spans="1:64">
      <c r="A19">
        <f>СВ!B29</f>
        <v>2</v>
      </c>
      <c r="B19" s="5">
        <f>СВ!C29</f>
        <v>0.35416666666666669</v>
      </c>
      <c r="C19" s="5">
        <f>СВ!D29</f>
        <v>0.39583333333333331</v>
      </c>
      <c r="D19" s="13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 s="14">
        <v>0</v>
      </c>
      <c r="AG19" s="14">
        <v>0</v>
      </c>
      <c r="AH19" s="14">
        <v>0</v>
      </c>
      <c r="AI19" s="14">
        <v>0</v>
      </c>
      <c r="AJ19" s="14">
        <v>0</v>
      </c>
      <c r="AK19" s="14">
        <v>0</v>
      </c>
      <c r="AL19" s="14">
        <v>0</v>
      </c>
      <c r="AM19" s="14">
        <v>0</v>
      </c>
      <c r="AN19" s="14">
        <v>0</v>
      </c>
      <c r="AO19" s="14">
        <v>0</v>
      </c>
      <c r="AP19" s="14">
        <v>0</v>
      </c>
      <c r="AQ19" s="14">
        <v>0</v>
      </c>
      <c r="AR19" s="14">
        <v>0</v>
      </c>
      <c r="AS19" s="14">
        <v>0</v>
      </c>
      <c r="AT19" s="14">
        <v>0</v>
      </c>
      <c r="AU19" s="14">
        <v>0</v>
      </c>
      <c r="AV19" s="14">
        <v>0</v>
      </c>
      <c r="AW19" s="14">
        <v>0</v>
      </c>
      <c r="AX19" s="14">
        <v>0</v>
      </c>
      <c r="AY19" s="14">
        <v>0</v>
      </c>
      <c r="AZ19" s="14">
        <v>0</v>
      </c>
      <c r="BA19" s="14">
        <v>0</v>
      </c>
      <c r="BB19" s="14">
        <v>0</v>
      </c>
      <c r="BC19" s="14">
        <v>0</v>
      </c>
      <c r="BD19" s="14">
        <v>0</v>
      </c>
      <c r="BE19" s="14">
        <v>0</v>
      </c>
      <c r="BF19" s="14">
        <v>0</v>
      </c>
      <c r="BG19" s="14">
        <v>0</v>
      </c>
      <c r="BH19" s="14">
        <v>0</v>
      </c>
      <c r="BI19" s="14">
        <v>0</v>
      </c>
      <c r="BJ19" s="14">
        <v>0</v>
      </c>
      <c r="BK19" s="18">
        <v>0</v>
      </c>
      <c r="BL19" s="23"/>
    </row>
    <row r="20" spans="1:64">
      <c r="A20">
        <f>СВ!B30</f>
        <v>3</v>
      </c>
      <c r="B20" s="5">
        <f>СВ!C30</f>
        <v>0.36458333333333331</v>
      </c>
      <c r="C20" s="5">
        <f>СВ!D30</f>
        <v>0.39583333333333331</v>
      </c>
      <c r="D20" s="15">
        <v>0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16">
        <v>0</v>
      </c>
      <c r="T20" s="16">
        <v>0</v>
      </c>
      <c r="U20" s="16">
        <v>0</v>
      </c>
      <c r="V20" s="16">
        <v>0</v>
      </c>
      <c r="W20" s="16">
        <v>0</v>
      </c>
      <c r="X20" s="16">
        <v>0</v>
      </c>
      <c r="Y20" s="16">
        <v>0</v>
      </c>
      <c r="Z20" s="16">
        <v>0</v>
      </c>
      <c r="AA20" s="16">
        <v>0</v>
      </c>
      <c r="AB20" s="16">
        <v>0</v>
      </c>
      <c r="AC20" s="16">
        <v>0</v>
      </c>
      <c r="AD20" s="16">
        <v>0</v>
      </c>
      <c r="AE20" s="16">
        <v>0</v>
      </c>
      <c r="AF20" s="16">
        <v>0</v>
      </c>
      <c r="AG20" s="16">
        <v>0</v>
      </c>
      <c r="AH20" s="16">
        <v>0</v>
      </c>
      <c r="AI20" s="16">
        <v>0</v>
      </c>
      <c r="AJ20" s="16">
        <v>0</v>
      </c>
      <c r="AK20" s="16">
        <v>0</v>
      </c>
      <c r="AL20" s="16">
        <v>0</v>
      </c>
      <c r="AM20" s="16">
        <v>0</v>
      </c>
      <c r="AN20" s="16">
        <v>0</v>
      </c>
      <c r="AO20" s="16">
        <v>0</v>
      </c>
      <c r="AP20" s="16">
        <v>0</v>
      </c>
      <c r="AQ20" s="16">
        <v>0</v>
      </c>
      <c r="AR20" s="16">
        <v>0</v>
      </c>
      <c r="AS20" s="16">
        <v>0</v>
      </c>
      <c r="AT20" s="16">
        <v>0</v>
      </c>
      <c r="AU20" s="16">
        <v>0</v>
      </c>
      <c r="AV20" s="16">
        <v>0</v>
      </c>
      <c r="AW20" s="16">
        <v>0</v>
      </c>
      <c r="AX20" s="16">
        <v>0</v>
      </c>
      <c r="AY20" s="16">
        <v>0</v>
      </c>
      <c r="AZ20" s="16">
        <v>0</v>
      </c>
      <c r="BA20" s="16">
        <v>0</v>
      </c>
      <c r="BB20" s="16">
        <v>0</v>
      </c>
      <c r="BC20" s="16">
        <v>0</v>
      </c>
      <c r="BD20" s="16">
        <v>0</v>
      </c>
      <c r="BE20" s="16">
        <v>0</v>
      </c>
      <c r="BF20" s="16">
        <v>0</v>
      </c>
      <c r="BG20" s="16">
        <v>0</v>
      </c>
      <c r="BH20" s="16">
        <v>0</v>
      </c>
      <c r="BI20" s="16">
        <v>0</v>
      </c>
      <c r="BJ20" s="16">
        <v>0</v>
      </c>
      <c r="BK20" s="19">
        <v>0</v>
      </c>
      <c r="BL20" s="23"/>
    </row>
    <row r="21" spans="1:64">
      <c r="A21">
        <f>СВ!B31</f>
        <v>4</v>
      </c>
      <c r="B21" s="5">
        <f>СВ!C31</f>
        <v>0.375</v>
      </c>
      <c r="C21" s="5">
        <f>СВ!D31</f>
        <v>0.40625</v>
      </c>
      <c r="D21" s="13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  <c r="W21" s="14">
        <v>0</v>
      </c>
      <c r="X21" s="14">
        <v>0</v>
      </c>
      <c r="Y21" s="14">
        <v>0</v>
      </c>
      <c r="Z21" s="14">
        <v>0</v>
      </c>
      <c r="AA21" s="14">
        <v>0</v>
      </c>
      <c r="AB21" s="14">
        <v>0</v>
      </c>
      <c r="AC21" s="14">
        <v>0</v>
      </c>
      <c r="AD21" s="14">
        <v>0</v>
      </c>
      <c r="AE21" s="14">
        <v>0</v>
      </c>
      <c r="AF21" s="14">
        <v>0</v>
      </c>
      <c r="AG21" s="14">
        <v>0</v>
      </c>
      <c r="AH21" s="14">
        <v>0</v>
      </c>
      <c r="AI21" s="14">
        <v>0</v>
      </c>
      <c r="AJ21" s="14">
        <v>0</v>
      </c>
      <c r="AK21" s="14">
        <v>0</v>
      </c>
      <c r="AL21" s="14">
        <v>0</v>
      </c>
      <c r="AM21" s="14">
        <v>0</v>
      </c>
      <c r="AN21" s="14">
        <v>0</v>
      </c>
      <c r="AO21" s="14">
        <v>0</v>
      </c>
      <c r="AP21" s="14">
        <v>0</v>
      </c>
      <c r="AQ21" s="14">
        <v>0</v>
      </c>
      <c r="AR21" s="14">
        <v>0</v>
      </c>
      <c r="AS21" s="14">
        <v>0</v>
      </c>
      <c r="AT21" s="14">
        <v>0</v>
      </c>
      <c r="AU21" s="14">
        <v>0</v>
      </c>
      <c r="AV21" s="14">
        <v>0</v>
      </c>
      <c r="AW21" s="14">
        <v>0</v>
      </c>
      <c r="AX21" s="14">
        <v>0</v>
      </c>
      <c r="AY21" s="14">
        <v>0</v>
      </c>
      <c r="AZ21" s="14">
        <v>0</v>
      </c>
      <c r="BA21" s="14">
        <v>0</v>
      </c>
      <c r="BB21" s="14">
        <v>0</v>
      </c>
      <c r="BC21" s="14">
        <v>0</v>
      </c>
      <c r="BD21" s="14">
        <v>0</v>
      </c>
      <c r="BE21" s="14">
        <v>0</v>
      </c>
      <c r="BF21" s="14">
        <v>0</v>
      </c>
      <c r="BG21" s="14">
        <v>0</v>
      </c>
      <c r="BH21" s="14">
        <v>0</v>
      </c>
      <c r="BI21" s="14">
        <v>0</v>
      </c>
      <c r="BJ21" s="14">
        <v>0</v>
      </c>
      <c r="BK21" s="18">
        <v>0</v>
      </c>
      <c r="BL21" s="23"/>
    </row>
    <row r="22" spans="1:64">
      <c r="A22">
        <f>СВ!B32</f>
        <v>5</v>
      </c>
      <c r="B22" s="5">
        <f>СВ!C32</f>
        <v>0.375</v>
      </c>
      <c r="C22" s="5">
        <f>СВ!D32</f>
        <v>0.41666666666666669</v>
      </c>
      <c r="D22" s="15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0</v>
      </c>
      <c r="X22" s="16">
        <v>0</v>
      </c>
      <c r="Y22" s="16">
        <v>0</v>
      </c>
      <c r="Z22" s="16">
        <v>0</v>
      </c>
      <c r="AA22" s="16">
        <v>0</v>
      </c>
      <c r="AB22" s="16">
        <v>0</v>
      </c>
      <c r="AC22" s="16">
        <v>0</v>
      </c>
      <c r="AD22" s="16">
        <v>0</v>
      </c>
      <c r="AE22" s="16">
        <v>0</v>
      </c>
      <c r="AF22" s="16">
        <v>0</v>
      </c>
      <c r="AG22" s="16">
        <v>0</v>
      </c>
      <c r="AH22" s="16">
        <v>0</v>
      </c>
      <c r="AI22" s="16">
        <v>0</v>
      </c>
      <c r="AJ22" s="16">
        <v>0</v>
      </c>
      <c r="AK22" s="16">
        <v>0</v>
      </c>
      <c r="AL22" s="16">
        <v>0</v>
      </c>
      <c r="AM22" s="16">
        <v>0</v>
      </c>
      <c r="AN22" s="16">
        <v>0</v>
      </c>
      <c r="AO22" s="16">
        <v>0</v>
      </c>
      <c r="AP22" s="16">
        <v>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9">
        <v>0</v>
      </c>
      <c r="BL22" s="23"/>
    </row>
    <row r="23" spans="1:64">
      <c r="A23">
        <f>СВ!B33</f>
        <v>6</v>
      </c>
      <c r="B23" s="5">
        <f>СВ!C33</f>
        <v>0.38541666666666669</v>
      </c>
      <c r="C23" s="5">
        <f>СВ!D33</f>
        <v>0.41666666666666669</v>
      </c>
      <c r="D23" s="13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14">
        <v>0</v>
      </c>
      <c r="AC23" s="14">
        <v>0</v>
      </c>
      <c r="AD23" s="14">
        <v>0</v>
      </c>
      <c r="AE23" s="14">
        <v>0</v>
      </c>
      <c r="AF23" s="14">
        <v>0</v>
      </c>
      <c r="AG23" s="14">
        <v>0</v>
      </c>
      <c r="AH23" s="14">
        <v>0</v>
      </c>
      <c r="AI23" s="14">
        <v>0</v>
      </c>
      <c r="AJ23" s="14">
        <v>0</v>
      </c>
      <c r="AK23" s="14">
        <v>0</v>
      </c>
      <c r="AL23" s="14">
        <v>0</v>
      </c>
      <c r="AM23" s="14">
        <v>0</v>
      </c>
      <c r="AN23" s="14">
        <v>0</v>
      </c>
      <c r="AO23" s="14">
        <v>0</v>
      </c>
      <c r="AP23" s="14">
        <v>0</v>
      </c>
      <c r="AQ23" s="14">
        <v>0</v>
      </c>
      <c r="AR23" s="14">
        <v>0</v>
      </c>
      <c r="AS23" s="14">
        <v>0</v>
      </c>
      <c r="AT23" s="14">
        <v>0</v>
      </c>
      <c r="AU23" s="14">
        <v>0</v>
      </c>
      <c r="AV23" s="14">
        <v>0</v>
      </c>
      <c r="AW23" s="14">
        <v>0</v>
      </c>
      <c r="AX23" s="14">
        <v>0</v>
      </c>
      <c r="AY23" s="14">
        <v>0</v>
      </c>
      <c r="AZ23" s="14">
        <v>0</v>
      </c>
      <c r="BA23" s="14">
        <v>0</v>
      </c>
      <c r="BB23" s="14">
        <v>0</v>
      </c>
      <c r="BC23" s="14">
        <v>0</v>
      </c>
      <c r="BD23" s="14">
        <v>0</v>
      </c>
      <c r="BE23" s="14">
        <v>0</v>
      </c>
      <c r="BF23" s="14">
        <v>0</v>
      </c>
      <c r="BG23" s="14">
        <v>0</v>
      </c>
      <c r="BH23" s="14">
        <v>0</v>
      </c>
      <c r="BI23" s="14">
        <v>0</v>
      </c>
      <c r="BJ23" s="14">
        <v>0</v>
      </c>
      <c r="BK23" s="18">
        <v>0</v>
      </c>
      <c r="BL23" s="23"/>
    </row>
    <row r="24" spans="1:64">
      <c r="A24">
        <f>СВ!B34</f>
        <v>7</v>
      </c>
      <c r="B24" s="5">
        <f>СВ!C34</f>
        <v>0.39583333333333331</v>
      </c>
      <c r="C24" s="5">
        <f>СВ!D34</f>
        <v>0.42708333333333331</v>
      </c>
      <c r="D24" s="15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B24" s="16">
        <v>0</v>
      </c>
      <c r="AC24" s="16">
        <v>0</v>
      </c>
      <c r="AD24" s="16">
        <v>0</v>
      </c>
      <c r="AE24" s="16">
        <v>0</v>
      </c>
      <c r="AF24" s="16">
        <v>0</v>
      </c>
      <c r="AG24" s="16">
        <v>0</v>
      </c>
      <c r="AH24" s="16">
        <v>0</v>
      </c>
      <c r="AI24" s="16">
        <v>0</v>
      </c>
      <c r="AJ24" s="16">
        <v>0</v>
      </c>
      <c r="AK24" s="16">
        <v>0</v>
      </c>
      <c r="AL24" s="16">
        <v>0</v>
      </c>
      <c r="AM24" s="16">
        <v>0</v>
      </c>
      <c r="AN24" s="16">
        <v>0</v>
      </c>
      <c r="AO24" s="16">
        <v>0</v>
      </c>
      <c r="AP24" s="16">
        <v>0</v>
      </c>
      <c r="AQ24" s="16">
        <v>0</v>
      </c>
      <c r="AR24" s="16">
        <v>0</v>
      </c>
      <c r="AS24" s="16">
        <v>0</v>
      </c>
      <c r="AT24" s="16">
        <v>0</v>
      </c>
      <c r="AU24" s="16">
        <v>0</v>
      </c>
      <c r="AV24" s="16">
        <v>0</v>
      </c>
      <c r="AW24" s="16">
        <v>0</v>
      </c>
      <c r="AX24" s="16">
        <v>0</v>
      </c>
      <c r="AY24" s="16">
        <v>0</v>
      </c>
      <c r="AZ24" s="16">
        <v>0</v>
      </c>
      <c r="BA24" s="16">
        <v>0</v>
      </c>
      <c r="BB24" s="16">
        <v>0</v>
      </c>
      <c r="BC24" s="16">
        <v>0</v>
      </c>
      <c r="BD24" s="16">
        <v>0</v>
      </c>
      <c r="BE24" s="16">
        <v>0</v>
      </c>
      <c r="BF24" s="16">
        <v>0</v>
      </c>
      <c r="BG24" s="16">
        <v>0</v>
      </c>
      <c r="BH24" s="16">
        <v>0</v>
      </c>
      <c r="BI24" s="16">
        <v>0</v>
      </c>
      <c r="BJ24" s="16">
        <v>0</v>
      </c>
      <c r="BK24" s="19">
        <v>0</v>
      </c>
      <c r="BL24" s="23"/>
    </row>
    <row r="25" spans="1:64">
      <c r="A25">
        <f>СВ!B35</f>
        <v>8</v>
      </c>
      <c r="B25" s="5">
        <f>СВ!C35</f>
        <v>0.40625</v>
      </c>
      <c r="C25" s="5">
        <f>СВ!D35</f>
        <v>0.4375</v>
      </c>
      <c r="D25" s="13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 s="14">
        <v>0</v>
      </c>
      <c r="AG25" s="14">
        <v>0</v>
      </c>
      <c r="AH25" s="14">
        <v>0</v>
      </c>
      <c r="AI25" s="14">
        <v>0</v>
      </c>
      <c r="AJ25" s="14">
        <v>0</v>
      </c>
      <c r="AK25" s="14">
        <v>0</v>
      </c>
      <c r="AL25" s="14">
        <v>0</v>
      </c>
      <c r="AM25" s="14">
        <v>0</v>
      </c>
      <c r="AN25" s="14">
        <v>0</v>
      </c>
      <c r="AO25" s="14">
        <v>0</v>
      </c>
      <c r="AP25" s="14">
        <v>0</v>
      </c>
      <c r="AQ25" s="14">
        <v>0</v>
      </c>
      <c r="AR25" s="14">
        <v>0</v>
      </c>
      <c r="AS25" s="14">
        <v>0</v>
      </c>
      <c r="AT25" s="14">
        <v>0</v>
      </c>
      <c r="AU25" s="14">
        <v>0</v>
      </c>
      <c r="AV25" s="14">
        <v>0</v>
      </c>
      <c r="AW25" s="14">
        <v>0</v>
      </c>
      <c r="AX25" s="14">
        <v>0</v>
      </c>
      <c r="AY25" s="14">
        <v>0</v>
      </c>
      <c r="AZ25" s="14">
        <v>0</v>
      </c>
      <c r="BA25" s="14">
        <v>0</v>
      </c>
      <c r="BB25" s="14">
        <v>0</v>
      </c>
      <c r="BC25" s="14">
        <v>0</v>
      </c>
      <c r="BD25" s="14">
        <v>0</v>
      </c>
      <c r="BE25" s="14">
        <v>0</v>
      </c>
      <c r="BF25" s="14">
        <v>0</v>
      </c>
      <c r="BG25" s="14">
        <v>0</v>
      </c>
      <c r="BH25" s="14">
        <v>0</v>
      </c>
      <c r="BI25" s="14">
        <v>0</v>
      </c>
      <c r="BJ25" s="14">
        <v>0</v>
      </c>
      <c r="BK25" s="18">
        <v>0</v>
      </c>
      <c r="BL25" s="23"/>
    </row>
    <row r="26" spans="1:64">
      <c r="A26">
        <f>СВ!B36</f>
        <v>9</v>
      </c>
      <c r="B26" s="5">
        <f>СВ!C36</f>
        <v>0.41666666666666669</v>
      </c>
      <c r="C26" s="5">
        <f>СВ!D36</f>
        <v>0.44791666666666669</v>
      </c>
      <c r="D26" s="15">
        <v>0</v>
      </c>
      <c r="E26" s="16">
        <v>0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0</v>
      </c>
      <c r="W26" s="16">
        <v>0</v>
      </c>
      <c r="X26" s="16">
        <v>0</v>
      </c>
      <c r="Y26" s="16">
        <v>0</v>
      </c>
      <c r="Z26" s="16">
        <v>0</v>
      </c>
      <c r="AA26" s="16">
        <v>0</v>
      </c>
      <c r="AB26" s="16">
        <v>0</v>
      </c>
      <c r="AC26" s="16">
        <v>0</v>
      </c>
      <c r="AD26" s="16">
        <v>0</v>
      </c>
      <c r="AE26" s="16">
        <v>0</v>
      </c>
      <c r="AF26" s="16">
        <v>0</v>
      </c>
      <c r="AG26" s="16">
        <v>0</v>
      </c>
      <c r="AH26" s="16">
        <v>0</v>
      </c>
      <c r="AI26" s="16">
        <v>0</v>
      </c>
      <c r="AJ26" s="16">
        <v>0</v>
      </c>
      <c r="AK26" s="16">
        <v>0</v>
      </c>
      <c r="AL26" s="16">
        <v>0</v>
      </c>
      <c r="AM26" s="16">
        <v>0</v>
      </c>
      <c r="AN26" s="16">
        <v>0</v>
      </c>
      <c r="AO26" s="16">
        <v>0</v>
      </c>
      <c r="AP26" s="16">
        <v>0</v>
      </c>
      <c r="AQ26" s="16">
        <v>0</v>
      </c>
      <c r="AR26" s="16">
        <v>0</v>
      </c>
      <c r="AS26" s="16">
        <v>0</v>
      </c>
      <c r="AT26" s="16">
        <v>0</v>
      </c>
      <c r="AU26" s="16">
        <v>0</v>
      </c>
      <c r="AV26" s="16">
        <v>0</v>
      </c>
      <c r="AW26" s="16">
        <v>0</v>
      </c>
      <c r="AX26" s="16">
        <v>0</v>
      </c>
      <c r="AY26" s="16">
        <v>0</v>
      </c>
      <c r="AZ26" s="16">
        <v>0</v>
      </c>
      <c r="BA26" s="16">
        <v>0</v>
      </c>
      <c r="BB26" s="16">
        <v>0</v>
      </c>
      <c r="BC26" s="16">
        <v>0</v>
      </c>
      <c r="BD26" s="16">
        <v>0</v>
      </c>
      <c r="BE26" s="16">
        <v>0</v>
      </c>
      <c r="BF26" s="16">
        <v>0</v>
      </c>
      <c r="BG26" s="16">
        <v>0</v>
      </c>
      <c r="BH26" s="16">
        <v>0</v>
      </c>
      <c r="BI26" s="16">
        <v>0</v>
      </c>
      <c r="BJ26" s="16">
        <v>0</v>
      </c>
      <c r="BK26" s="19">
        <v>0</v>
      </c>
      <c r="BL26" s="23"/>
    </row>
    <row r="27" spans="1:64">
      <c r="A27">
        <f>СВ!B37</f>
        <v>10</v>
      </c>
      <c r="B27" s="5">
        <f>СВ!C37</f>
        <v>0.41666666666666669</v>
      </c>
      <c r="C27" s="5">
        <f>СВ!D37</f>
        <v>0.45833333333333331</v>
      </c>
      <c r="D27" s="13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 s="14">
        <v>0</v>
      </c>
      <c r="AG27" s="14">
        <v>0</v>
      </c>
      <c r="AH27" s="14">
        <v>0</v>
      </c>
      <c r="AI27" s="14">
        <v>0</v>
      </c>
      <c r="AJ27" s="14">
        <v>0</v>
      </c>
      <c r="AK27" s="14">
        <v>0</v>
      </c>
      <c r="AL27" s="14">
        <v>0</v>
      </c>
      <c r="AM27" s="14">
        <v>0</v>
      </c>
      <c r="AN27" s="14">
        <v>0</v>
      </c>
      <c r="AO27" s="14">
        <v>0</v>
      </c>
      <c r="AP27" s="14">
        <v>0</v>
      </c>
      <c r="AQ27" s="14">
        <v>0</v>
      </c>
      <c r="AR27" s="14">
        <v>0</v>
      </c>
      <c r="AS27" s="14">
        <v>0</v>
      </c>
      <c r="AT27" s="14">
        <v>0</v>
      </c>
      <c r="AU27" s="14">
        <v>0</v>
      </c>
      <c r="AV27" s="14">
        <v>0</v>
      </c>
      <c r="AW27" s="14">
        <v>0</v>
      </c>
      <c r="AX27" s="14">
        <v>0</v>
      </c>
      <c r="AY27" s="14">
        <v>0</v>
      </c>
      <c r="AZ27" s="14">
        <v>0</v>
      </c>
      <c r="BA27" s="14">
        <v>0</v>
      </c>
      <c r="BB27" s="14">
        <v>0</v>
      </c>
      <c r="BC27" s="14">
        <v>0</v>
      </c>
      <c r="BD27" s="14">
        <v>0</v>
      </c>
      <c r="BE27" s="14">
        <v>0</v>
      </c>
      <c r="BF27" s="14">
        <v>0</v>
      </c>
      <c r="BG27" s="14">
        <v>0</v>
      </c>
      <c r="BH27" s="14">
        <v>0</v>
      </c>
      <c r="BI27" s="14">
        <v>0</v>
      </c>
      <c r="BJ27" s="14">
        <v>0</v>
      </c>
      <c r="BK27" s="18">
        <v>0</v>
      </c>
      <c r="BL27" s="23"/>
    </row>
    <row r="28" spans="1:64">
      <c r="A28">
        <f>СВ!B38</f>
        <v>11</v>
      </c>
      <c r="B28" s="5">
        <f>СВ!C38</f>
        <v>0.42708333333333331</v>
      </c>
      <c r="C28" s="5">
        <f>СВ!D38</f>
        <v>0.45833333333333331</v>
      </c>
      <c r="D28" s="15">
        <v>0</v>
      </c>
      <c r="E28" s="16">
        <v>0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X28" s="16">
        <v>0</v>
      </c>
      <c r="Y28" s="16">
        <v>0</v>
      </c>
      <c r="Z28" s="16">
        <v>0</v>
      </c>
      <c r="AA28" s="16">
        <v>0</v>
      </c>
      <c r="AB28" s="16">
        <v>0</v>
      </c>
      <c r="AC28" s="16">
        <v>0</v>
      </c>
      <c r="AD28" s="16">
        <v>0</v>
      </c>
      <c r="AE28" s="16">
        <v>0</v>
      </c>
      <c r="AF28" s="16">
        <v>0</v>
      </c>
      <c r="AG28" s="16">
        <v>0</v>
      </c>
      <c r="AH28" s="16">
        <v>0</v>
      </c>
      <c r="AI28" s="16">
        <v>0</v>
      </c>
      <c r="AJ28" s="16">
        <v>0</v>
      </c>
      <c r="AK28" s="16">
        <v>0</v>
      </c>
      <c r="AL28" s="16">
        <v>0</v>
      </c>
      <c r="AM28" s="16">
        <v>0</v>
      </c>
      <c r="AN28" s="16">
        <v>0</v>
      </c>
      <c r="AO28" s="16">
        <v>0</v>
      </c>
      <c r="AP28" s="16">
        <v>0</v>
      </c>
      <c r="AQ28" s="16">
        <v>0</v>
      </c>
      <c r="AR28" s="16">
        <v>0</v>
      </c>
      <c r="AS28" s="16">
        <v>0</v>
      </c>
      <c r="AT28" s="16">
        <v>0</v>
      </c>
      <c r="AU28" s="16">
        <v>0</v>
      </c>
      <c r="AV28" s="16">
        <v>0</v>
      </c>
      <c r="AW28" s="16">
        <v>0</v>
      </c>
      <c r="AX28" s="16">
        <v>0</v>
      </c>
      <c r="AY28" s="16">
        <v>0</v>
      </c>
      <c r="AZ28" s="16">
        <v>0</v>
      </c>
      <c r="BA28" s="16">
        <v>0</v>
      </c>
      <c r="BB28" s="16">
        <v>0</v>
      </c>
      <c r="BC28" s="16">
        <v>0</v>
      </c>
      <c r="BD28" s="16">
        <v>0</v>
      </c>
      <c r="BE28" s="16">
        <v>0</v>
      </c>
      <c r="BF28" s="16">
        <v>0</v>
      </c>
      <c r="BG28" s="16">
        <v>0</v>
      </c>
      <c r="BH28" s="16">
        <v>0</v>
      </c>
      <c r="BI28" s="16">
        <v>0</v>
      </c>
      <c r="BJ28" s="16">
        <v>0</v>
      </c>
      <c r="BK28" s="19">
        <v>0</v>
      </c>
      <c r="BL28" s="23"/>
    </row>
    <row r="29" spans="1:64">
      <c r="A29">
        <f>СВ!B39</f>
        <v>12</v>
      </c>
      <c r="B29" s="5">
        <f>СВ!C39</f>
        <v>0.4375</v>
      </c>
      <c r="C29" s="5">
        <f>СВ!D39</f>
        <v>0.46875</v>
      </c>
      <c r="D29" s="13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>
        <v>0</v>
      </c>
      <c r="AC29" s="14">
        <v>0</v>
      </c>
      <c r="AD29" s="14">
        <v>0</v>
      </c>
      <c r="AE29" s="14">
        <v>0</v>
      </c>
      <c r="AF29" s="14">
        <v>0</v>
      </c>
      <c r="AG29" s="14">
        <v>0</v>
      </c>
      <c r="AH29" s="14">
        <v>0</v>
      </c>
      <c r="AI29" s="14">
        <v>0</v>
      </c>
      <c r="AJ29" s="14">
        <v>0</v>
      </c>
      <c r="AK29" s="14">
        <v>0</v>
      </c>
      <c r="AL29" s="14">
        <v>0</v>
      </c>
      <c r="AM29" s="14">
        <v>0</v>
      </c>
      <c r="AN29" s="14">
        <v>0</v>
      </c>
      <c r="AO29" s="14">
        <v>0</v>
      </c>
      <c r="AP29" s="14">
        <v>0</v>
      </c>
      <c r="AQ29" s="14">
        <v>0</v>
      </c>
      <c r="AR29" s="14">
        <v>0</v>
      </c>
      <c r="AS29" s="14">
        <v>0</v>
      </c>
      <c r="AT29" s="14">
        <v>0</v>
      </c>
      <c r="AU29" s="14">
        <v>0</v>
      </c>
      <c r="AV29" s="14">
        <v>0</v>
      </c>
      <c r="AW29" s="14">
        <v>0</v>
      </c>
      <c r="AX29" s="14">
        <v>0</v>
      </c>
      <c r="AY29" s="14">
        <v>0</v>
      </c>
      <c r="AZ29" s="14">
        <v>0</v>
      </c>
      <c r="BA29" s="14">
        <v>0</v>
      </c>
      <c r="BB29" s="14">
        <v>0</v>
      </c>
      <c r="BC29" s="14">
        <v>0</v>
      </c>
      <c r="BD29" s="14">
        <v>0</v>
      </c>
      <c r="BE29" s="14">
        <v>0</v>
      </c>
      <c r="BF29" s="14">
        <v>0</v>
      </c>
      <c r="BG29" s="14">
        <v>0</v>
      </c>
      <c r="BH29" s="14">
        <v>0</v>
      </c>
      <c r="BI29" s="14">
        <v>0</v>
      </c>
      <c r="BJ29" s="14">
        <v>0</v>
      </c>
      <c r="BK29" s="18">
        <v>0</v>
      </c>
      <c r="BL29" s="23"/>
    </row>
    <row r="30" spans="1:64">
      <c r="A30">
        <f>СВ!B40</f>
        <v>13</v>
      </c>
      <c r="B30" s="5">
        <f>СВ!C40</f>
        <v>0.44791666666666669</v>
      </c>
      <c r="C30" s="5">
        <f>СВ!D40</f>
        <v>0.47916666666666669</v>
      </c>
      <c r="D30" s="15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  <c r="O30" s="16">
        <v>0</v>
      </c>
      <c r="P30" s="16">
        <v>0</v>
      </c>
      <c r="Q30" s="16">
        <v>0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X30" s="16">
        <v>0</v>
      </c>
      <c r="Y30" s="16">
        <v>0</v>
      </c>
      <c r="Z30" s="16">
        <v>0</v>
      </c>
      <c r="AA30" s="16">
        <v>0</v>
      </c>
      <c r="AB30" s="16">
        <v>0</v>
      </c>
      <c r="AC30" s="16">
        <v>0</v>
      </c>
      <c r="AD30" s="16">
        <v>0</v>
      </c>
      <c r="AE30" s="16">
        <v>0</v>
      </c>
      <c r="AF30" s="16">
        <v>0</v>
      </c>
      <c r="AG30" s="16">
        <v>0</v>
      </c>
      <c r="AH30" s="16">
        <v>0</v>
      </c>
      <c r="AI30" s="16">
        <v>0</v>
      </c>
      <c r="AJ30" s="16">
        <v>0</v>
      </c>
      <c r="AK30" s="16">
        <v>0</v>
      </c>
      <c r="AL30" s="16">
        <v>0</v>
      </c>
      <c r="AM30" s="16">
        <v>0</v>
      </c>
      <c r="AN30" s="16">
        <v>0</v>
      </c>
      <c r="AO30" s="16">
        <v>0</v>
      </c>
      <c r="AP30" s="16">
        <v>0</v>
      </c>
      <c r="AQ30" s="16">
        <v>0</v>
      </c>
      <c r="AR30" s="16">
        <v>0</v>
      </c>
      <c r="AS30" s="16">
        <v>0</v>
      </c>
      <c r="AT30" s="16">
        <v>0</v>
      </c>
      <c r="AU30" s="16">
        <v>0</v>
      </c>
      <c r="AV30" s="16">
        <v>0</v>
      </c>
      <c r="AW30" s="16">
        <v>0</v>
      </c>
      <c r="AX30" s="16">
        <v>0</v>
      </c>
      <c r="AY30" s="16">
        <v>0</v>
      </c>
      <c r="AZ30" s="16">
        <v>0</v>
      </c>
      <c r="BA30" s="16">
        <v>0</v>
      </c>
      <c r="BB30" s="16">
        <v>0</v>
      </c>
      <c r="BC30" s="16">
        <v>0</v>
      </c>
      <c r="BD30" s="16">
        <v>0</v>
      </c>
      <c r="BE30" s="16">
        <v>0</v>
      </c>
      <c r="BF30" s="16">
        <v>0</v>
      </c>
      <c r="BG30" s="16">
        <v>0</v>
      </c>
      <c r="BH30" s="16">
        <v>0</v>
      </c>
      <c r="BI30" s="16">
        <v>0</v>
      </c>
      <c r="BJ30" s="16">
        <v>0</v>
      </c>
      <c r="BK30" s="19">
        <v>0</v>
      </c>
      <c r="BL30" s="23"/>
    </row>
    <row r="31" spans="1:64">
      <c r="A31">
        <f>СВ!B41</f>
        <v>14</v>
      </c>
      <c r="B31" s="5">
        <f>СВ!C41</f>
        <v>0.45833333333333337</v>
      </c>
      <c r="C31" s="5">
        <f>СВ!D41</f>
        <v>0.5</v>
      </c>
      <c r="D31" s="13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 s="14">
        <v>0</v>
      </c>
      <c r="AG31" s="14">
        <v>0</v>
      </c>
      <c r="AH31" s="14">
        <v>0</v>
      </c>
      <c r="AI31" s="14">
        <v>0</v>
      </c>
      <c r="AJ31" s="14">
        <v>0</v>
      </c>
      <c r="AK31" s="14">
        <v>0</v>
      </c>
      <c r="AL31" s="14">
        <v>0</v>
      </c>
      <c r="AM31" s="14">
        <v>0</v>
      </c>
      <c r="AN31" s="14">
        <v>0</v>
      </c>
      <c r="AO31" s="14">
        <v>0</v>
      </c>
      <c r="AP31" s="14">
        <v>0</v>
      </c>
      <c r="AQ31" s="14">
        <v>0</v>
      </c>
      <c r="AR31" s="14">
        <v>0</v>
      </c>
      <c r="AS31" s="14">
        <v>0</v>
      </c>
      <c r="AT31" s="14">
        <v>0</v>
      </c>
      <c r="AU31" s="14">
        <v>0</v>
      </c>
      <c r="AV31" s="14">
        <v>0</v>
      </c>
      <c r="AW31" s="14">
        <v>0</v>
      </c>
      <c r="AX31" s="14">
        <v>0</v>
      </c>
      <c r="AY31" s="14">
        <v>0</v>
      </c>
      <c r="AZ31" s="14">
        <v>0</v>
      </c>
      <c r="BA31" s="14">
        <v>0</v>
      </c>
      <c r="BB31" s="14">
        <v>0</v>
      </c>
      <c r="BC31" s="14">
        <v>0</v>
      </c>
      <c r="BD31" s="14">
        <v>0</v>
      </c>
      <c r="BE31" s="14">
        <v>0</v>
      </c>
      <c r="BF31" s="14">
        <v>0</v>
      </c>
      <c r="BG31" s="14">
        <v>0</v>
      </c>
      <c r="BH31" s="14">
        <v>0</v>
      </c>
      <c r="BI31" s="14">
        <v>0</v>
      </c>
      <c r="BJ31" s="14">
        <v>0</v>
      </c>
      <c r="BK31" s="18">
        <v>0</v>
      </c>
      <c r="BL31" s="23"/>
    </row>
    <row r="32" spans="1:64">
      <c r="A32">
        <f>СВ!B42</f>
        <v>15</v>
      </c>
      <c r="B32" s="5">
        <f>СВ!C42</f>
        <v>0.46875</v>
      </c>
      <c r="C32" s="5">
        <f>СВ!D42</f>
        <v>0.5</v>
      </c>
      <c r="D32" s="15">
        <v>0</v>
      </c>
      <c r="E32" s="16">
        <v>0</v>
      </c>
      <c r="F32" s="16">
        <v>0</v>
      </c>
      <c r="G32" s="16">
        <v>0</v>
      </c>
      <c r="H32" s="16">
        <v>0</v>
      </c>
      <c r="I32" s="16">
        <v>1</v>
      </c>
      <c r="J32" s="16">
        <v>0</v>
      </c>
      <c r="K32" s="16">
        <v>0</v>
      </c>
      <c r="L32" s="16">
        <v>0</v>
      </c>
      <c r="M32" s="16">
        <v>0</v>
      </c>
      <c r="N32" s="16">
        <v>0</v>
      </c>
      <c r="O32" s="16">
        <v>0</v>
      </c>
      <c r="P32" s="16">
        <v>0</v>
      </c>
      <c r="Q32" s="16">
        <v>0</v>
      </c>
      <c r="R32" s="16">
        <v>0</v>
      </c>
      <c r="S32" s="16">
        <v>0</v>
      </c>
      <c r="T32" s="16">
        <v>0</v>
      </c>
      <c r="U32" s="16">
        <v>0</v>
      </c>
      <c r="V32" s="16">
        <v>0</v>
      </c>
      <c r="W32" s="16">
        <v>0</v>
      </c>
      <c r="X32" s="16">
        <v>0</v>
      </c>
      <c r="Y32" s="16">
        <v>0</v>
      </c>
      <c r="Z32" s="16">
        <v>0</v>
      </c>
      <c r="AA32" s="16">
        <v>0</v>
      </c>
      <c r="AB32" s="16">
        <v>0</v>
      </c>
      <c r="AC32" s="16">
        <v>0</v>
      </c>
      <c r="AD32" s="16">
        <v>0</v>
      </c>
      <c r="AE32" s="16">
        <v>0</v>
      </c>
      <c r="AF32" s="16">
        <v>0</v>
      </c>
      <c r="AG32" s="16">
        <v>0</v>
      </c>
      <c r="AH32" s="16">
        <v>0</v>
      </c>
      <c r="AI32" s="16">
        <v>0</v>
      </c>
      <c r="AJ32" s="16">
        <v>0</v>
      </c>
      <c r="AK32" s="16">
        <v>0</v>
      </c>
      <c r="AL32" s="16">
        <v>0</v>
      </c>
      <c r="AM32" s="16">
        <v>0</v>
      </c>
      <c r="AN32" s="16">
        <v>0</v>
      </c>
      <c r="AO32" s="16">
        <v>0</v>
      </c>
      <c r="AP32" s="16">
        <v>0</v>
      </c>
      <c r="AQ32" s="16">
        <v>0</v>
      </c>
      <c r="AR32" s="16">
        <v>0</v>
      </c>
      <c r="AS32" s="16">
        <v>0</v>
      </c>
      <c r="AT32" s="16">
        <v>0</v>
      </c>
      <c r="AU32" s="16">
        <v>0</v>
      </c>
      <c r="AV32" s="16">
        <v>0</v>
      </c>
      <c r="AW32" s="16">
        <v>0</v>
      </c>
      <c r="AX32" s="16">
        <v>0</v>
      </c>
      <c r="AY32" s="16">
        <v>0</v>
      </c>
      <c r="AZ32" s="16">
        <v>0</v>
      </c>
      <c r="BA32" s="16">
        <v>0</v>
      </c>
      <c r="BB32" s="16">
        <v>0</v>
      </c>
      <c r="BC32" s="16">
        <v>0</v>
      </c>
      <c r="BD32" s="16">
        <v>0</v>
      </c>
      <c r="BE32" s="16">
        <v>0</v>
      </c>
      <c r="BF32" s="16">
        <v>0</v>
      </c>
      <c r="BG32" s="16">
        <v>0</v>
      </c>
      <c r="BH32" s="16">
        <v>0</v>
      </c>
      <c r="BI32" s="16">
        <v>0</v>
      </c>
      <c r="BJ32" s="16">
        <v>0</v>
      </c>
      <c r="BK32" s="19">
        <v>0</v>
      </c>
      <c r="BL32" s="23"/>
    </row>
    <row r="33" spans="1:64">
      <c r="A33">
        <f>СВ!B43</f>
        <v>16</v>
      </c>
      <c r="B33" s="5">
        <f>СВ!C43</f>
        <v>0.47916666666666669</v>
      </c>
      <c r="C33" s="5">
        <f>СВ!D43</f>
        <v>0.51041666666666663</v>
      </c>
      <c r="D33" s="13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4">
        <v>0</v>
      </c>
      <c r="AD33" s="14">
        <v>0</v>
      </c>
      <c r="AE33" s="14">
        <v>0</v>
      </c>
      <c r="AF33" s="14">
        <v>0</v>
      </c>
      <c r="AG33" s="14">
        <v>0</v>
      </c>
      <c r="AH33" s="14">
        <v>0</v>
      </c>
      <c r="AI33" s="14">
        <v>0</v>
      </c>
      <c r="AJ33" s="14">
        <v>0</v>
      </c>
      <c r="AK33" s="14">
        <v>0</v>
      </c>
      <c r="AL33" s="14">
        <v>0</v>
      </c>
      <c r="AM33" s="14">
        <v>0</v>
      </c>
      <c r="AN33" s="14">
        <v>0</v>
      </c>
      <c r="AO33" s="14">
        <v>0</v>
      </c>
      <c r="AP33" s="14">
        <v>0</v>
      </c>
      <c r="AQ33" s="14">
        <v>0</v>
      </c>
      <c r="AR33" s="14">
        <v>0</v>
      </c>
      <c r="AS33" s="14">
        <v>0</v>
      </c>
      <c r="AT33" s="14">
        <v>0</v>
      </c>
      <c r="AU33" s="14">
        <v>0</v>
      </c>
      <c r="AV33" s="14">
        <v>0</v>
      </c>
      <c r="AW33" s="14">
        <v>0</v>
      </c>
      <c r="AX33" s="14">
        <v>0</v>
      </c>
      <c r="AY33" s="14">
        <v>0</v>
      </c>
      <c r="AZ33" s="14">
        <v>0</v>
      </c>
      <c r="BA33" s="14">
        <v>0</v>
      </c>
      <c r="BB33" s="14">
        <v>0</v>
      </c>
      <c r="BC33" s="14">
        <v>0</v>
      </c>
      <c r="BD33" s="14">
        <v>0</v>
      </c>
      <c r="BE33" s="14">
        <v>0</v>
      </c>
      <c r="BF33" s="14">
        <v>0</v>
      </c>
      <c r="BG33" s="14">
        <v>0</v>
      </c>
      <c r="BH33" s="14">
        <v>0</v>
      </c>
      <c r="BI33" s="14">
        <v>0</v>
      </c>
      <c r="BJ33" s="14">
        <v>0</v>
      </c>
      <c r="BK33" s="18">
        <v>0</v>
      </c>
      <c r="BL33" s="23"/>
    </row>
    <row r="34" spans="1:64">
      <c r="A34">
        <f>СВ!B44</f>
        <v>17</v>
      </c>
      <c r="B34" s="5">
        <f>СВ!C44</f>
        <v>0.48958333333333337</v>
      </c>
      <c r="C34" s="5">
        <f>СВ!D44</f>
        <v>0.52083333333333337</v>
      </c>
      <c r="D34" s="15">
        <v>0</v>
      </c>
      <c r="E34" s="16">
        <v>0</v>
      </c>
      <c r="F34" s="16">
        <v>0</v>
      </c>
      <c r="G34" s="16">
        <v>0</v>
      </c>
      <c r="H34" s="16">
        <v>0</v>
      </c>
      <c r="I34" s="16">
        <v>0</v>
      </c>
      <c r="J34" s="16">
        <v>0</v>
      </c>
      <c r="K34" s="16">
        <v>0</v>
      </c>
      <c r="L34" s="16">
        <v>0</v>
      </c>
      <c r="M34" s="16">
        <v>0</v>
      </c>
      <c r="N34" s="16">
        <v>0</v>
      </c>
      <c r="O34" s="16">
        <v>0</v>
      </c>
      <c r="P34" s="16">
        <v>0</v>
      </c>
      <c r="Q34" s="16">
        <v>0</v>
      </c>
      <c r="R34" s="16">
        <v>0</v>
      </c>
      <c r="S34" s="16">
        <v>0</v>
      </c>
      <c r="T34" s="16">
        <v>0</v>
      </c>
      <c r="U34" s="16">
        <v>0</v>
      </c>
      <c r="V34" s="16">
        <v>0</v>
      </c>
      <c r="W34" s="16">
        <v>0</v>
      </c>
      <c r="X34" s="16">
        <v>0</v>
      </c>
      <c r="Y34" s="16">
        <v>0</v>
      </c>
      <c r="Z34" s="16">
        <v>0</v>
      </c>
      <c r="AA34" s="16">
        <v>0</v>
      </c>
      <c r="AB34" s="16">
        <v>0</v>
      </c>
      <c r="AC34" s="16">
        <v>0</v>
      </c>
      <c r="AD34" s="16">
        <v>0</v>
      </c>
      <c r="AE34" s="16">
        <v>0</v>
      </c>
      <c r="AF34" s="16">
        <v>0</v>
      </c>
      <c r="AG34" s="16">
        <v>0</v>
      </c>
      <c r="AH34" s="16">
        <v>0</v>
      </c>
      <c r="AI34" s="16">
        <v>0</v>
      </c>
      <c r="AJ34" s="16">
        <v>0</v>
      </c>
      <c r="AK34" s="16">
        <v>0</v>
      </c>
      <c r="AL34" s="16">
        <v>0</v>
      </c>
      <c r="AM34" s="16">
        <v>0</v>
      </c>
      <c r="AN34" s="16">
        <v>0</v>
      </c>
      <c r="AO34" s="16">
        <v>0</v>
      </c>
      <c r="AP34" s="16">
        <v>0</v>
      </c>
      <c r="AQ34" s="16">
        <v>0</v>
      </c>
      <c r="AR34" s="16">
        <v>0</v>
      </c>
      <c r="AS34" s="16">
        <v>0</v>
      </c>
      <c r="AT34" s="16">
        <v>0</v>
      </c>
      <c r="AU34" s="16">
        <v>0</v>
      </c>
      <c r="AV34" s="16">
        <v>0</v>
      </c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0</v>
      </c>
      <c r="BD34" s="16">
        <v>0</v>
      </c>
      <c r="BE34" s="16">
        <v>0</v>
      </c>
      <c r="BF34" s="16">
        <v>0</v>
      </c>
      <c r="BG34" s="16">
        <v>0</v>
      </c>
      <c r="BH34" s="16">
        <v>0</v>
      </c>
      <c r="BI34" s="16">
        <v>0</v>
      </c>
      <c r="BJ34" s="16">
        <v>0</v>
      </c>
      <c r="BK34" s="19">
        <v>0</v>
      </c>
      <c r="BL34" s="23"/>
    </row>
    <row r="35" spans="1:64">
      <c r="A35">
        <f>СВ!B45</f>
        <v>18</v>
      </c>
      <c r="B35" s="5">
        <f>СВ!C45</f>
        <v>0.5</v>
      </c>
      <c r="C35" s="5">
        <f>СВ!D45</f>
        <v>0.54166666666666663</v>
      </c>
      <c r="D35" s="13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4">
        <v>0</v>
      </c>
      <c r="AE35" s="14">
        <v>0</v>
      </c>
      <c r="AF35" s="14">
        <v>0</v>
      </c>
      <c r="AG35" s="14">
        <v>0</v>
      </c>
      <c r="AH35" s="14">
        <v>0</v>
      </c>
      <c r="AI35" s="14">
        <v>0</v>
      </c>
      <c r="AJ35" s="14">
        <v>0</v>
      </c>
      <c r="AK35" s="14">
        <v>0</v>
      </c>
      <c r="AL35" s="14">
        <v>0</v>
      </c>
      <c r="AM35" s="14">
        <v>0</v>
      </c>
      <c r="AN35" s="14">
        <v>0</v>
      </c>
      <c r="AO35" s="14">
        <v>0</v>
      </c>
      <c r="AP35" s="14">
        <v>0</v>
      </c>
      <c r="AQ35" s="14">
        <v>0</v>
      </c>
      <c r="AR35" s="14">
        <v>0</v>
      </c>
      <c r="AS35" s="14">
        <v>0</v>
      </c>
      <c r="AT35" s="14">
        <v>0</v>
      </c>
      <c r="AU35" s="14">
        <v>0</v>
      </c>
      <c r="AV35" s="14">
        <v>0</v>
      </c>
      <c r="AW35" s="14">
        <v>0</v>
      </c>
      <c r="AX35" s="14">
        <v>0</v>
      </c>
      <c r="AY35" s="14">
        <v>0</v>
      </c>
      <c r="AZ35" s="14">
        <v>0</v>
      </c>
      <c r="BA35" s="14">
        <v>0</v>
      </c>
      <c r="BB35" s="14">
        <v>0</v>
      </c>
      <c r="BC35" s="14">
        <v>0</v>
      </c>
      <c r="BD35" s="14">
        <v>0</v>
      </c>
      <c r="BE35" s="14">
        <v>0</v>
      </c>
      <c r="BF35" s="14">
        <v>0</v>
      </c>
      <c r="BG35" s="14">
        <v>0</v>
      </c>
      <c r="BH35" s="14">
        <v>0</v>
      </c>
      <c r="BI35" s="14">
        <v>0</v>
      </c>
      <c r="BJ35" s="14">
        <v>0</v>
      </c>
      <c r="BK35" s="18">
        <v>0</v>
      </c>
      <c r="BL35" s="23"/>
    </row>
    <row r="36" spans="1:64">
      <c r="A36">
        <f>СВ!B46</f>
        <v>19</v>
      </c>
      <c r="B36" s="5">
        <f>СВ!C46</f>
        <v>0.51041666666666663</v>
      </c>
      <c r="C36" s="5">
        <f>СВ!D46</f>
        <v>0.54166666666666663</v>
      </c>
      <c r="D36" s="15">
        <v>0</v>
      </c>
      <c r="E36" s="16">
        <v>0</v>
      </c>
      <c r="F36" s="16">
        <v>0</v>
      </c>
      <c r="G36" s="16">
        <v>0</v>
      </c>
      <c r="H36" s="16">
        <v>0</v>
      </c>
      <c r="I36" s="16">
        <v>0</v>
      </c>
      <c r="J36" s="16">
        <v>0</v>
      </c>
      <c r="K36" s="16">
        <v>0</v>
      </c>
      <c r="L36" s="16">
        <v>0</v>
      </c>
      <c r="M36" s="16">
        <v>0</v>
      </c>
      <c r="N36" s="16">
        <v>0</v>
      </c>
      <c r="O36" s="16">
        <v>0</v>
      </c>
      <c r="P36" s="16">
        <v>0</v>
      </c>
      <c r="Q36" s="16">
        <v>0</v>
      </c>
      <c r="R36" s="16">
        <v>0</v>
      </c>
      <c r="S36" s="16">
        <v>0</v>
      </c>
      <c r="T36" s="16">
        <v>0</v>
      </c>
      <c r="U36" s="16">
        <v>0</v>
      </c>
      <c r="V36" s="16">
        <v>0</v>
      </c>
      <c r="W36" s="16">
        <v>0</v>
      </c>
      <c r="X36" s="16">
        <v>0</v>
      </c>
      <c r="Y36" s="16">
        <v>0</v>
      </c>
      <c r="Z36" s="16">
        <v>0</v>
      </c>
      <c r="AA36" s="16">
        <v>0</v>
      </c>
      <c r="AB36" s="16">
        <v>0</v>
      </c>
      <c r="AC36" s="16">
        <v>0</v>
      </c>
      <c r="AD36" s="16">
        <v>0</v>
      </c>
      <c r="AE36" s="16">
        <v>0</v>
      </c>
      <c r="AF36" s="16">
        <v>0</v>
      </c>
      <c r="AG36" s="16">
        <v>0</v>
      </c>
      <c r="AH36" s="16">
        <v>0</v>
      </c>
      <c r="AI36" s="16">
        <v>0</v>
      </c>
      <c r="AJ36" s="16">
        <v>0</v>
      </c>
      <c r="AK36" s="16">
        <v>0</v>
      </c>
      <c r="AL36" s="16">
        <v>0</v>
      </c>
      <c r="AM36" s="16">
        <v>0</v>
      </c>
      <c r="AN36" s="16">
        <v>0</v>
      </c>
      <c r="AO36" s="16">
        <v>0</v>
      </c>
      <c r="AP36" s="16">
        <v>0</v>
      </c>
      <c r="AQ36" s="16">
        <v>0</v>
      </c>
      <c r="AR36" s="16">
        <v>0</v>
      </c>
      <c r="AS36" s="16">
        <v>0</v>
      </c>
      <c r="AT36" s="16">
        <v>0</v>
      </c>
      <c r="AU36" s="16">
        <v>0</v>
      </c>
      <c r="AV36" s="16">
        <v>0</v>
      </c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0</v>
      </c>
      <c r="BD36" s="16">
        <v>0</v>
      </c>
      <c r="BE36" s="16">
        <v>0</v>
      </c>
      <c r="BF36" s="16">
        <v>0</v>
      </c>
      <c r="BG36" s="16">
        <v>0</v>
      </c>
      <c r="BH36" s="16">
        <v>0</v>
      </c>
      <c r="BI36" s="16">
        <v>0</v>
      </c>
      <c r="BJ36" s="16">
        <v>0</v>
      </c>
      <c r="BK36" s="19">
        <v>0</v>
      </c>
      <c r="BL36" s="23"/>
    </row>
    <row r="37" spans="1:64">
      <c r="A37">
        <f>СВ!B47</f>
        <v>20</v>
      </c>
      <c r="B37" s="5">
        <f>СВ!C47</f>
        <v>0.52083333333333337</v>
      </c>
      <c r="C37" s="5">
        <f>СВ!D47</f>
        <v>0.55208333333333326</v>
      </c>
      <c r="D37" s="13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 s="14">
        <v>0</v>
      </c>
      <c r="AG37" s="14">
        <v>0</v>
      </c>
      <c r="AH37" s="14">
        <v>0</v>
      </c>
      <c r="AI37" s="14">
        <v>0</v>
      </c>
      <c r="AJ37" s="14">
        <v>0</v>
      </c>
      <c r="AK37" s="14">
        <v>0</v>
      </c>
      <c r="AL37" s="14">
        <v>0</v>
      </c>
      <c r="AM37" s="14">
        <v>0</v>
      </c>
      <c r="AN37" s="14">
        <v>0</v>
      </c>
      <c r="AO37" s="14">
        <v>0</v>
      </c>
      <c r="AP37" s="14">
        <v>0</v>
      </c>
      <c r="AQ37" s="14">
        <v>0</v>
      </c>
      <c r="AR37" s="14">
        <v>0</v>
      </c>
      <c r="AS37" s="14">
        <v>0</v>
      </c>
      <c r="AT37" s="14">
        <v>0</v>
      </c>
      <c r="AU37" s="14">
        <v>0</v>
      </c>
      <c r="AV37" s="14">
        <v>0</v>
      </c>
      <c r="AW37" s="14">
        <v>0</v>
      </c>
      <c r="AX37" s="14">
        <v>0</v>
      </c>
      <c r="AY37" s="14">
        <v>0</v>
      </c>
      <c r="AZ37" s="14">
        <v>0</v>
      </c>
      <c r="BA37" s="14">
        <v>0</v>
      </c>
      <c r="BB37" s="14">
        <v>0</v>
      </c>
      <c r="BC37" s="14">
        <v>0</v>
      </c>
      <c r="BD37" s="14">
        <v>0</v>
      </c>
      <c r="BE37" s="14">
        <v>0</v>
      </c>
      <c r="BF37" s="14">
        <v>0</v>
      </c>
      <c r="BG37" s="14">
        <v>0</v>
      </c>
      <c r="BH37" s="14">
        <v>0</v>
      </c>
      <c r="BI37" s="14">
        <v>0</v>
      </c>
      <c r="BJ37" s="14">
        <v>0</v>
      </c>
      <c r="BK37" s="18">
        <v>0</v>
      </c>
      <c r="BL37" s="23"/>
    </row>
    <row r="38" spans="1:64">
      <c r="A38">
        <f>СВ!B48</f>
        <v>21</v>
      </c>
      <c r="B38" s="5">
        <f>СВ!C48</f>
        <v>0.53125</v>
      </c>
      <c r="C38" s="5">
        <f>СВ!D48</f>
        <v>0.5625</v>
      </c>
      <c r="D38" s="15">
        <v>0</v>
      </c>
      <c r="E38" s="16">
        <v>0</v>
      </c>
      <c r="F38" s="16">
        <v>0</v>
      </c>
      <c r="G38" s="16">
        <v>0</v>
      </c>
      <c r="H38" s="16">
        <v>0</v>
      </c>
      <c r="I38" s="16">
        <v>0</v>
      </c>
      <c r="J38" s="16">
        <v>0</v>
      </c>
      <c r="K38" s="16">
        <v>0</v>
      </c>
      <c r="L38" s="16">
        <v>0</v>
      </c>
      <c r="M38" s="16">
        <v>0</v>
      </c>
      <c r="N38" s="16">
        <v>0</v>
      </c>
      <c r="O38" s="16">
        <v>0</v>
      </c>
      <c r="P38" s="16">
        <v>0</v>
      </c>
      <c r="Q38" s="16">
        <v>0</v>
      </c>
      <c r="R38" s="16">
        <v>0</v>
      </c>
      <c r="S38" s="16">
        <v>0</v>
      </c>
      <c r="T38" s="16">
        <v>0</v>
      </c>
      <c r="U38" s="16">
        <v>0</v>
      </c>
      <c r="V38" s="16">
        <v>0</v>
      </c>
      <c r="W38" s="16">
        <v>0</v>
      </c>
      <c r="X38" s="16">
        <v>0</v>
      </c>
      <c r="Y38" s="16">
        <v>0</v>
      </c>
      <c r="Z38" s="16">
        <v>0</v>
      </c>
      <c r="AA38" s="16">
        <v>0</v>
      </c>
      <c r="AB38" s="16">
        <v>0</v>
      </c>
      <c r="AC38" s="16">
        <v>0</v>
      </c>
      <c r="AD38" s="16">
        <v>0</v>
      </c>
      <c r="AE38" s="16">
        <v>0</v>
      </c>
      <c r="AF38" s="16">
        <v>0</v>
      </c>
      <c r="AG38" s="16">
        <v>0</v>
      </c>
      <c r="AH38" s="16">
        <v>0</v>
      </c>
      <c r="AI38" s="16">
        <v>0</v>
      </c>
      <c r="AJ38" s="16">
        <v>0</v>
      </c>
      <c r="AK38" s="16">
        <v>0</v>
      </c>
      <c r="AL38" s="16">
        <v>0</v>
      </c>
      <c r="AM38" s="16">
        <v>0</v>
      </c>
      <c r="AN38" s="16">
        <v>0</v>
      </c>
      <c r="AO38" s="16">
        <v>0</v>
      </c>
      <c r="AP38" s="16">
        <v>0</v>
      </c>
      <c r="AQ38" s="16">
        <v>0</v>
      </c>
      <c r="AR38" s="16">
        <v>0</v>
      </c>
      <c r="AS38" s="16">
        <v>0</v>
      </c>
      <c r="AT38" s="16">
        <v>0</v>
      </c>
      <c r="AU38" s="16">
        <v>0</v>
      </c>
      <c r="AV38" s="16">
        <v>0</v>
      </c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0</v>
      </c>
      <c r="BD38" s="16">
        <v>0</v>
      </c>
      <c r="BE38" s="16">
        <v>0</v>
      </c>
      <c r="BF38" s="16">
        <v>0</v>
      </c>
      <c r="BG38" s="16">
        <v>0</v>
      </c>
      <c r="BH38" s="16">
        <v>0</v>
      </c>
      <c r="BI38" s="16">
        <v>0</v>
      </c>
      <c r="BJ38" s="16">
        <v>0</v>
      </c>
      <c r="BK38" s="19">
        <v>0</v>
      </c>
      <c r="BL38" s="23"/>
    </row>
    <row r="39" spans="1:64">
      <c r="A39">
        <f>СВ!B49</f>
        <v>22</v>
      </c>
      <c r="B39" s="5">
        <f>СВ!C49</f>
        <v>0.54166666666666663</v>
      </c>
      <c r="C39" s="5">
        <f>СВ!D49</f>
        <v>0.58333333333333326</v>
      </c>
      <c r="D39" s="13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>
        <v>0</v>
      </c>
      <c r="AF39" s="14">
        <v>0</v>
      </c>
      <c r="AG39" s="14">
        <v>0</v>
      </c>
      <c r="AH39" s="14">
        <v>0</v>
      </c>
      <c r="AI39" s="14">
        <v>0</v>
      </c>
      <c r="AJ39" s="14">
        <v>0</v>
      </c>
      <c r="AK39" s="14">
        <v>0</v>
      </c>
      <c r="AL39" s="14">
        <v>0</v>
      </c>
      <c r="AM39" s="14">
        <v>0</v>
      </c>
      <c r="AN39" s="14">
        <v>0</v>
      </c>
      <c r="AO39" s="14">
        <v>0</v>
      </c>
      <c r="AP39" s="14">
        <v>0</v>
      </c>
      <c r="AQ39" s="14">
        <v>0</v>
      </c>
      <c r="AR39" s="14">
        <v>0</v>
      </c>
      <c r="AS39" s="14">
        <v>0</v>
      </c>
      <c r="AT39" s="14">
        <v>0</v>
      </c>
      <c r="AU39" s="14">
        <v>0</v>
      </c>
      <c r="AV39" s="14">
        <v>0</v>
      </c>
      <c r="AW39" s="14">
        <v>0</v>
      </c>
      <c r="AX39" s="14">
        <v>0</v>
      </c>
      <c r="AY39" s="14">
        <v>0</v>
      </c>
      <c r="AZ39" s="14">
        <v>0</v>
      </c>
      <c r="BA39" s="14">
        <v>0</v>
      </c>
      <c r="BB39" s="14">
        <v>0</v>
      </c>
      <c r="BC39" s="14">
        <v>0</v>
      </c>
      <c r="BD39" s="14">
        <v>0</v>
      </c>
      <c r="BE39" s="14">
        <v>0</v>
      </c>
      <c r="BF39" s="14">
        <v>0</v>
      </c>
      <c r="BG39" s="14">
        <v>0</v>
      </c>
      <c r="BH39" s="14">
        <v>0</v>
      </c>
      <c r="BI39" s="14">
        <v>0</v>
      </c>
      <c r="BJ39" s="14">
        <v>0</v>
      </c>
      <c r="BK39" s="18">
        <v>0</v>
      </c>
      <c r="BL39" s="23"/>
    </row>
    <row r="40" spans="1:64">
      <c r="A40">
        <f>СВ!B50</f>
        <v>23</v>
      </c>
      <c r="B40" s="5">
        <f>СВ!C50</f>
        <v>0.55208333333333326</v>
      </c>
      <c r="C40" s="5">
        <f>СВ!D50</f>
        <v>0.58333333333333326</v>
      </c>
      <c r="D40" s="15">
        <v>0</v>
      </c>
      <c r="E40" s="16">
        <v>0</v>
      </c>
      <c r="F40" s="16">
        <v>0</v>
      </c>
      <c r="G40" s="16">
        <v>0</v>
      </c>
      <c r="H40" s="16">
        <v>0</v>
      </c>
      <c r="I40" s="16">
        <v>0</v>
      </c>
      <c r="J40" s="16">
        <v>0</v>
      </c>
      <c r="K40" s="16">
        <v>0</v>
      </c>
      <c r="L40" s="16">
        <v>0</v>
      </c>
      <c r="M40" s="16">
        <v>0</v>
      </c>
      <c r="N40" s="16">
        <v>0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T40" s="16">
        <v>0</v>
      </c>
      <c r="U40" s="16">
        <v>0</v>
      </c>
      <c r="V40" s="16">
        <v>0</v>
      </c>
      <c r="W40" s="16">
        <v>0</v>
      </c>
      <c r="X40" s="16">
        <v>0</v>
      </c>
      <c r="Y40" s="16">
        <v>0</v>
      </c>
      <c r="Z40" s="16">
        <v>0</v>
      </c>
      <c r="AA40" s="16">
        <v>0</v>
      </c>
      <c r="AB40" s="16">
        <v>0</v>
      </c>
      <c r="AC40" s="16">
        <v>0</v>
      </c>
      <c r="AD40" s="16">
        <v>0</v>
      </c>
      <c r="AE40" s="16">
        <v>0</v>
      </c>
      <c r="AF40" s="16">
        <v>0</v>
      </c>
      <c r="AG40" s="16">
        <v>0</v>
      </c>
      <c r="AH40" s="16">
        <v>0</v>
      </c>
      <c r="AI40" s="16">
        <v>0</v>
      </c>
      <c r="AJ40" s="16">
        <v>0</v>
      </c>
      <c r="AK40" s="16">
        <v>0</v>
      </c>
      <c r="AL40" s="16">
        <v>0</v>
      </c>
      <c r="AM40" s="16">
        <v>0</v>
      </c>
      <c r="AN40" s="16">
        <v>0</v>
      </c>
      <c r="AO40" s="16">
        <v>0</v>
      </c>
      <c r="AP40" s="16">
        <v>0</v>
      </c>
      <c r="AQ40" s="16">
        <v>0</v>
      </c>
      <c r="AR40" s="16">
        <v>0</v>
      </c>
      <c r="AS40" s="16">
        <v>0</v>
      </c>
      <c r="AT40" s="16">
        <v>0</v>
      </c>
      <c r="AU40" s="16">
        <v>0</v>
      </c>
      <c r="AV40" s="16">
        <v>0</v>
      </c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0</v>
      </c>
      <c r="BD40" s="16">
        <v>0</v>
      </c>
      <c r="BE40" s="16">
        <v>0</v>
      </c>
      <c r="BF40" s="16">
        <v>0</v>
      </c>
      <c r="BG40" s="16">
        <v>0</v>
      </c>
      <c r="BH40" s="16">
        <v>0</v>
      </c>
      <c r="BI40" s="16">
        <v>0</v>
      </c>
      <c r="BJ40" s="16">
        <v>0</v>
      </c>
      <c r="BK40" s="19">
        <v>0</v>
      </c>
      <c r="BL40" s="23"/>
    </row>
    <row r="41" spans="1:64">
      <c r="A41">
        <f>СВ!B51</f>
        <v>24</v>
      </c>
      <c r="B41" s="5">
        <f>СВ!C51</f>
        <v>0.5625</v>
      </c>
      <c r="C41" s="5">
        <f>СВ!D51</f>
        <v>0.59374999999999989</v>
      </c>
      <c r="D41" s="13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  <c r="W41" s="14">
        <v>0</v>
      </c>
      <c r="X41" s="14">
        <v>0</v>
      </c>
      <c r="Y41" s="14">
        <v>0</v>
      </c>
      <c r="Z41" s="14">
        <v>0</v>
      </c>
      <c r="AA41" s="14">
        <v>0</v>
      </c>
      <c r="AB41" s="14">
        <v>0</v>
      </c>
      <c r="AC41" s="14">
        <v>0</v>
      </c>
      <c r="AD41" s="14">
        <v>0</v>
      </c>
      <c r="AE41" s="14">
        <v>0</v>
      </c>
      <c r="AF41" s="14">
        <v>0</v>
      </c>
      <c r="AG41" s="14">
        <v>0</v>
      </c>
      <c r="AH41" s="14">
        <v>0</v>
      </c>
      <c r="AI41" s="14">
        <v>0</v>
      </c>
      <c r="AJ41" s="14">
        <v>0</v>
      </c>
      <c r="AK41" s="14">
        <v>0</v>
      </c>
      <c r="AL41" s="14">
        <v>0</v>
      </c>
      <c r="AM41" s="14">
        <v>0</v>
      </c>
      <c r="AN41" s="14">
        <v>0</v>
      </c>
      <c r="AO41" s="14">
        <v>0</v>
      </c>
      <c r="AP41" s="14">
        <v>0</v>
      </c>
      <c r="AQ41" s="14">
        <v>0</v>
      </c>
      <c r="AR41" s="14">
        <v>0</v>
      </c>
      <c r="AS41" s="14">
        <v>0</v>
      </c>
      <c r="AT41" s="14">
        <v>0</v>
      </c>
      <c r="AU41" s="14">
        <v>0</v>
      </c>
      <c r="AV41" s="14">
        <v>0</v>
      </c>
      <c r="AW41" s="14">
        <v>0</v>
      </c>
      <c r="AX41" s="14">
        <v>0</v>
      </c>
      <c r="AY41" s="14">
        <v>0</v>
      </c>
      <c r="AZ41" s="14">
        <v>0</v>
      </c>
      <c r="BA41" s="14">
        <v>0</v>
      </c>
      <c r="BB41" s="14">
        <v>0</v>
      </c>
      <c r="BC41" s="14">
        <v>0</v>
      </c>
      <c r="BD41" s="14">
        <v>0</v>
      </c>
      <c r="BE41" s="14">
        <v>0</v>
      </c>
      <c r="BF41" s="14">
        <v>0</v>
      </c>
      <c r="BG41" s="14">
        <v>0</v>
      </c>
      <c r="BH41" s="14">
        <v>0</v>
      </c>
      <c r="BI41" s="14">
        <v>0</v>
      </c>
      <c r="BJ41" s="14">
        <v>0</v>
      </c>
      <c r="BK41" s="18">
        <v>0</v>
      </c>
      <c r="BL41" s="23"/>
    </row>
    <row r="42" spans="1:64">
      <c r="A42">
        <f>СВ!B52</f>
        <v>25</v>
      </c>
      <c r="B42" s="5">
        <f>СВ!C52</f>
        <v>0.57291666666666663</v>
      </c>
      <c r="C42" s="5">
        <f>СВ!D52</f>
        <v>0.60416666666666663</v>
      </c>
      <c r="D42" s="15">
        <v>0</v>
      </c>
      <c r="E42" s="16">
        <v>0</v>
      </c>
      <c r="F42" s="16">
        <v>0</v>
      </c>
      <c r="G42" s="16">
        <v>0</v>
      </c>
      <c r="H42" s="16">
        <v>0</v>
      </c>
      <c r="I42" s="16">
        <v>0</v>
      </c>
      <c r="J42" s="16">
        <v>0</v>
      </c>
      <c r="K42" s="16">
        <v>0</v>
      </c>
      <c r="L42" s="16">
        <v>0</v>
      </c>
      <c r="M42" s="16">
        <v>0</v>
      </c>
      <c r="N42" s="16">
        <v>0</v>
      </c>
      <c r="O42" s="16">
        <v>0</v>
      </c>
      <c r="P42" s="16">
        <v>0</v>
      </c>
      <c r="Q42" s="16">
        <v>0</v>
      </c>
      <c r="R42" s="16">
        <v>0</v>
      </c>
      <c r="S42" s="16">
        <v>0</v>
      </c>
      <c r="T42" s="16">
        <v>0</v>
      </c>
      <c r="U42" s="16">
        <v>0</v>
      </c>
      <c r="V42" s="16">
        <v>0</v>
      </c>
      <c r="W42" s="16">
        <v>0</v>
      </c>
      <c r="X42" s="16">
        <v>0</v>
      </c>
      <c r="Y42" s="16">
        <v>0</v>
      </c>
      <c r="Z42" s="16">
        <v>0</v>
      </c>
      <c r="AA42" s="16">
        <v>0</v>
      </c>
      <c r="AB42" s="16">
        <v>0</v>
      </c>
      <c r="AC42" s="16">
        <v>0</v>
      </c>
      <c r="AD42" s="16">
        <v>0</v>
      </c>
      <c r="AE42" s="16">
        <v>0</v>
      </c>
      <c r="AF42" s="16">
        <v>0</v>
      </c>
      <c r="AG42" s="16">
        <v>0</v>
      </c>
      <c r="AH42" s="16">
        <v>0</v>
      </c>
      <c r="AI42" s="16">
        <v>0</v>
      </c>
      <c r="AJ42" s="16">
        <v>0</v>
      </c>
      <c r="AK42" s="16">
        <v>0</v>
      </c>
      <c r="AL42" s="16">
        <v>0</v>
      </c>
      <c r="AM42" s="16">
        <v>0</v>
      </c>
      <c r="AN42" s="16">
        <v>0</v>
      </c>
      <c r="AO42" s="16">
        <v>0</v>
      </c>
      <c r="AP42" s="16">
        <v>0</v>
      </c>
      <c r="AQ42" s="16">
        <v>0</v>
      </c>
      <c r="AR42" s="16">
        <v>0</v>
      </c>
      <c r="AS42" s="16">
        <v>0</v>
      </c>
      <c r="AT42" s="16">
        <v>0</v>
      </c>
      <c r="AU42" s="16">
        <v>0</v>
      </c>
      <c r="AV42" s="16">
        <v>0</v>
      </c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0</v>
      </c>
      <c r="BD42" s="16">
        <v>0</v>
      </c>
      <c r="BE42" s="16">
        <v>0</v>
      </c>
      <c r="BF42" s="16">
        <v>0</v>
      </c>
      <c r="BG42" s="16">
        <v>0</v>
      </c>
      <c r="BH42" s="16">
        <v>0</v>
      </c>
      <c r="BI42" s="16">
        <v>0</v>
      </c>
      <c r="BJ42" s="16">
        <v>0</v>
      </c>
      <c r="BK42" s="19">
        <v>0</v>
      </c>
      <c r="BL42" s="23"/>
    </row>
    <row r="43" spans="1:64">
      <c r="A43">
        <f>СВ!B53</f>
        <v>26</v>
      </c>
      <c r="B43" s="5">
        <f>СВ!C53</f>
        <v>0.58333333333333326</v>
      </c>
      <c r="C43" s="5">
        <f>СВ!D53</f>
        <v>0.62499999999999989</v>
      </c>
      <c r="D43" s="13">
        <v>1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  <c r="W43" s="14">
        <v>0</v>
      </c>
      <c r="X43" s="14">
        <v>0</v>
      </c>
      <c r="Y43" s="14">
        <v>0</v>
      </c>
      <c r="Z43" s="14">
        <v>0</v>
      </c>
      <c r="AA43" s="14">
        <v>0</v>
      </c>
      <c r="AB43" s="14">
        <v>0</v>
      </c>
      <c r="AC43" s="14">
        <v>0</v>
      </c>
      <c r="AD43" s="14">
        <v>0</v>
      </c>
      <c r="AE43" s="14">
        <v>0</v>
      </c>
      <c r="AF43" s="14">
        <v>0</v>
      </c>
      <c r="AG43" s="14">
        <v>0</v>
      </c>
      <c r="AH43" s="14">
        <v>0</v>
      </c>
      <c r="AI43" s="14">
        <v>0</v>
      </c>
      <c r="AJ43" s="14">
        <v>0</v>
      </c>
      <c r="AK43" s="14">
        <v>0</v>
      </c>
      <c r="AL43" s="14">
        <v>0</v>
      </c>
      <c r="AM43" s="14">
        <v>0</v>
      </c>
      <c r="AN43" s="14">
        <v>0</v>
      </c>
      <c r="AO43" s="14">
        <v>0</v>
      </c>
      <c r="AP43" s="14">
        <v>0</v>
      </c>
      <c r="AQ43" s="14">
        <v>0</v>
      </c>
      <c r="AR43" s="14">
        <v>0</v>
      </c>
      <c r="AS43" s="14">
        <v>0</v>
      </c>
      <c r="AT43" s="14">
        <v>0</v>
      </c>
      <c r="AU43" s="14">
        <v>0</v>
      </c>
      <c r="AV43" s="14">
        <v>0</v>
      </c>
      <c r="AW43" s="14">
        <v>0</v>
      </c>
      <c r="AX43" s="14">
        <v>0</v>
      </c>
      <c r="AY43" s="14">
        <v>0</v>
      </c>
      <c r="AZ43" s="14">
        <v>0</v>
      </c>
      <c r="BA43" s="14">
        <v>0</v>
      </c>
      <c r="BB43" s="14">
        <v>0</v>
      </c>
      <c r="BC43" s="14">
        <v>0</v>
      </c>
      <c r="BD43" s="14">
        <v>0</v>
      </c>
      <c r="BE43" s="14">
        <v>0</v>
      </c>
      <c r="BF43" s="14">
        <v>0</v>
      </c>
      <c r="BG43" s="14">
        <v>0</v>
      </c>
      <c r="BH43" s="14">
        <v>0</v>
      </c>
      <c r="BI43" s="14">
        <v>0</v>
      </c>
      <c r="BJ43" s="14">
        <v>0</v>
      </c>
      <c r="BK43" s="18">
        <v>0</v>
      </c>
      <c r="BL43" s="23"/>
    </row>
    <row r="44" spans="1:64">
      <c r="A44">
        <f>СВ!B54</f>
        <v>27</v>
      </c>
      <c r="B44" s="5">
        <f>СВ!C54</f>
        <v>0.59374999999999989</v>
      </c>
      <c r="C44" s="5">
        <f>СВ!D54</f>
        <v>0.62499999999999989</v>
      </c>
      <c r="D44" s="15">
        <v>0</v>
      </c>
      <c r="E44" s="16">
        <v>0</v>
      </c>
      <c r="F44" s="16">
        <v>0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0</v>
      </c>
      <c r="P44" s="16">
        <v>0</v>
      </c>
      <c r="Q44" s="16">
        <v>0</v>
      </c>
      <c r="R44" s="16">
        <v>0</v>
      </c>
      <c r="S44" s="16">
        <v>0</v>
      </c>
      <c r="T44" s="16">
        <v>0</v>
      </c>
      <c r="U44" s="16">
        <v>0</v>
      </c>
      <c r="V44" s="16">
        <v>0</v>
      </c>
      <c r="W44" s="16">
        <v>0</v>
      </c>
      <c r="X44" s="16">
        <v>0</v>
      </c>
      <c r="Y44" s="16">
        <v>0</v>
      </c>
      <c r="Z44" s="16">
        <v>0</v>
      </c>
      <c r="AA44" s="16">
        <v>0</v>
      </c>
      <c r="AB44" s="16">
        <v>0</v>
      </c>
      <c r="AC44" s="16">
        <v>0</v>
      </c>
      <c r="AD44" s="16">
        <v>0</v>
      </c>
      <c r="AE44" s="16">
        <v>0</v>
      </c>
      <c r="AF44" s="16">
        <v>0</v>
      </c>
      <c r="AG44" s="16">
        <v>0</v>
      </c>
      <c r="AH44" s="16">
        <v>0</v>
      </c>
      <c r="AI44" s="16">
        <v>0</v>
      </c>
      <c r="AJ44" s="16">
        <v>0</v>
      </c>
      <c r="AK44" s="16">
        <v>0</v>
      </c>
      <c r="AL44" s="16">
        <v>0</v>
      </c>
      <c r="AM44" s="16">
        <v>0</v>
      </c>
      <c r="AN44" s="16">
        <v>0</v>
      </c>
      <c r="AO44" s="16">
        <v>0</v>
      </c>
      <c r="AP44" s="16">
        <v>0</v>
      </c>
      <c r="AQ44" s="16">
        <v>0</v>
      </c>
      <c r="AR44" s="16">
        <v>0</v>
      </c>
      <c r="AS44" s="16">
        <v>0</v>
      </c>
      <c r="AT44" s="16">
        <v>0</v>
      </c>
      <c r="AU44" s="16">
        <v>0</v>
      </c>
      <c r="AV44" s="16">
        <v>0</v>
      </c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0</v>
      </c>
      <c r="BD44" s="16">
        <v>0</v>
      </c>
      <c r="BE44" s="16">
        <v>0</v>
      </c>
      <c r="BF44" s="16">
        <v>0</v>
      </c>
      <c r="BG44" s="16">
        <v>0</v>
      </c>
      <c r="BH44" s="16">
        <v>0</v>
      </c>
      <c r="BI44" s="16">
        <v>0</v>
      </c>
      <c r="BJ44" s="16">
        <v>0</v>
      </c>
      <c r="BK44" s="19">
        <v>0</v>
      </c>
      <c r="BL44" s="23"/>
    </row>
    <row r="45" spans="1:64">
      <c r="A45">
        <f>СВ!B55</f>
        <v>28</v>
      </c>
      <c r="B45" s="5">
        <f>СВ!C55</f>
        <v>0.60416666666666663</v>
      </c>
      <c r="C45" s="5">
        <f>СВ!D55</f>
        <v>0.63541666666666652</v>
      </c>
      <c r="D45" s="13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>
        <v>0</v>
      </c>
      <c r="AF45" s="14">
        <v>0</v>
      </c>
      <c r="AG45" s="14">
        <v>0</v>
      </c>
      <c r="AH45" s="14">
        <v>0</v>
      </c>
      <c r="AI45" s="14">
        <v>0</v>
      </c>
      <c r="AJ45" s="14">
        <v>0</v>
      </c>
      <c r="AK45" s="14">
        <v>0</v>
      </c>
      <c r="AL45" s="14">
        <v>0</v>
      </c>
      <c r="AM45" s="14">
        <v>0</v>
      </c>
      <c r="AN45" s="14">
        <v>0</v>
      </c>
      <c r="AO45" s="14">
        <v>0</v>
      </c>
      <c r="AP45" s="14">
        <v>0</v>
      </c>
      <c r="AQ45" s="14">
        <v>0</v>
      </c>
      <c r="AR45" s="14">
        <v>0</v>
      </c>
      <c r="AS45" s="14">
        <v>0</v>
      </c>
      <c r="AT45" s="14">
        <v>0</v>
      </c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v>0</v>
      </c>
      <c r="BB45" s="14">
        <v>0</v>
      </c>
      <c r="BC45" s="14">
        <v>0</v>
      </c>
      <c r="BD45" s="14">
        <v>0</v>
      </c>
      <c r="BE45" s="14">
        <v>0</v>
      </c>
      <c r="BF45" s="14">
        <v>0</v>
      </c>
      <c r="BG45" s="14">
        <v>0</v>
      </c>
      <c r="BH45" s="14">
        <v>0</v>
      </c>
      <c r="BI45" s="14">
        <v>0</v>
      </c>
      <c r="BJ45" s="14">
        <v>0</v>
      </c>
      <c r="BK45" s="18">
        <v>0</v>
      </c>
      <c r="BL45" s="23"/>
    </row>
    <row r="46" spans="1:64">
      <c r="A46">
        <f>СВ!B56</f>
        <v>29</v>
      </c>
      <c r="B46" s="5">
        <f>СВ!C56</f>
        <v>0.61458333333333326</v>
      </c>
      <c r="C46" s="5">
        <f>СВ!D56</f>
        <v>0.64583333333333326</v>
      </c>
      <c r="D46" s="15">
        <v>0</v>
      </c>
      <c r="E46" s="16">
        <v>0</v>
      </c>
      <c r="F46" s="16">
        <v>0</v>
      </c>
      <c r="G46" s="16">
        <v>0</v>
      </c>
      <c r="H46" s="16">
        <v>0</v>
      </c>
      <c r="I46" s="16">
        <v>0</v>
      </c>
      <c r="J46" s="16">
        <v>0</v>
      </c>
      <c r="K46" s="16">
        <v>0</v>
      </c>
      <c r="L46" s="16">
        <v>0</v>
      </c>
      <c r="M46" s="16">
        <v>0</v>
      </c>
      <c r="N46" s="16">
        <v>0</v>
      </c>
      <c r="O46" s="16">
        <v>0</v>
      </c>
      <c r="P46" s="16">
        <v>0</v>
      </c>
      <c r="Q46" s="16">
        <v>0</v>
      </c>
      <c r="R46" s="16">
        <v>0</v>
      </c>
      <c r="S46" s="16">
        <v>0</v>
      </c>
      <c r="T46" s="16">
        <v>0</v>
      </c>
      <c r="U46" s="16">
        <v>0</v>
      </c>
      <c r="V46" s="16">
        <v>0</v>
      </c>
      <c r="W46" s="16">
        <v>0</v>
      </c>
      <c r="X46" s="16">
        <v>0</v>
      </c>
      <c r="Y46" s="16">
        <v>0</v>
      </c>
      <c r="Z46" s="16">
        <v>0</v>
      </c>
      <c r="AA46" s="16">
        <v>0</v>
      </c>
      <c r="AB46" s="16">
        <v>0</v>
      </c>
      <c r="AC46" s="16">
        <v>0</v>
      </c>
      <c r="AD46" s="16">
        <v>0</v>
      </c>
      <c r="AE46" s="16">
        <v>0</v>
      </c>
      <c r="AF46" s="16">
        <v>0</v>
      </c>
      <c r="AG46" s="16">
        <v>0</v>
      </c>
      <c r="AH46" s="16">
        <v>0</v>
      </c>
      <c r="AI46" s="16">
        <v>0</v>
      </c>
      <c r="AJ46" s="16">
        <v>0</v>
      </c>
      <c r="AK46" s="16">
        <v>0</v>
      </c>
      <c r="AL46" s="16">
        <v>0</v>
      </c>
      <c r="AM46" s="16">
        <v>0</v>
      </c>
      <c r="AN46" s="16">
        <v>0</v>
      </c>
      <c r="AO46" s="16">
        <v>0</v>
      </c>
      <c r="AP46" s="16">
        <v>0</v>
      </c>
      <c r="AQ46" s="16">
        <v>0</v>
      </c>
      <c r="AR46" s="16">
        <v>0</v>
      </c>
      <c r="AS46" s="16">
        <v>0</v>
      </c>
      <c r="AT46" s="16">
        <v>0</v>
      </c>
      <c r="AU46" s="16">
        <v>0</v>
      </c>
      <c r="AV46" s="16">
        <v>0</v>
      </c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0</v>
      </c>
      <c r="BD46" s="16">
        <v>0</v>
      </c>
      <c r="BE46" s="16">
        <v>0</v>
      </c>
      <c r="BF46" s="16">
        <v>0</v>
      </c>
      <c r="BG46" s="16">
        <v>0</v>
      </c>
      <c r="BH46" s="16">
        <v>0</v>
      </c>
      <c r="BI46" s="16">
        <v>0</v>
      </c>
      <c r="BJ46" s="16">
        <v>0</v>
      </c>
      <c r="BK46" s="19">
        <v>0</v>
      </c>
      <c r="BL46" s="23"/>
    </row>
    <row r="47" spans="1:64">
      <c r="A47">
        <f>СВ!B57</f>
        <v>30</v>
      </c>
      <c r="B47" s="5">
        <f>СВ!C57</f>
        <v>0.62499999999999989</v>
      </c>
      <c r="C47" s="5">
        <f>СВ!D57</f>
        <v>0.66666666666666652</v>
      </c>
      <c r="D47" s="13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0</v>
      </c>
      <c r="Z47" s="14">
        <v>0</v>
      </c>
      <c r="AA47" s="14">
        <v>0</v>
      </c>
      <c r="AB47" s="14">
        <v>0</v>
      </c>
      <c r="AC47" s="14">
        <v>0</v>
      </c>
      <c r="AD47" s="14">
        <v>0</v>
      </c>
      <c r="AE47" s="14">
        <v>0</v>
      </c>
      <c r="AF47" s="14">
        <v>0</v>
      </c>
      <c r="AG47" s="14">
        <v>0</v>
      </c>
      <c r="AH47" s="14">
        <v>0</v>
      </c>
      <c r="AI47" s="14">
        <v>0</v>
      </c>
      <c r="AJ47" s="14">
        <v>0</v>
      </c>
      <c r="AK47" s="14">
        <v>0</v>
      </c>
      <c r="AL47" s="14">
        <v>0</v>
      </c>
      <c r="AM47" s="14">
        <v>0</v>
      </c>
      <c r="AN47" s="14">
        <v>0</v>
      </c>
      <c r="AO47" s="14">
        <v>0</v>
      </c>
      <c r="AP47" s="14">
        <v>0</v>
      </c>
      <c r="AQ47" s="14">
        <v>0</v>
      </c>
      <c r="AR47" s="14">
        <v>0</v>
      </c>
      <c r="AS47" s="14">
        <v>0</v>
      </c>
      <c r="AT47" s="14">
        <v>0</v>
      </c>
      <c r="AU47" s="14">
        <v>0</v>
      </c>
      <c r="AV47" s="14">
        <v>0</v>
      </c>
      <c r="AW47" s="14">
        <v>0</v>
      </c>
      <c r="AX47" s="14">
        <v>0</v>
      </c>
      <c r="AY47" s="14">
        <v>0</v>
      </c>
      <c r="AZ47" s="14">
        <v>0</v>
      </c>
      <c r="BA47" s="14">
        <v>0</v>
      </c>
      <c r="BB47" s="14">
        <v>0</v>
      </c>
      <c r="BC47" s="14">
        <v>0</v>
      </c>
      <c r="BD47" s="14">
        <v>0</v>
      </c>
      <c r="BE47" s="14">
        <v>0</v>
      </c>
      <c r="BF47" s="14">
        <v>0</v>
      </c>
      <c r="BG47" s="14">
        <v>0</v>
      </c>
      <c r="BH47" s="14">
        <v>0</v>
      </c>
      <c r="BI47" s="14">
        <v>0</v>
      </c>
      <c r="BJ47" s="14">
        <v>0</v>
      </c>
      <c r="BK47" s="18">
        <v>0</v>
      </c>
      <c r="BL47" s="23"/>
    </row>
    <row r="48" spans="1:64">
      <c r="A48">
        <f>СВ!B58</f>
        <v>31</v>
      </c>
      <c r="B48" s="5">
        <f>СВ!C58</f>
        <v>0.63541666666666652</v>
      </c>
      <c r="C48" s="5">
        <f>СВ!D58</f>
        <v>0.66666666666666652</v>
      </c>
      <c r="D48" s="15">
        <v>0</v>
      </c>
      <c r="E48" s="16">
        <v>0</v>
      </c>
      <c r="F48" s="16">
        <v>0</v>
      </c>
      <c r="G48" s="16">
        <v>0</v>
      </c>
      <c r="H48" s="16">
        <v>0</v>
      </c>
      <c r="I48" s="16">
        <v>0</v>
      </c>
      <c r="J48" s="16">
        <v>0</v>
      </c>
      <c r="K48" s="16">
        <v>0</v>
      </c>
      <c r="L48" s="16">
        <v>0</v>
      </c>
      <c r="M48" s="16">
        <v>0</v>
      </c>
      <c r="N48" s="16">
        <v>0</v>
      </c>
      <c r="O48" s="16">
        <v>0</v>
      </c>
      <c r="P48" s="16">
        <v>0</v>
      </c>
      <c r="Q48" s="16">
        <v>0</v>
      </c>
      <c r="R48" s="16">
        <v>0</v>
      </c>
      <c r="S48" s="16">
        <v>0</v>
      </c>
      <c r="T48" s="16">
        <v>0</v>
      </c>
      <c r="U48" s="16">
        <v>0</v>
      </c>
      <c r="V48" s="16">
        <v>0</v>
      </c>
      <c r="W48" s="16">
        <v>0</v>
      </c>
      <c r="X48" s="16">
        <v>0</v>
      </c>
      <c r="Y48" s="16">
        <v>0</v>
      </c>
      <c r="Z48" s="16">
        <v>0</v>
      </c>
      <c r="AA48" s="16">
        <v>0</v>
      </c>
      <c r="AB48" s="16">
        <v>0</v>
      </c>
      <c r="AC48" s="16">
        <v>0</v>
      </c>
      <c r="AD48" s="16">
        <v>0</v>
      </c>
      <c r="AE48" s="16">
        <v>0</v>
      </c>
      <c r="AF48" s="16">
        <v>0</v>
      </c>
      <c r="AG48" s="16">
        <v>0</v>
      </c>
      <c r="AH48" s="16">
        <v>0</v>
      </c>
      <c r="AI48" s="16">
        <v>0</v>
      </c>
      <c r="AJ48" s="16">
        <v>0</v>
      </c>
      <c r="AK48" s="16">
        <v>0</v>
      </c>
      <c r="AL48" s="16">
        <v>0</v>
      </c>
      <c r="AM48" s="16">
        <v>0</v>
      </c>
      <c r="AN48" s="16">
        <v>0</v>
      </c>
      <c r="AO48" s="16">
        <v>0</v>
      </c>
      <c r="AP48" s="16">
        <v>0</v>
      </c>
      <c r="AQ48" s="16">
        <v>0</v>
      </c>
      <c r="AR48" s="16">
        <v>0</v>
      </c>
      <c r="AS48" s="16">
        <v>0</v>
      </c>
      <c r="AT48" s="16">
        <v>0</v>
      </c>
      <c r="AU48" s="16">
        <v>0</v>
      </c>
      <c r="AV48" s="16">
        <v>0</v>
      </c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0</v>
      </c>
      <c r="BD48" s="16">
        <v>0</v>
      </c>
      <c r="BE48" s="16">
        <v>0</v>
      </c>
      <c r="BF48" s="16">
        <v>0</v>
      </c>
      <c r="BG48" s="16">
        <v>0</v>
      </c>
      <c r="BH48" s="16">
        <v>0</v>
      </c>
      <c r="BI48" s="16">
        <v>0</v>
      </c>
      <c r="BJ48" s="16">
        <v>0</v>
      </c>
      <c r="BK48" s="19">
        <v>0</v>
      </c>
      <c r="BL48" s="23"/>
    </row>
    <row r="49" spans="1:64">
      <c r="A49">
        <f>СВ!B59</f>
        <v>32</v>
      </c>
      <c r="B49" s="5">
        <f>СВ!C59</f>
        <v>0.64583333333333326</v>
      </c>
      <c r="C49" s="5">
        <f>СВ!D59</f>
        <v>0.67708333333333315</v>
      </c>
      <c r="D49" s="13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  <c r="W49" s="14">
        <v>0</v>
      </c>
      <c r="X49" s="14">
        <v>0</v>
      </c>
      <c r="Y49" s="14">
        <v>0</v>
      </c>
      <c r="Z49" s="14">
        <v>0</v>
      </c>
      <c r="AA49" s="14">
        <v>0</v>
      </c>
      <c r="AB49" s="14">
        <v>0</v>
      </c>
      <c r="AC49" s="14">
        <v>0</v>
      </c>
      <c r="AD49" s="14">
        <v>0</v>
      </c>
      <c r="AE49" s="14">
        <v>0</v>
      </c>
      <c r="AF49" s="14">
        <v>0</v>
      </c>
      <c r="AG49" s="14">
        <v>0</v>
      </c>
      <c r="AH49" s="14">
        <v>0</v>
      </c>
      <c r="AI49" s="14">
        <v>0</v>
      </c>
      <c r="AJ49" s="14">
        <v>0</v>
      </c>
      <c r="AK49" s="14">
        <v>0</v>
      </c>
      <c r="AL49" s="14">
        <v>0</v>
      </c>
      <c r="AM49" s="14">
        <v>0</v>
      </c>
      <c r="AN49" s="14">
        <v>0</v>
      </c>
      <c r="AO49" s="14">
        <v>0</v>
      </c>
      <c r="AP49" s="14">
        <v>0</v>
      </c>
      <c r="AQ49" s="14">
        <v>0</v>
      </c>
      <c r="AR49" s="14">
        <v>0</v>
      </c>
      <c r="AS49" s="14">
        <v>0</v>
      </c>
      <c r="AT49" s="14">
        <v>0</v>
      </c>
      <c r="AU49" s="14">
        <v>0</v>
      </c>
      <c r="AV49" s="14">
        <v>0</v>
      </c>
      <c r="AW49" s="14">
        <v>0</v>
      </c>
      <c r="AX49" s="14">
        <v>0</v>
      </c>
      <c r="AY49" s="14">
        <v>0</v>
      </c>
      <c r="AZ49" s="14">
        <v>0</v>
      </c>
      <c r="BA49" s="14">
        <v>0</v>
      </c>
      <c r="BB49" s="14">
        <v>0</v>
      </c>
      <c r="BC49" s="14">
        <v>0</v>
      </c>
      <c r="BD49" s="14">
        <v>0</v>
      </c>
      <c r="BE49" s="14">
        <v>0</v>
      </c>
      <c r="BF49" s="14">
        <v>0</v>
      </c>
      <c r="BG49" s="14">
        <v>0</v>
      </c>
      <c r="BH49" s="14">
        <v>0</v>
      </c>
      <c r="BI49" s="14">
        <v>0</v>
      </c>
      <c r="BJ49" s="14">
        <v>0</v>
      </c>
      <c r="BK49" s="18">
        <v>0</v>
      </c>
      <c r="BL49" s="23"/>
    </row>
    <row r="50" spans="1:64">
      <c r="A50">
        <f>СВ!B60</f>
        <v>33</v>
      </c>
      <c r="B50" s="5">
        <f>СВ!C60</f>
        <v>0.65624999999999989</v>
      </c>
      <c r="C50" s="5">
        <f>СВ!D60</f>
        <v>0.68749999999999989</v>
      </c>
      <c r="D50" s="15">
        <v>0</v>
      </c>
      <c r="E50" s="16">
        <v>0</v>
      </c>
      <c r="F50" s="16">
        <v>0</v>
      </c>
      <c r="G50" s="16">
        <v>0</v>
      </c>
      <c r="H50" s="16">
        <v>0</v>
      </c>
      <c r="I50" s="16">
        <v>0</v>
      </c>
      <c r="J50" s="16">
        <v>0</v>
      </c>
      <c r="K50" s="16">
        <v>0</v>
      </c>
      <c r="L50" s="16">
        <v>0</v>
      </c>
      <c r="M50" s="16">
        <v>0</v>
      </c>
      <c r="N50" s="16">
        <v>0</v>
      </c>
      <c r="O50" s="16">
        <v>0</v>
      </c>
      <c r="P50" s="16">
        <v>0</v>
      </c>
      <c r="Q50" s="16">
        <v>0</v>
      </c>
      <c r="R50" s="16">
        <v>0</v>
      </c>
      <c r="S50" s="16">
        <v>0</v>
      </c>
      <c r="T50" s="16">
        <v>0</v>
      </c>
      <c r="U50" s="16">
        <v>0</v>
      </c>
      <c r="V50" s="16">
        <v>0</v>
      </c>
      <c r="W50" s="16">
        <v>0</v>
      </c>
      <c r="X50" s="16">
        <v>0</v>
      </c>
      <c r="Y50" s="16">
        <v>0</v>
      </c>
      <c r="Z50" s="16">
        <v>0</v>
      </c>
      <c r="AA50" s="16">
        <v>0</v>
      </c>
      <c r="AB50" s="16">
        <v>0</v>
      </c>
      <c r="AC50" s="16">
        <v>0</v>
      </c>
      <c r="AD50" s="16">
        <v>0</v>
      </c>
      <c r="AE50" s="16">
        <v>0</v>
      </c>
      <c r="AF50" s="16">
        <v>0</v>
      </c>
      <c r="AG50" s="16">
        <v>0</v>
      </c>
      <c r="AH50" s="16">
        <v>0</v>
      </c>
      <c r="AI50" s="16">
        <v>0</v>
      </c>
      <c r="AJ50" s="16">
        <v>0</v>
      </c>
      <c r="AK50" s="16">
        <v>0</v>
      </c>
      <c r="AL50" s="16">
        <v>0</v>
      </c>
      <c r="AM50" s="16">
        <v>0</v>
      </c>
      <c r="AN50" s="16">
        <v>0</v>
      </c>
      <c r="AO50" s="16">
        <v>0</v>
      </c>
      <c r="AP50" s="16">
        <v>0</v>
      </c>
      <c r="AQ50" s="16">
        <v>0</v>
      </c>
      <c r="AR50" s="16">
        <v>0</v>
      </c>
      <c r="AS50" s="16">
        <v>0</v>
      </c>
      <c r="AT50" s="16">
        <v>0</v>
      </c>
      <c r="AU50" s="16">
        <v>0</v>
      </c>
      <c r="AV50" s="16">
        <v>0</v>
      </c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0</v>
      </c>
      <c r="BD50" s="16">
        <v>0</v>
      </c>
      <c r="BE50" s="16">
        <v>0</v>
      </c>
      <c r="BF50" s="16">
        <v>0</v>
      </c>
      <c r="BG50" s="16">
        <v>0</v>
      </c>
      <c r="BH50" s="16">
        <v>0</v>
      </c>
      <c r="BI50" s="16">
        <v>0</v>
      </c>
      <c r="BJ50" s="16">
        <v>0</v>
      </c>
      <c r="BK50" s="19">
        <v>0</v>
      </c>
      <c r="BL50" s="23"/>
    </row>
    <row r="51" spans="1:64">
      <c r="A51">
        <f>СВ!B61</f>
        <v>34</v>
      </c>
      <c r="B51" s="5">
        <f>СВ!C61</f>
        <v>0.66666666666666652</v>
      </c>
      <c r="C51" s="5">
        <f>СВ!D61</f>
        <v>0.70833333333333315</v>
      </c>
      <c r="D51" s="13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 s="14">
        <v>0</v>
      </c>
      <c r="AG51" s="14">
        <v>0</v>
      </c>
      <c r="AH51" s="14">
        <v>0</v>
      </c>
      <c r="AI51" s="14">
        <v>0</v>
      </c>
      <c r="AJ51" s="14">
        <v>0</v>
      </c>
      <c r="AK51" s="14">
        <v>0</v>
      </c>
      <c r="AL51" s="14">
        <v>0</v>
      </c>
      <c r="AM51" s="14">
        <v>0</v>
      </c>
      <c r="AN51" s="14">
        <v>0</v>
      </c>
      <c r="AO51" s="14">
        <v>0</v>
      </c>
      <c r="AP51" s="14">
        <v>0</v>
      </c>
      <c r="AQ51" s="14">
        <v>0</v>
      </c>
      <c r="AR51" s="14">
        <v>0</v>
      </c>
      <c r="AS51" s="14">
        <v>0</v>
      </c>
      <c r="AT51" s="14">
        <v>0</v>
      </c>
      <c r="AU51" s="14">
        <v>0</v>
      </c>
      <c r="AV51" s="14">
        <v>0</v>
      </c>
      <c r="AW51" s="14">
        <v>0</v>
      </c>
      <c r="AX51" s="14">
        <v>0</v>
      </c>
      <c r="AY51" s="14">
        <v>0</v>
      </c>
      <c r="AZ51" s="14">
        <v>0</v>
      </c>
      <c r="BA51" s="14">
        <v>0</v>
      </c>
      <c r="BB51" s="14">
        <v>0</v>
      </c>
      <c r="BC51" s="14">
        <v>0</v>
      </c>
      <c r="BD51" s="14">
        <v>0</v>
      </c>
      <c r="BE51" s="14">
        <v>0</v>
      </c>
      <c r="BF51" s="14">
        <v>0</v>
      </c>
      <c r="BG51" s="14">
        <v>0</v>
      </c>
      <c r="BH51" s="14">
        <v>0</v>
      </c>
      <c r="BI51" s="14">
        <v>0</v>
      </c>
      <c r="BJ51" s="14">
        <v>0</v>
      </c>
      <c r="BK51" s="18">
        <v>0</v>
      </c>
      <c r="BL51" s="23"/>
    </row>
    <row r="52" spans="1:64">
      <c r="A52">
        <f>СВ!B62</f>
        <v>35</v>
      </c>
      <c r="B52" s="5">
        <f>СВ!C62</f>
        <v>0.67708333333333315</v>
      </c>
      <c r="C52" s="5">
        <f>СВ!D62</f>
        <v>0.70833333333333315</v>
      </c>
      <c r="D52" s="15">
        <v>0</v>
      </c>
      <c r="E52" s="16">
        <v>0</v>
      </c>
      <c r="F52" s="16">
        <v>0</v>
      </c>
      <c r="G52" s="16">
        <v>0</v>
      </c>
      <c r="H52" s="16">
        <v>0</v>
      </c>
      <c r="I52" s="16">
        <v>0</v>
      </c>
      <c r="J52" s="16">
        <v>0</v>
      </c>
      <c r="K52" s="16">
        <v>0</v>
      </c>
      <c r="L52" s="16">
        <v>0</v>
      </c>
      <c r="M52" s="16">
        <v>0</v>
      </c>
      <c r="N52" s="16">
        <v>0</v>
      </c>
      <c r="O52" s="16">
        <v>0</v>
      </c>
      <c r="P52" s="16">
        <v>0</v>
      </c>
      <c r="Q52" s="16">
        <v>0</v>
      </c>
      <c r="R52" s="16">
        <v>0</v>
      </c>
      <c r="S52" s="16">
        <v>0</v>
      </c>
      <c r="T52" s="16">
        <v>0</v>
      </c>
      <c r="U52" s="16">
        <v>0</v>
      </c>
      <c r="V52" s="16">
        <v>0</v>
      </c>
      <c r="W52" s="16">
        <v>0</v>
      </c>
      <c r="X52" s="16">
        <v>0</v>
      </c>
      <c r="Y52" s="16">
        <v>0</v>
      </c>
      <c r="Z52" s="16">
        <v>0</v>
      </c>
      <c r="AA52" s="16">
        <v>0</v>
      </c>
      <c r="AB52" s="16">
        <v>0</v>
      </c>
      <c r="AC52" s="16">
        <v>0</v>
      </c>
      <c r="AD52" s="16">
        <v>0</v>
      </c>
      <c r="AE52" s="16">
        <v>0</v>
      </c>
      <c r="AF52" s="16">
        <v>0</v>
      </c>
      <c r="AG52" s="16">
        <v>0</v>
      </c>
      <c r="AH52" s="16">
        <v>0</v>
      </c>
      <c r="AI52" s="16">
        <v>0</v>
      </c>
      <c r="AJ52" s="16">
        <v>0</v>
      </c>
      <c r="AK52" s="16">
        <v>0</v>
      </c>
      <c r="AL52" s="16">
        <v>0</v>
      </c>
      <c r="AM52" s="16">
        <v>0</v>
      </c>
      <c r="AN52" s="16">
        <v>0</v>
      </c>
      <c r="AO52" s="16">
        <v>0</v>
      </c>
      <c r="AP52" s="16">
        <v>0</v>
      </c>
      <c r="AQ52" s="16">
        <v>0</v>
      </c>
      <c r="AR52" s="16">
        <v>0</v>
      </c>
      <c r="AS52" s="16">
        <v>0</v>
      </c>
      <c r="AT52" s="16">
        <v>0</v>
      </c>
      <c r="AU52" s="16">
        <v>0</v>
      </c>
      <c r="AV52" s="16">
        <v>0</v>
      </c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0</v>
      </c>
      <c r="BD52" s="16">
        <v>0</v>
      </c>
      <c r="BE52" s="16">
        <v>0</v>
      </c>
      <c r="BF52" s="16">
        <v>0</v>
      </c>
      <c r="BG52" s="16">
        <v>0</v>
      </c>
      <c r="BH52" s="16">
        <v>0</v>
      </c>
      <c r="BI52" s="16">
        <v>0</v>
      </c>
      <c r="BJ52" s="16">
        <v>0</v>
      </c>
      <c r="BK52" s="19">
        <v>0</v>
      </c>
      <c r="BL52" s="23"/>
    </row>
    <row r="53" spans="1:64">
      <c r="A53">
        <f>СВ!B63</f>
        <v>36</v>
      </c>
      <c r="B53" s="5">
        <f>СВ!C63</f>
        <v>0.68749999999999989</v>
      </c>
      <c r="C53" s="5">
        <f>СВ!D63</f>
        <v>0.71874999999999978</v>
      </c>
      <c r="D53" s="13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  <c r="W53" s="14">
        <v>0</v>
      </c>
      <c r="X53" s="14">
        <v>0</v>
      </c>
      <c r="Y53" s="14">
        <v>0</v>
      </c>
      <c r="Z53" s="14">
        <v>0</v>
      </c>
      <c r="AA53" s="14">
        <v>0</v>
      </c>
      <c r="AB53" s="14">
        <v>0</v>
      </c>
      <c r="AC53" s="14">
        <v>0</v>
      </c>
      <c r="AD53" s="14">
        <v>0</v>
      </c>
      <c r="AE53" s="14">
        <v>0</v>
      </c>
      <c r="AF53" s="14">
        <v>0</v>
      </c>
      <c r="AG53" s="14">
        <v>0</v>
      </c>
      <c r="AH53" s="14">
        <v>0</v>
      </c>
      <c r="AI53" s="14">
        <v>0</v>
      </c>
      <c r="AJ53" s="14">
        <v>0</v>
      </c>
      <c r="AK53" s="14">
        <v>0</v>
      </c>
      <c r="AL53" s="14">
        <v>0</v>
      </c>
      <c r="AM53" s="14">
        <v>0</v>
      </c>
      <c r="AN53" s="14">
        <v>0</v>
      </c>
      <c r="AO53" s="14">
        <v>0</v>
      </c>
      <c r="AP53" s="14">
        <v>0</v>
      </c>
      <c r="AQ53" s="14">
        <v>0</v>
      </c>
      <c r="AR53" s="14">
        <v>0</v>
      </c>
      <c r="AS53" s="14">
        <v>0</v>
      </c>
      <c r="AT53" s="14">
        <v>0</v>
      </c>
      <c r="AU53" s="14">
        <v>0</v>
      </c>
      <c r="AV53" s="14">
        <v>0</v>
      </c>
      <c r="AW53" s="14">
        <v>0</v>
      </c>
      <c r="AX53" s="14">
        <v>0</v>
      </c>
      <c r="AY53" s="14">
        <v>0</v>
      </c>
      <c r="AZ53" s="14">
        <v>0</v>
      </c>
      <c r="BA53" s="14">
        <v>0</v>
      </c>
      <c r="BB53" s="14">
        <v>0</v>
      </c>
      <c r="BC53" s="14">
        <v>0</v>
      </c>
      <c r="BD53" s="14">
        <v>0</v>
      </c>
      <c r="BE53" s="14">
        <v>0</v>
      </c>
      <c r="BF53" s="14">
        <v>0</v>
      </c>
      <c r="BG53" s="14">
        <v>0</v>
      </c>
      <c r="BH53" s="14">
        <v>0</v>
      </c>
      <c r="BI53" s="14">
        <v>0</v>
      </c>
      <c r="BJ53" s="14">
        <v>0</v>
      </c>
      <c r="BK53" s="18">
        <v>0</v>
      </c>
      <c r="BL53" s="23"/>
    </row>
    <row r="54" spans="1:64">
      <c r="A54">
        <f>СВ!B64</f>
        <v>37</v>
      </c>
      <c r="B54" s="5">
        <f>СВ!C64</f>
        <v>0.69791666666666652</v>
      </c>
      <c r="C54" s="5">
        <f>СВ!D64</f>
        <v>0.72916666666666652</v>
      </c>
      <c r="D54" s="15">
        <v>0</v>
      </c>
      <c r="E54" s="16">
        <v>0</v>
      </c>
      <c r="F54" s="16">
        <v>0</v>
      </c>
      <c r="G54" s="16">
        <v>0</v>
      </c>
      <c r="H54" s="16">
        <v>0</v>
      </c>
      <c r="I54" s="16">
        <v>0</v>
      </c>
      <c r="J54" s="16">
        <v>0</v>
      </c>
      <c r="K54" s="16">
        <v>0</v>
      </c>
      <c r="L54" s="16">
        <v>0</v>
      </c>
      <c r="M54" s="16">
        <v>0</v>
      </c>
      <c r="N54" s="16">
        <v>0</v>
      </c>
      <c r="O54" s="16">
        <v>0</v>
      </c>
      <c r="P54" s="16">
        <v>0</v>
      </c>
      <c r="Q54" s="16">
        <v>0</v>
      </c>
      <c r="R54" s="16">
        <v>0</v>
      </c>
      <c r="S54" s="16">
        <v>0</v>
      </c>
      <c r="T54" s="16">
        <v>0</v>
      </c>
      <c r="U54" s="16">
        <v>0</v>
      </c>
      <c r="V54" s="16">
        <v>0</v>
      </c>
      <c r="W54" s="16">
        <v>0</v>
      </c>
      <c r="X54" s="16">
        <v>0</v>
      </c>
      <c r="Y54" s="16">
        <v>0</v>
      </c>
      <c r="Z54" s="16">
        <v>0</v>
      </c>
      <c r="AA54" s="16">
        <v>0</v>
      </c>
      <c r="AB54" s="16">
        <v>0</v>
      </c>
      <c r="AC54" s="16">
        <v>0</v>
      </c>
      <c r="AD54" s="16">
        <v>0</v>
      </c>
      <c r="AE54" s="16">
        <v>0</v>
      </c>
      <c r="AF54" s="16">
        <v>0</v>
      </c>
      <c r="AG54" s="16">
        <v>0</v>
      </c>
      <c r="AH54" s="16">
        <v>0</v>
      </c>
      <c r="AI54" s="16">
        <v>0</v>
      </c>
      <c r="AJ54" s="16">
        <v>0</v>
      </c>
      <c r="AK54" s="16">
        <v>0</v>
      </c>
      <c r="AL54" s="16">
        <v>0</v>
      </c>
      <c r="AM54" s="16">
        <v>0</v>
      </c>
      <c r="AN54" s="16">
        <v>0</v>
      </c>
      <c r="AO54" s="16">
        <v>0</v>
      </c>
      <c r="AP54" s="16">
        <v>0</v>
      </c>
      <c r="AQ54" s="16">
        <v>0</v>
      </c>
      <c r="AR54" s="16">
        <v>0</v>
      </c>
      <c r="AS54" s="16">
        <v>0</v>
      </c>
      <c r="AT54" s="16">
        <v>0</v>
      </c>
      <c r="AU54" s="16">
        <v>0</v>
      </c>
      <c r="AV54" s="16">
        <v>0</v>
      </c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0</v>
      </c>
      <c r="BD54" s="16">
        <v>0</v>
      </c>
      <c r="BE54" s="16">
        <v>0</v>
      </c>
      <c r="BF54" s="16">
        <v>0</v>
      </c>
      <c r="BG54" s="16">
        <v>0</v>
      </c>
      <c r="BH54" s="16">
        <v>0</v>
      </c>
      <c r="BI54" s="16">
        <v>0</v>
      </c>
      <c r="BJ54" s="16">
        <v>0</v>
      </c>
      <c r="BK54" s="19">
        <v>0</v>
      </c>
      <c r="BL54" s="23"/>
    </row>
    <row r="55" spans="1:64">
      <c r="A55">
        <f>СВ!B65</f>
        <v>38</v>
      </c>
      <c r="B55" s="5">
        <f>СВ!C65</f>
        <v>0.70833333333333315</v>
      </c>
      <c r="C55" s="5">
        <f>СВ!D65</f>
        <v>0.74999999999999978</v>
      </c>
      <c r="D55" s="13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4">
        <v>0</v>
      </c>
      <c r="AD55" s="14">
        <v>0</v>
      </c>
      <c r="AE55" s="14">
        <v>0</v>
      </c>
      <c r="AF55" s="14">
        <v>0</v>
      </c>
      <c r="AG55" s="14">
        <v>0</v>
      </c>
      <c r="AH55" s="14">
        <v>0</v>
      </c>
      <c r="AI55" s="14">
        <v>0</v>
      </c>
      <c r="AJ55" s="14">
        <v>0</v>
      </c>
      <c r="AK55" s="14">
        <v>0</v>
      </c>
      <c r="AL55" s="14">
        <v>0</v>
      </c>
      <c r="AM55" s="14">
        <v>0</v>
      </c>
      <c r="AN55" s="14">
        <v>0</v>
      </c>
      <c r="AO55" s="14">
        <v>0</v>
      </c>
      <c r="AP55" s="14">
        <v>0</v>
      </c>
      <c r="AQ55" s="14">
        <v>0</v>
      </c>
      <c r="AR55" s="14">
        <v>0</v>
      </c>
      <c r="AS55" s="14">
        <v>0</v>
      </c>
      <c r="AT55" s="14">
        <v>0</v>
      </c>
      <c r="AU55" s="14">
        <v>0</v>
      </c>
      <c r="AV55" s="14">
        <v>0</v>
      </c>
      <c r="AW55" s="14">
        <v>0</v>
      </c>
      <c r="AX55" s="14">
        <v>0</v>
      </c>
      <c r="AY55" s="14">
        <v>0</v>
      </c>
      <c r="AZ55" s="14">
        <v>0</v>
      </c>
      <c r="BA55" s="14">
        <v>0</v>
      </c>
      <c r="BB55" s="14">
        <v>0</v>
      </c>
      <c r="BC55" s="14">
        <v>0</v>
      </c>
      <c r="BD55" s="14">
        <v>0</v>
      </c>
      <c r="BE55" s="14">
        <v>0</v>
      </c>
      <c r="BF55" s="14">
        <v>0</v>
      </c>
      <c r="BG55" s="14">
        <v>0</v>
      </c>
      <c r="BH55" s="14">
        <v>0</v>
      </c>
      <c r="BI55" s="14">
        <v>0</v>
      </c>
      <c r="BJ55" s="14">
        <v>0</v>
      </c>
      <c r="BK55" s="18">
        <v>0</v>
      </c>
      <c r="BL55" s="23"/>
    </row>
    <row r="56" spans="1:64">
      <c r="A56">
        <f>СВ!B66</f>
        <v>39</v>
      </c>
      <c r="B56" s="5">
        <f>СВ!C66</f>
        <v>0.71874999999999978</v>
      </c>
      <c r="C56" s="5">
        <f>СВ!D66</f>
        <v>0.74999999999999978</v>
      </c>
      <c r="D56" s="15">
        <v>0</v>
      </c>
      <c r="E56" s="16">
        <v>1</v>
      </c>
      <c r="F56" s="16">
        <v>0</v>
      </c>
      <c r="G56" s="16">
        <v>1</v>
      </c>
      <c r="H56" s="16">
        <v>0</v>
      </c>
      <c r="I56" s="16">
        <v>0</v>
      </c>
      <c r="J56" s="16">
        <v>0</v>
      </c>
      <c r="K56" s="16">
        <v>0</v>
      </c>
      <c r="L56" s="16">
        <v>0</v>
      </c>
      <c r="M56" s="16">
        <v>0</v>
      </c>
      <c r="N56" s="16">
        <v>0</v>
      </c>
      <c r="O56" s="16">
        <v>0</v>
      </c>
      <c r="P56" s="16">
        <v>0</v>
      </c>
      <c r="Q56" s="16">
        <v>0</v>
      </c>
      <c r="R56" s="16">
        <v>0</v>
      </c>
      <c r="S56" s="16">
        <v>0</v>
      </c>
      <c r="T56" s="16">
        <v>0</v>
      </c>
      <c r="U56" s="16">
        <v>0</v>
      </c>
      <c r="V56" s="16">
        <v>0</v>
      </c>
      <c r="W56" s="16">
        <v>0</v>
      </c>
      <c r="X56" s="16">
        <v>0</v>
      </c>
      <c r="Y56" s="16">
        <v>0</v>
      </c>
      <c r="Z56" s="16">
        <v>0</v>
      </c>
      <c r="AA56" s="16">
        <v>0</v>
      </c>
      <c r="AB56" s="16">
        <v>0</v>
      </c>
      <c r="AC56" s="16">
        <v>0</v>
      </c>
      <c r="AD56" s="16">
        <v>0</v>
      </c>
      <c r="AE56" s="16">
        <v>0</v>
      </c>
      <c r="AF56" s="16">
        <v>0</v>
      </c>
      <c r="AG56" s="16">
        <v>0</v>
      </c>
      <c r="AH56" s="16">
        <v>0</v>
      </c>
      <c r="AI56" s="16">
        <v>0</v>
      </c>
      <c r="AJ56" s="16">
        <v>0</v>
      </c>
      <c r="AK56" s="16">
        <v>0</v>
      </c>
      <c r="AL56" s="16">
        <v>0</v>
      </c>
      <c r="AM56" s="16">
        <v>0</v>
      </c>
      <c r="AN56" s="16">
        <v>0</v>
      </c>
      <c r="AO56" s="16">
        <v>0</v>
      </c>
      <c r="AP56" s="16">
        <v>0</v>
      </c>
      <c r="AQ56" s="16">
        <v>0</v>
      </c>
      <c r="AR56" s="16">
        <v>0</v>
      </c>
      <c r="AS56" s="16">
        <v>0</v>
      </c>
      <c r="AT56" s="16">
        <v>0</v>
      </c>
      <c r="AU56" s="16">
        <v>0</v>
      </c>
      <c r="AV56" s="16">
        <v>0</v>
      </c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0</v>
      </c>
      <c r="BD56" s="16">
        <v>0</v>
      </c>
      <c r="BE56" s="16">
        <v>0</v>
      </c>
      <c r="BF56" s="16">
        <v>0</v>
      </c>
      <c r="BG56" s="16">
        <v>0</v>
      </c>
      <c r="BH56" s="16">
        <v>0</v>
      </c>
      <c r="BI56" s="16">
        <v>0</v>
      </c>
      <c r="BJ56" s="16">
        <v>0</v>
      </c>
      <c r="BK56" s="19">
        <v>0</v>
      </c>
      <c r="BL56" s="23"/>
    </row>
    <row r="57" spans="1:64">
      <c r="A57">
        <f>СВ!B67</f>
        <v>40</v>
      </c>
      <c r="B57" s="5">
        <f>СВ!C67</f>
        <v>0.72916666666666652</v>
      </c>
      <c r="C57" s="5">
        <f>СВ!D67</f>
        <v>0.76041666666666641</v>
      </c>
      <c r="D57" s="13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0</v>
      </c>
      <c r="Y57" s="14">
        <v>0</v>
      </c>
      <c r="Z57" s="14">
        <v>0</v>
      </c>
      <c r="AA57" s="14">
        <v>0</v>
      </c>
      <c r="AB57" s="14">
        <v>0</v>
      </c>
      <c r="AC57" s="14">
        <v>0</v>
      </c>
      <c r="AD57" s="14">
        <v>0</v>
      </c>
      <c r="AE57" s="14">
        <v>0</v>
      </c>
      <c r="AF57" s="14">
        <v>0</v>
      </c>
      <c r="AG57" s="14">
        <v>0</v>
      </c>
      <c r="AH57" s="14">
        <v>0</v>
      </c>
      <c r="AI57" s="14">
        <v>0</v>
      </c>
      <c r="AJ57" s="14">
        <v>0</v>
      </c>
      <c r="AK57" s="14">
        <v>0</v>
      </c>
      <c r="AL57" s="14">
        <v>0</v>
      </c>
      <c r="AM57" s="14">
        <v>0</v>
      </c>
      <c r="AN57" s="14">
        <v>0</v>
      </c>
      <c r="AO57" s="14">
        <v>0</v>
      </c>
      <c r="AP57" s="14">
        <v>0</v>
      </c>
      <c r="AQ57" s="14">
        <v>0</v>
      </c>
      <c r="AR57" s="14">
        <v>0</v>
      </c>
      <c r="AS57" s="14">
        <v>0</v>
      </c>
      <c r="AT57" s="14">
        <v>0</v>
      </c>
      <c r="AU57" s="14">
        <v>0</v>
      </c>
      <c r="AV57" s="14">
        <v>0</v>
      </c>
      <c r="AW57" s="14">
        <v>0</v>
      </c>
      <c r="AX57" s="14">
        <v>0</v>
      </c>
      <c r="AY57" s="14">
        <v>0</v>
      </c>
      <c r="AZ57" s="14">
        <v>0</v>
      </c>
      <c r="BA57" s="14">
        <v>0</v>
      </c>
      <c r="BB57" s="14">
        <v>0</v>
      </c>
      <c r="BC57" s="14">
        <v>0</v>
      </c>
      <c r="BD57" s="14">
        <v>0</v>
      </c>
      <c r="BE57" s="14">
        <v>0</v>
      </c>
      <c r="BF57" s="14">
        <v>0</v>
      </c>
      <c r="BG57" s="14">
        <v>0</v>
      </c>
      <c r="BH57" s="14">
        <v>0</v>
      </c>
      <c r="BI57" s="14">
        <v>0</v>
      </c>
      <c r="BJ57" s="14">
        <v>0</v>
      </c>
      <c r="BK57" s="18">
        <v>0</v>
      </c>
      <c r="BL57" s="23"/>
    </row>
    <row r="58" spans="1:64">
      <c r="A58">
        <f>СВ!B68</f>
        <v>41</v>
      </c>
      <c r="B58" s="5">
        <f>СВ!C68</f>
        <v>0.73958333333333315</v>
      </c>
      <c r="C58" s="5">
        <f>СВ!D68</f>
        <v>0.77083333333333315</v>
      </c>
      <c r="D58" s="15">
        <v>0</v>
      </c>
      <c r="E58" s="16">
        <v>0</v>
      </c>
      <c r="F58" s="16">
        <v>0</v>
      </c>
      <c r="G58" s="16">
        <v>0</v>
      </c>
      <c r="H58" s="16">
        <v>0</v>
      </c>
      <c r="I58" s="16">
        <v>0</v>
      </c>
      <c r="J58" s="16">
        <v>0</v>
      </c>
      <c r="K58" s="16">
        <v>0</v>
      </c>
      <c r="L58" s="16">
        <v>0</v>
      </c>
      <c r="M58" s="16">
        <v>0</v>
      </c>
      <c r="N58" s="16">
        <v>0</v>
      </c>
      <c r="O58" s="16">
        <v>0</v>
      </c>
      <c r="P58" s="16">
        <v>0</v>
      </c>
      <c r="Q58" s="16">
        <v>0</v>
      </c>
      <c r="R58" s="16">
        <v>0</v>
      </c>
      <c r="S58" s="16">
        <v>0</v>
      </c>
      <c r="T58" s="16">
        <v>0</v>
      </c>
      <c r="U58" s="16">
        <v>0</v>
      </c>
      <c r="V58" s="16">
        <v>0</v>
      </c>
      <c r="W58" s="16">
        <v>0</v>
      </c>
      <c r="X58" s="16">
        <v>0</v>
      </c>
      <c r="Y58" s="16">
        <v>0</v>
      </c>
      <c r="Z58" s="16">
        <v>0</v>
      </c>
      <c r="AA58" s="16">
        <v>0</v>
      </c>
      <c r="AB58" s="16">
        <v>0</v>
      </c>
      <c r="AC58" s="16">
        <v>0</v>
      </c>
      <c r="AD58" s="16">
        <v>0</v>
      </c>
      <c r="AE58" s="16">
        <v>0</v>
      </c>
      <c r="AF58" s="16">
        <v>0</v>
      </c>
      <c r="AG58" s="16">
        <v>0</v>
      </c>
      <c r="AH58" s="16">
        <v>0</v>
      </c>
      <c r="AI58" s="16">
        <v>0</v>
      </c>
      <c r="AJ58" s="16">
        <v>0</v>
      </c>
      <c r="AK58" s="16">
        <v>0</v>
      </c>
      <c r="AL58" s="16">
        <v>0</v>
      </c>
      <c r="AM58" s="16">
        <v>0</v>
      </c>
      <c r="AN58" s="16">
        <v>0</v>
      </c>
      <c r="AO58" s="16">
        <v>0</v>
      </c>
      <c r="AP58" s="16">
        <v>0</v>
      </c>
      <c r="AQ58" s="16">
        <v>0</v>
      </c>
      <c r="AR58" s="16">
        <v>0</v>
      </c>
      <c r="AS58" s="16">
        <v>0</v>
      </c>
      <c r="AT58" s="16">
        <v>0</v>
      </c>
      <c r="AU58" s="16">
        <v>0</v>
      </c>
      <c r="AV58" s="16">
        <v>0</v>
      </c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0</v>
      </c>
      <c r="BD58" s="16">
        <v>0</v>
      </c>
      <c r="BE58" s="16">
        <v>0</v>
      </c>
      <c r="BF58" s="16">
        <v>0</v>
      </c>
      <c r="BG58" s="16">
        <v>0</v>
      </c>
      <c r="BH58" s="16">
        <v>0</v>
      </c>
      <c r="BI58" s="16">
        <v>0</v>
      </c>
      <c r="BJ58" s="16">
        <v>0</v>
      </c>
      <c r="BK58" s="19">
        <v>0</v>
      </c>
      <c r="BL58" s="23"/>
    </row>
    <row r="59" spans="1:64">
      <c r="A59">
        <f>СВ!B69</f>
        <v>42</v>
      </c>
      <c r="B59" s="5">
        <f>СВ!C69</f>
        <v>0.74999999999999978</v>
      </c>
      <c r="C59" s="5">
        <f>СВ!D69</f>
        <v>0.79166666666666641</v>
      </c>
      <c r="D59" s="13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0</v>
      </c>
      <c r="V59" s="14">
        <v>0</v>
      </c>
      <c r="W59" s="14">
        <v>0</v>
      </c>
      <c r="X59" s="14">
        <v>0</v>
      </c>
      <c r="Y59" s="14">
        <v>0</v>
      </c>
      <c r="Z59" s="14">
        <v>0</v>
      </c>
      <c r="AA59" s="14">
        <v>0</v>
      </c>
      <c r="AB59" s="14">
        <v>0</v>
      </c>
      <c r="AC59" s="14">
        <v>0</v>
      </c>
      <c r="AD59" s="14">
        <v>0</v>
      </c>
      <c r="AE59" s="14">
        <v>0</v>
      </c>
      <c r="AF59" s="14">
        <v>0</v>
      </c>
      <c r="AG59" s="14">
        <v>0</v>
      </c>
      <c r="AH59" s="14">
        <v>0</v>
      </c>
      <c r="AI59" s="14">
        <v>0</v>
      </c>
      <c r="AJ59" s="14">
        <v>0</v>
      </c>
      <c r="AK59" s="14">
        <v>0</v>
      </c>
      <c r="AL59" s="14">
        <v>0</v>
      </c>
      <c r="AM59" s="14">
        <v>0</v>
      </c>
      <c r="AN59" s="14">
        <v>0</v>
      </c>
      <c r="AO59" s="14">
        <v>0</v>
      </c>
      <c r="AP59" s="14">
        <v>0</v>
      </c>
      <c r="AQ59" s="14">
        <v>0</v>
      </c>
      <c r="AR59" s="14">
        <v>0</v>
      </c>
      <c r="AS59" s="14">
        <v>0</v>
      </c>
      <c r="AT59" s="14">
        <v>0</v>
      </c>
      <c r="AU59" s="14">
        <v>0</v>
      </c>
      <c r="AV59" s="14">
        <v>0</v>
      </c>
      <c r="AW59" s="14">
        <v>0</v>
      </c>
      <c r="AX59" s="14">
        <v>0</v>
      </c>
      <c r="AY59" s="14">
        <v>0</v>
      </c>
      <c r="AZ59" s="14">
        <v>0</v>
      </c>
      <c r="BA59" s="14">
        <v>0</v>
      </c>
      <c r="BB59" s="14">
        <v>0</v>
      </c>
      <c r="BC59" s="14">
        <v>0</v>
      </c>
      <c r="BD59" s="14">
        <v>0</v>
      </c>
      <c r="BE59" s="14">
        <v>0</v>
      </c>
      <c r="BF59" s="14">
        <v>0</v>
      </c>
      <c r="BG59" s="14">
        <v>0</v>
      </c>
      <c r="BH59" s="14">
        <v>0</v>
      </c>
      <c r="BI59" s="14">
        <v>0</v>
      </c>
      <c r="BJ59" s="14">
        <v>0</v>
      </c>
      <c r="BK59" s="18">
        <v>0</v>
      </c>
      <c r="BL59" s="23"/>
    </row>
    <row r="60" spans="1:64">
      <c r="A60">
        <f>СВ!B70</f>
        <v>43</v>
      </c>
      <c r="B60" s="5">
        <f>СВ!C70</f>
        <v>0.76041666666666641</v>
      </c>
      <c r="C60" s="5">
        <f>СВ!D70</f>
        <v>0.79166666666666641</v>
      </c>
      <c r="D60" s="15">
        <v>0</v>
      </c>
      <c r="E60" s="16">
        <v>0</v>
      </c>
      <c r="F60" s="16">
        <v>0</v>
      </c>
      <c r="G60" s="16">
        <v>0</v>
      </c>
      <c r="H60" s="16">
        <v>0</v>
      </c>
      <c r="I60" s="16">
        <v>0</v>
      </c>
      <c r="J60" s="16">
        <v>0</v>
      </c>
      <c r="K60" s="16">
        <v>0</v>
      </c>
      <c r="L60" s="16">
        <v>0</v>
      </c>
      <c r="M60" s="16">
        <v>0</v>
      </c>
      <c r="N60" s="16">
        <v>0</v>
      </c>
      <c r="O60" s="16">
        <v>0</v>
      </c>
      <c r="P60" s="16">
        <v>0</v>
      </c>
      <c r="Q60" s="16">
        <v>0</v>
      </c>
      <c r="R60" s="16">
        <v>0</v>
      </c>
      <c r="S60" s="16">
        <v>0</v>
      </c>
      <c r="T60" s="16">
        <v>0</v>
      </c>
      <c r="U60" s="16">
        <v>0</v>
      </c>
      <c r="V60" s="16">
        <v>0</v>
      </c>
      <c r="W60" s="16">
        <v>0</v>
      </c>
      <c r="X60" s="16">
        <v>0</v>
      </c>
      <c r="Y60" s="16">
        <v>0</v>
      </c>
      <c r="Z60" s="16">
        <v>0</v>
      </c>
      <c r="AA60" s="16">
        <v>0</v>
      </c>
      <c r="AB60" s="16">
        <v>0</v>
      </c>
      <c r="AC60" s="16">
        <v>0</v>
      </c>
      <c r="AD60" s="16">
        <v>0</v>
      </c>
      <c r="AE60" s="16">
        <v>0</v>
      </c>
      <c r="AF60" s="16">
        <v>0</v>
      </c>
      <c r="AG60" s="16">
        <v>0</v>
      </c>
      <c r="AH60" s="16">
        <v>0</v>
      </c>
      <c r="AI60" s="16">
        <v>0</v>
      </c>
      <c r="AJ60" s="16">
        <v>0</v>
      </c>
      <c r="AK60" s="16">
        <v>0</v>
      </c>
      <c r="AL60" s="16">
        <v>0</v>
      </c>
      <c r="AM60" s="16">
        <v>0</v>
      </c>
      <c r="AN60" s="16">
        <v>0</v>
      </c>
      <c r="AO60" s="16">
        <v>0</v>
      </c>
      <c r="AP60" s="16">
        <v>0</v>
      </c>
      <c r="AQ60" s="16">
        <v>0</v>
      </c>
      <c r="AR60" s="16">
        <v>0</v>
      </c>
      <c r="AS60" s="16">
        <v>0</v>
      </c>
      <c r="AT60" s="16">
        <v>0</v>
      </c>
      <c r="AU60" s="16">
        <v>0</v>
      </c>
      <c r="AV60" s="16">
        <v>0</v>
      </c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0</v>
      </c>
      <c r="BD60" s="16">
        <v>0</v>
      </c>
      <c r="BE60" s="16">
        <v>0</v>
      </c>
      <c r="BF60" s="16">
        <v>0</v>
      </c>
      <c r="BG60" s="16">
        <v>0</v>
      </c>
      <c r="BH60" s="16">
        <v>0</v>
      </c>
      <c r="BI60" s="16">
        <v>0</v>
      </c>
      <c r="BJ60" s="16">
        <v>0</v>
      </c>
      <c r="BK60" s="19">
        <v>0</v>
      </c>
      <c r="BL60" s="23"/>
    </row>
    <row r="61" spans="1:64">
      <c r="A61">
        <f>СВ!B71</f>
        <v>44</v>
      </c>
      <c r="B61" s="5">
        <f>СВ!C71</f>
        <v>0.77083333333333315</v>
      </c>
      <c r="C61" s="5">
        <f>СВ!D71</f>
        <v>0.80208333333333304</v>
      </c>
      <c r="D61" s="13">
        <v>0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0</v>
      </c>
      <c r="U61" s="14">
        <v>0</v>
      </c>
      <c r="V61" s="14">
        <v>0</v>
      </c>
      <c r="W61" s="14">
        <v>0</v>
      </c>
      <c r="X61" s="14">
        <v>0</v>
      </c>
      <c r="Y61" s="14">
        <v>0</v>
      </c>
      <c r="Z61" s="14">
        <v>0</v>
      </c>
      <c r="AA61" s="14">
        <v>0</v>
      </c>
      <c r="AB61" s="14">
        <v>0</v>
      </c>
      <c r="AC61" s="14">
        <v>0</v>
      </c>
      <c r="AD61" s="14">
        <v>0</v>
      </c>
      <c r="AE61" s="14">
        <v>0</v>
      </c>
      <c r="AF61" s="14">
        <v>0</v>
      </c>
      <c r="AG61" s="14">
        <v>0</v>
      </c>
      <c r="AH61" s="14">
        <v>0</v>
      </c>
      <c r="AI61" s="14">
        <v>0</v>
      </c>
      <c r="AJ61" s="14">
        <v>0</v>
      </c>
      <c r="AK61" s="14">
        <v>0</v>
      </c>
      <c r="AL61" s="14">
        <v>0</v>
      </c>
      <c r="AM61" s="14">
        <v>0</v>
      </c>
      <c r="AN61" s="14">
        <v>0</v>
      </c>
      <c r="AO61" s="14">
        <v>0</v>
      </c>
      <c r="AP61" s="14">
        <v>0</v>
      </c>
      <c r="AQ61" s="14">
        <v>0</v>
      </c>
      <c r="AR61" s="14">
        <v>0</v>
      </c>
      <c r="AS61" s="14">
        <v>0</v>
      </c>
      <c r="AT61" s="14">
        <v>0</v>
      </c>
      <c r="AU61" s="14">
        <v>0</v>
      </c>
      <c r="AV61" s="14">
        <v>0</v>
      </c>
      <c r="AW61" s="14">
        <v>0</v>
      </c>
      <c r="AX61" s="14">
        <v>0</v>
      </c>
      <c r="AY61" s="14">
        <v>0</v>
      </c>
      <c r="AZ61" s="14">
        <v>0</v>
      </c>
      <c r="BA61" s="14">
        <v>0</v>
      </c>
      <c r="BB61" s="14">
        <v>0</v>
      </c>
      <c r="BC61" s="14">
        <v>0</v>
      </c>
      <c r="BD61" s="14">
        <v>0</v>
      </c>
      <c r="BE61" s="14">
        <v>0</v>
      </c>
      <c r="BF61" s="14">
        <v>0</v>
      </c>
      <c r="BG61" s="14">
        <v>0</v>
      </c>
      <c r="BH61" s="14">
        <v>0</v>
      </c>
      <c r="BI61" s="14">
        <v>0</v>
      </c>
      <c r="BJ61" s="14">
        <v>0</v>
      </c>
      <c r="BK61" s="18">
        <v>0</v>
      </c>
      <c r="BL61" s="23"/>
    </row>
    <row r="62" spans="1:64">
      <c r="A62">
        <f>СВ!B72</f>
        <v>45</v>
      </c>
      <c r="B62" s="5">
        <f>СВ!C72</f>
        <v>0.78124999999999978</v>
      </c>
      <c r="C62" s="5">
        <f>СВ!D72</f>
        <v>0.81249999999999978</v>
      </c>
      <c r="D62" s="15">
        <v>0</v>
      </c>
      <c r="E62" s="16">
        <v>0</v>
      </c>
      <c r="F62" s="16">
        <v>0</v>
      </c>
      <c r="G62" s="16">
        <v>0</v>
      </c>
      <c r="H62" s="16">
        <v>0</v>
      </c>
      <c r="I62" s="16">
        <v>0</v>
      </c>
      <c r="J62" s="16">
        <v>0</v>
      </c>
      <c r="K62" s="16">
        <v>0</v>
      </c>
      <c r="L62" s="16">
        <v>0</v>
      </c>
      <c r="M62" s="16">
        <v>0</v>
      </c>
      <c r="N62" s="16">
        <v>0</v>
      </c>
      <c r="O62" s="16">
        <v>0</v>
      </c>
      <c r="P62" s="16">
        <v>0</v>
      </c>
      <c r="Q62" s="16">
        <v>0</v>
      </c>
      <c r="R62" s="16">
        <v>0</v>
      </c>
      <c r="S62" s="16">
        <v>0</v>
      </c>
      <c r="T62" s="16">
        <v>0</v>
      </c>
      <c r="U62" s="16">
        <v>0</v>
      </c>
      <c r="V62" s="16">
        <v>0</v>
      </c>
      <c r="W62" s="16">
        <v>0</v>
      </c>
      <c r="X62" s="16">
        <v>0</v>
      </c>
      <c r="Y62" s="16">
        <v>0</v>
      </c>
      <c r="Z62" s="16">
        <v>0</v>
      </c>
      <c r="AA62" s="16">
        <v>0</v>
      </c>
      <c r="AB62" s="16">
        <v>0</v>
      </c>
      <c r="AC62" s="16">
        <v>0</v>
      </c>
      <c r="AD62" s="16">
        <v>0</v>
      </c>
      <c r="AE62" s="16">
        <v>0</v>
      </c>
      <c r="AF62" s="16">
        <v>0</v>
      </c>
      <c r="AG62" s="16">
        <v>0</v>
      </c>
      <c r="AH62" s="16">
        <v>0</v>
      </c>
      <c r="AI62" s="16">
        <v>0</v>
      </c>
      <c r="AJ62" s="16">
        <v>0</v>
      </c>
      <c r="AK62" s="16">
        <v>0</v>
      </c>
      <c r="AL62" s="16">
        <v>0</v>
      </c>
      <c r="AM62" s="16">
        <v>0</v>
      </c>
      <c r="AN62" s="16">
        <v>0</v>
      </c>
      <c r="AO62" s="16">
        <v>0</v>
      </c>
      <c r="AP62" s="16">
        <v>0</v>
      </c>
      <c r="AQ62" s="16">
        <v>0</v>
      </c>
      <c r="AR62" s="16">
        <v>0</v>
      </c>
      <c r="AS62" s="16">
        <v>0</v>
      </c>
      <c r="AT62" s="16">
        <v>0</v>
      </c>
      <c r="AU62" s="16">
        <v>0</v>
      </c>
      <c r="AV62" s="16">
        <v>0</v>
      </c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0</v>
      </c>
      <c r="BD62" s="16">
        <v>0</v>
      </c>
      <c r="BE62" s="16">
        <v>0</v>
      </c>
      <c r="BF62" s="16">
        <v>0</v>
      </c>
      <c r="BG62" s="16">
        <v>0</v>
      </c>
      <c r="BH62" s="16">
        <v>0</v>
      </c>
      <c r="BI62" s="16">
        <v>0</v>
      </c>
      <c r="BJ62" s="16">
        <v>0</v>
      </c>
      <c r="BK62" s="19">
        <v>0</v>
      </c>
      <c r="BL62" s="23"/>
    </row>
    <row r="63" spans="1:64">
      <c r="A63">
        <f>СВ!B73</f>
        <v>46</v>
      </c>
      <c r="B63" s="5">
        <f>СВ!C73</f>
        <v>0.79166666666666641</v>
      </c>
      <c r="C63" s="5">
        <f>СВ!D73</f>
        <v>0.83333333333333304</v>
      </c>
      <c r="D63" s="13">
        <v>0</v>
      </c>
      <c r="E63" s="14">
        <v>0</v>
      </c>
      <c r="F63" s="14">
        <v>0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0</v>
      </c>
      <c r="V63" s="14">
        <v>0</v>
      </c>
      <c r="W63" s="14">
        <v>0</v>
      </c>
      <c r="X63" s="14">
        <v>0</v>
      </c>
      <c r="Y63" s="14">
        <v>0</v>
      </c>
      <c r="Z63" s="14">
        <v>0</v>
      </c>
      <c r="AA63" s="14">
        <v>0</v>
      </c>
      <c r="AB63" s="14">
        <v>0</v>
      </c>
      <c r="AC63" s="14">
        <v>0</v>
      </c>
      <c r="AD63" s="14">
        <v>0</v>
      </c>
      <c r="AE63" s="14">
        <v>0</v>
      </c>
      <c r="AF63" s="14">
        <v>0</v>
      </c>
      <c r="AG63" s="14">
        <v>0</v>
      </c>
      <c r="AH63" s="14">
        <v>0</v>
      </c>
      <c r="AI63" s="14">
        <v>0</v>
      </c>
      <c r="AJ63" s="14">
        <v>0</v>
      </c>
      <c r="AK63" s="14">
        <v>0</v>
      </c>
      <c r="AL63" s="14">
        <v>0</v>
      </c>
      <c r="AM63" s="14">
        <v>0</v>
      </c>
      <c r="AN63" s="14">
        <v>0</v>
      </c>
      <c r="AO63" s="14">
        <v>0</v>
      </c>
      <c r="AP63" s="14">
        <v>0</v>
      </c>
      <c r="AQ63" s="14">
        <v>0</v>
      </c>
      <c r="AR63" s="14">
        <v>0</v>
      </c>
      <c r="AS63" s="14">
        <v>0</v>
      </c>
      <c r="AT63" s="14">
        <v>0</v>
      </c>
      <c r="AU63" s="14">
        <v>0</v>
      </c>
      <c r="AV63" s="14">
        <v>0</v>
      </c>
      <c r="AW63" s="14">
        <v>0</v>
      </c>
      <c r="AX63" s="14">
        <v>0</v>
      </c>
      <c r="AY63" s="14">
        <v>0</v>
      </c>
      <c r="AZ63" s="14">
        <v>0</v>
      </c>
      <c r="BA63" s="14">
        <v>0</v>
      </c>
      <c r="BB63" s="14">
        <v>0</v>
      </c>
      <c r="BC63" s="14">
        <v>0</v>
      </c>
      <c r="BD63" s="14">
        <v>0</v>
      </c>
      <c r="BE63" s="14">
        <v>0</v>
      </c>
      <c r="BF63" s="14">
        <v>0</v>
      </c>
      <c r="BG63" s="14">
        <v>0</v>
      </c>
      <c r="BH63" s="14">
        <v>0</v>
      </c>
      <c r="BI63" s="14">
        <v>0</v>
      </c>
      <c r="BJ63" s="14">
        <v>0</v>
      </c>
      <c r="BK63" s="18">
        <v>0</v>
      </c>
      <c r="BL63" s="23"/>
    </row>
    <row r="64" spans="1:64">
      <c r="A64">
        <f>СВ!B74</f>
        <v>47</v>
      </c>
      <c r="B64" s="5">
        <f>СВ!C74</f>
        <v>0.80208333333333304</v>
      </c>
      <c r="C64" s="5">
        <f>СВ!D74</f>
        <v>0.83333333333333304</v>
      </c>
      <c r="D64" s="15">
        <v>0</v>
      </c>
      <c r="E64" s="16">
        <v>0</v>
      </c>
      <c r="F64" s="16">
        <v>0</v>
      </c>
      <c r="G64" s="16">
        <v>0</v>
      </c>
      <c r="H64" s="16">
        <v>0</v>
      </c>
      <c r="I64" s="16">
        <v>0</v>
      </c>
      <c r="J64" s="16">
        <v>0</v>
      </c>
      <c r="K64" s="16">
        <v>0</v>
      </c>
      <c r="L64" s="16">
        <v>0</v>
      </c>
      <c r="M64" s="16">
        <v>0</v>
      </c>
      <c r="N64" s="16">
        <v>0</v>
      </c>
      <c r="O64" s="16">
        <v>0</v>
      </c>
      <c r="P64" s="16">
        <v>0</v>
      </c>
      <c r="Q64" s="16">
        <v>0</v>
      </c>
      <c r="R64" s="16">
        <v>0</v>
      </c>
      <c r="S64" s="16">
        <v>0</v>
      </c>
      <c r="T64" s="16">
        <v>0</v>
      </c>
      <c r="U64" s="16">
        <v>0</v>
      </c>
      <c r="V64" s="16">
        <v>0</v>
      </c>
      <c r="W64" s="16">
        <v>0</v>
      </c>
      <c r="X64" s="16">
        <v>0</v>
      </c>
      <c r="Y64" s="16">
        <v>0</v>
      </c>
      <c r="Z64" s="16">
        <v>0</v>
      </c>
      <c r="AA64" s="16">
        <v>0</v>
      </c>
      <c r="AB64" s="16">
        <v>0</v>
      </c>
      <c r="AC64" s="16">
        <v>0</v>
      </c>
      <c r="AD64" s="16">
        <v>0</v>
      </c>
      <c r="AE64" s="16">
        <v>0</v>
      </c>
      <c r="AF64" s="16">
        <v>0</v>
      </c>
      <c r="AG64" s="16">
        <v>0</v>
      </c>
      <c r="AH64" s="16">
        <v>0</v>
      </c>
      <c r="AI64" s="16">
        <v>0</v>
      </c>
      <c r="AJ64" s="16">
        <v>0</v>
      </c>
      <c r="AK64" s="16">
        <v>0</v>
      </c>
      <c r="AL64" s="16">
        <v>0</v>
      </c>
      <c r="AM64" s="16">
        <v>0</v>
      </c>
      <c r="AN64" s="16">
        <v>0</v>
      </c>
      <c r="AO64" s="16">
        <v>0</v>
      </c>
      <c r="AP64" s="16">
        <v>0</v>
      </c>
      <c r="AQ64" s="16">
        <v>0</v>
      </c>
      <c r="AR64" s="16">
        <v>0</v>
      </c>
      <c r="AS64" s="16">
        <v>0</v>
      </c>
      <c r="AT64" s="16">
        <v>0</v>
      </c>
      <c r="AU64" s="16">
        <v>0</v>
      </c>
      <c r="AV64" s="16">
        <v>0</v>
      </c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0</v>
      </c>
      <c r="BD64" s="16">
        <v>0</v>
      </c>
      <c r="BE64" s="16">
        <v>0</v>
      </c>
      <c r="BF64" s="16">
        <v>0</v>
      </c>
      <c r="BG64" s="16">
        <v>0</v>
      </c>
      <c r="BH64" s="16">
        <v>0</v>
      </c>
      <c r="BI64" s="16">
        <v>0</v>
      </c>
      <c r="BJ64" s="16">
        <v>0</v>
      </c>
      <c r="BK64" s="19">
        <v>0</v>
      </c>
      <c r="BL64" s="23"/>
    </row>
    <row r="65" spans="1:99">
      <c r="A65">
        <f>СВ!B75</f>
        <v>48</v>
      </c>
      <c r="B65" s="5">
        <f>СВ!C75</f>
        <v>0.81249999999999978</v>
      </c>
      <c r="C65" s="5">
        <f>СВ!D75</f>
        <v>0.84374999999999967</v>
      </c>
      <c r="D65" s="13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  <c r="W65" s="14">
        <v>0</v>
      </c>
      <c r="X65" s="14">
        <v>0</v>
      </c>
      <c r="Y65" s="14">
        <v>0</v>
      </c>
      <c r="Z65" s="14">
        <v>0</v>
      </c>
      <c r="AA65" s="14">
        <v>0</v>
      </c>
      <c r="AB65" s="14">
        <v>0</v>
      </c>
      <c r="AC65" s="14">
        <v>0</v>
      </c>
      <c r="AD65" s="14">
        <v>0</v>
      </c>
      <c r="AE65" s="14">
        <v>0</v>
      </c>
      <c r="AF65" s="14">
        <v>0</v>
      </c>
      <c r="AG65" s="14">
        <v>0</v>
      </c>
      <c r="AH65" s="14">
        <v>0</v>
      </c>
      <c r="AI65" s="14">
        <v>0</v>
      </c>
      <c r="AJ65" s="14">
        <v>0</v>
      </c>
      <c r="AK65" s="14">
        <v>0</v>
      </c>
      <c r="AL65" s="14">
        <v>0</v>
      </c>
      <c r="AM65" s="14">
        <v>0</v>
      </c>
      <c r="AN65" s="14">
        <v>0</v>
      </c>
      <c r="AO65" s="14">
        <v>0</v>
      </c>
      <c r="AP65" s="14">
        <v>0</v>
      </c>
      <c r="AQ65" s="14">
        <v>0</v>
      </c>
      <c r="AR65" s="14">
        <v>0</v>
      </c>
      <c r="AS65" s="14">
        <v>0</v>
      </c>
      <c r="AT65" s="14">
        <v>0</v>
      </c>
      <c r="AU65" s="14">
        <v>0</v>
      </c>
      <c r="AV65" s="14">
        <v>0</v>
      </c>
      <c r="AW65" s="14">
        <v>0</v>
      </c>
      <c r="AX65" s="14">
        <v>0</v>
      </c>
      <c r="AY65" s="14">
        <v>0</v>
      </c>
      <c r="AZ65" s="14">
        <v>0</v>
      </c>
      <c r="BA65" s="14">
        <v>0</v>
      </c>
      <c r="BB65" s="14">
        <v>0</v>
      </c>
      <c r="BC65" s="14">
        <v>0</v>
      </c>
      <c r="BD65" s="14">
        <v>0</v>
      </c>
      <c r="BE65" s="14">
        <v>0</v>
      </c>
      <c r="BF65" s="14">
        <v>0</v>
      </c>
      <c r="BG65" s="14">
        <v>0</v>
      </c>
      <c r="BH65" s="14">
        <v>0</v>
      </c>
      <c r="BI65" s="14">
        <v>0</v>
      </c>
      <c r="BJ65" s="14">
        <v>0</v>
      </c>
      <c r="BK65" s="18">
        <v>0</v>
      </c>
      <c r="BL65" s="23"/>
    </row>
    <row r="66" spans="1:99">
      <c r="A66">
        <f>СВ!B76</f>
        <v>49</v>
      </c>
      <c r="B66" s="5">
        <f>СВ!C76</f>
        <v>0.82291666666666641</v>
      </c>
      <c r="C66" s="5">
        <f>СВ!D76</f>
        <v>0.85416666666666641</v>
      </c>
      <c r="D66" s="15">
        <v>0</v>
      </c>
      <c r="E66" s="16">
        <v>0</v>
      </c>
      <c r="F66" s="16">
        <v>0</v>
      </c>
      <c r="G66" s="16">
        <v>0</v>
      </c>
      <c r="H66" s="16">
        <v>0</v>
      </c>
      <c r="I66" s="16">
        <v>0</v>
      </c>
      <c r="J66" s="16">
        <v>0</v>
      </c>
      <c r="K66" s="16">
        <v>0</v>
      </c>
      <c r="L66" s="16">
        <v>0</v>
      </c>
      <c r="M66" s="16">
        <v>0</v>
      </c>
      <c r="N66" s="16">
        <v>0</v>
      </c>
      <c r="O66" s="16">
        <v>0</v>
      </c>
      <c r="P66" s="16">
        <v>0</v>
      </c>
      <c r="Q66" s="16">
        <v>0</v>
      </c>
      <c r="R66" s="16">
        <v>0</v>
      </c>
      <c r="S66" s="16">
        <v>0</v>
      </c>
      <c r="T66" s="16">
        <v>0</v>
      </c>
      <c r="U66" s="16">
        <v>0</v>
      </c>
      <c r="V66" s="16">
        <v>0</v>
      </c>
      <c r="W66" s="16">
        <v>0</v>
      </c>
      <c r="X66" s="16">
        <v>0</v>
      </c>
      <c r="Y66" s="16">
        <v>0</v>
      </c>
      <c r="Z66" s="16">
        <v>0</v>
      </c>
      <c r="AA66" s="16">
        <v>0</v>
      </c>
      <c r="AB66" s="16">
        <v>0</v>
      </c>
      <c r="AC66" s="16">
        <v>0</v>
      </c>
      <c r="AD66" s="16">
        <v>0</v>
      </c>
      <c r="AE66" s="16">
        <v>0</v>
      </c>
      <c r="AF66" s="16">
        <v>0</v>
      </c>
      <c r="AG66" s="16">
        <v>0</v>
      </c>
      <c r="AH66" s="16">
        <v>0</v>
      </c>
      <c r="AI66" s="16">
        <v>0</v>
      </c>
      <c r="AJ66" s="16">
        <v>0</v>
      </c>
      <c r="AK66" s="16">
        <v>0</v>
      </c>
      <c r="AL66" s="16">
        <v>0</v>
      </c>
      <c r="AM66" s="16">
        <v>0</v>
      </c>
      <c r="AN66" s="16">
        <v>0</v>
      </c>
      <c r="AO66" s="16">
        <v>0</v>
      </c>
      <c r="AP66" s="16">
        <v>0</v>
      </c>
      <c r="AQ66" s="16">
        <v>0</v>
      </c>
      <c r="AR66" s="16">
        <v>0</v>
      </c>
      <c r="AS66" s="16">
        <v>0</v>
      </c>
      <c r="AT66" s="16">
        <v>0</v>
      </c>
      <c r="AU66" s="16">
        <v>0</v>
      </c>
      <c r="AV66" s="16">
        <v>0</v>
      </c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0</v>
      </c>
      <c r="BD66" s="16">
        <v>0</v>
      </c>
      <c r="BE66" s="16">
        <v>0</v>
      </c>
      <c r="BF66" s="16">
        <v>0</v>
      </c>
      <c r="BG66" s="16">
        <v>0</v>
      </c>
      <c r="BH66" s="16">
        <v>0</v>
      </c>
      <c r="BI66" s="16">
        <v>0</v>
      </c>
      <c r="BJ66" s="16">
        <v>0</v>
      </c>
      <c r="BK66" s="19">
        <v>0</v>
      </c>
      <c r="BL66" s="23"/>
    </row>
    <row r="67" spans="1:99">
      <c r="A67" t="s">
        <v>110</v>
      </c>
      <c r="D67" s="20">
        <f>SUBTOTAL(109,[Столбец4])</f>
        <v>1</v>
      </c>
      <c r="E67" s="20">
        <f>SUBTOTAL(109,[Столбец5])</f>
        <v>1</v>
      </c>
      <c r="F67" s="20">
        <f>SUBTOTAL(109,[Столбец6])</f>
        <v>0</v>
      </c>
      <c r="G67" s="20">
        <f>SUBTOTAL(109,[Столбец7])</f>
        <v>1</v>
      </c>
      <c r="H67" s="20">
        <f>SUBTOTAL(109,[Столбец8])</f>
        <v>0</v>
      </c>
      <c r="I67" s="20">
        <f>SUBTOTAL(109,[Столбец9])</f>
        <v>1</v>
      </c>
      <c r="J67" s="20">
        <f>SUBTOTAL(109,[Столбец10])</f>
        <v>0</v>
      </c>
      <c r="K67" s="20">
        <f>SUBTOTAL(109,[Столбец11])</f>
        <v>0</v>
      </c>
      <c r="L67" s="20">
        <f>SUBTOTAL(109,[Столбец12])</f>
        <v>0</v>
      </c>
      <c r="M67" s="20">
        <f>SUBTOTAL(109,[Столбец13])</f>
        <v>0</v>
      </c>
      <c r="N67" s="20">
        <f>SUBTOTAL(109,[Столбец14])</f>
        <v>0</v>
      </c>
      <c r="O67" s="20">
        <f>SUBTOTAL(109,[Столбец15])</f>
        <v>0</v>
      </c>
      <c r="P67" s="20">
        <f>SUBTOTAL(109,[Столбец16])</f>
        <v>0</v>
      </c>
      <c r="Q67" s="20">
        <f>SUBTOTAL(109,[Столбец17])</f>
        <v>0</v>
      </c>
      <c r="R67" s="20">
        <f>SUBTOTAL(109,[Столбец18])</f>
        <v>0</v>
      </c>
      <c r="S67" s="20">
        <f>SUBTOTAL(109,[Столбец19])</f>
        <v>0</v>
      </c>
      <c r="T67" s="20">
        <f>SUBTOTAL(109,[Столбец20])</f>
        <v>0</v>
      </c>
      <c r="U67" s="20">
        <f>SUBTOTAL(109,[Столбец21])</f>
        <v>0</v>
      </c>
      <c r="V67" s="20">
        <f>SUBTOTAL(109,[Столбец22])</f>
        <v>0</v>
      </c>
      <c r="W67" s="20">
        <f>SUBTOTAL(109,[Столбец23])</f>
        <v>0</v>
      </c>
      <c r="X67" s="20">
        <f>SUBTOTAL(109,[Столбец24])</f>
        <v>0</v>
      </c>
      <c r="Y67" s="20">
        <f>SUBTOTAL(109,[Столбец25])</f>
        <v>0</v>
      </c>
      <c r="Z67" s="20">
        <f>SUBTOTAL(109,[Столбец26])</f>
        <v>0</v>
      </c>
      <c r="AA67" s="20">
        <f>SUBTOTAL(109,[Столбец27])</f>
        <v>0</v>
      </c>
      <c r="AB67" s="20">
        <f>SUBTOTAL(109,[Столбец28])</f>
        <v>0</v>
      </c>
      <c r="AC67" s="20">
        <f>SUBTOTAL(109,[Столбец29])</f>
        <v>0</v>
      </c>
      <c r="AD67" s="20">
        <f>SUBTOTAL(109,[Столбец30])</f>
        <v>0</v>
      </c>
      <c r="AE67" s="20">
        <f>SUBTOTAL(109,[Столбец31])</f>
        <v>0</v>
      </c>
      <c r="AF67" s="20">
        <f>SUBTOTAL(109,[Столбец32])</f>
        <v>0</v>
      </c>
      <c r="AG67" s="20">
        <f>SUBTOTAL(109,[Столбец33])</f>
        <v>0</v>
      </c>
      <c r="AH67" s="20">
        <f>SUBTOTAL(109,[Столбец34])</f>
        <v>0</v>
      </c>
      <c r="AI67" s="20">
        <f>SUBTOTAL(109,[Столбец35])</f>
        <v>0</v>
      </c>
      <c r="AJ67" s="20">
        <f>SUBTOTAL(109,[Столбец36])</f>
        <v>0</v>
      </c>
      <c r="AK67" s="20">
        <f>SUBTOTAL(109,[Столбец37])</f>
        <v>0</v>
      </c>
      <c r="AL67" s="20">
        <f>SUBTOTAL(109,[Столбец38])</f>
        <v>0</v>
      </c>
      <c r="AM67" s="20">
        <f>SUBTOTAL(109,[Столбец39])</f>
        <v>0</v>
      </c>
      <c r="AN67" s="20">
        <f>SUBTOTAL(109,[Столбец40])</f>
        <v>0</v>
      </c>
      <c r="AO67" s="20">
        <f>SUBTOTAL(109,[Столбец41])</f>
        <v>0</v>
      </c>
      <c r="AP67" s="20">
        <f>SUBTOTAL(109,[Столбец42])</f>
        <v>0</v>
      </c>
      <c r="AQ67" s="20">
        <f>SUBTOTAL(109,[Столбец43])</f>
        <v>0</v>
      </c>
      <c r="AR67" s="20">
        <f>SUBTOTAL(109,[Столбец44])</f>
        <v>0</v>
      </c>
      <c r="AS67" s="20">
        <f>SUBTOTAL(109,[Столбец45])</f>
        <v>0</v>
      </c>
      <c r="AT67" s="20">
        <f>SUBTOTAL(109,[Столбец46])</f>
        <v>0</v>
      </c>
      <c r="AU67" s="20">
        <f>SUBTOTAL(109,[Столбец47])</f>
        <v>0</v>
      </c>
      <c r="AV67" s="20">
        <f>SUBTOTAL(109,[Столбец48])</f>
        <v>0</v>
      </c>
      <c r="AW67" s="20">
        <f>SUBTOTAL(109,[Столбец49])</f>
        <v>0</v>
      </c>
      <c r="AX67" s="20">
        <f>SUBTOTAL(109,[Столбец50])</f>
        <v>0</v>
      </c>
      <c r="AY67" s="20">
        <f>SUBTOTAL(109,[Столбец51])</f>
        <v>0</v>
      </c>
      <c r="AZ67" s="20">
        <f>SUBTOTAL(109,[Столбец52])</f>
        <v>0</v>
      </c>
      <c r="BA67" s="20">
        <f>SUBTOTAL(109,[Столбец53])</f>
        <v>0</v>
      </c>
      <c r="BB67" s="20">
        <f>SUBTOTAL(109,[Столбец54])</f>
        <v>0</v>
      </c>
      <c r="BC67" s="20">
        <f>SUBTOTAL(109,[Столбец55])</f>
        <v>0</v>
      </c>
      <c r="BD67" s="20">
        <f>SUBTOTAL(109,[Столбец56])</f>
        <v>0</v>
      </c>
      <c r="BE67" s="20">
        <f>SUBTOTAL(109,[Столбец57])</f>
        <v>0</v>
      </c>
      <c r="BF67" s="20">
        <f>SUBTOTAL(109,[Столбец58])</f>
        <v>0</v>
      </c>
      <c r="BG67" s="20">
        <f>SUBTOTAL(109,[Столбец59])</f>
        <v>0</v>
      </c>
      <c r="BH67" s="20">
        <f>SUBTOTAL(109,[Столбец60])</f>
        <v>0</v>
      </c>
      <c r="BI67" s="20">
        <f>SUBTOTAL(109,[Столбец61])</f>
        <v>0</v>
      </c>
      <c r="BJ67" s="20">
        <f>SUBTOTAL(109,[Столбец62])</f>
        <v>0</v>
      </c>
      <c r="BK67" s="20">
        <f>SUBTOTAL(109,[Столбец63])</f>
        <v>0</v>
      </c>
      <c r="BL67" s="20">
        <f>SUM(DV[[#Totals],[Столбец4]:[Столбец63]])</f>
        <v>4</v>
      </c>
    </row>
    <row r="68" spans="1:99"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</row>
    <row r="69" spans="1:99">
      <c r="A69" t="s">
        <v>169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</row>
    <row r="70" spans="1:99">
      <c r="A70" t="s">
        <v>170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</row>
    <row r="71" spans="1:99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</row>
    <row r="72" spans="1:99"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</row>
    <row r="73" spans="1:99">
      <c r="A73" s="27"/>
      <c r="B73" s="28"/>
      <c r="C73" s="28"/>
      <c r="D73" s="33" t="s">
        <v>7</v>
      </c>
      <c r="E73" s="34"/>
      <c r="F73" s="34"/>
      <c r="G73" s="34"/>
      <c r="H73" s="34"/>
      <c r="I73" s="34"/>
      <c r="J73" s="34" t="s">
        <v>10</v>
      </c>
      <c r="K73" s="34"/>
      <c r="L73" s="34"/>
      <c r="M73" s="34"/>
      <c r="N73" s="34"/>
      <c r="O73" s="34"/>
      <c r="P73" s="34" t="s">
        <v>14</v>
      </c>
      <c r="Q73" s="34"/>
      <c r="R73" s="34"/>
      <c r="S73" s="34"/>
      <c r="T73" s="34"/>
      <c r="U73" s="34"/>
      <c r="V73" s="34" t="s">
        <v>17</v>
      </c>
      <c r="W73" s="34"/>
      <c r="X73" s="34"/>
      <c r="Y73" s="34"/>
      <c r="Z73" s="34"/>
      <c r="AA73" s="34"/>
      <c r="AB73" s="34" t="s">
        <v>21</v>
      </c>
      <c r="AC73" s="34"/>
      <c r="AD73" s="34"/>
      <c r="AE73" s="34"/>
      <c r="AF73" s="34"/>
      <c r="AG73" s="34"/>
      <c r="AH73" s="34" t="s">
        <v>23</v>
      </c>
      <c r="AI73" s="34"/>
      <c r="AJ73" s="34"/>
      <c r="AK73" s="34"/>
      <c r="AL73" s="34"/>
      <c r="AM73" s="34"/>
      <c r="AN73" s="34" t="s">
        <v>26</v>
      </c>
      <c r="AO73" s="34"/>
      <c r="AP73" s="34"/>
      <c r="AQ73" s="34"/>
      <c r="AR73" s="34"/>
      <c r="AS73" s="34"/>
      <c r="AT73" s="34" t="s">
        <v>29</v>
      </c>
      <c r="AU73" s="34"/>
      <c r="AV73" s="34"/>
      <c r="AW73" s="34"/>
      <c r="AX73" s="34"/>
      <c r="AY73" s="34"/>
      <c r="AZ73" s="34" t="s">
        <v>33</v>
      </c>
      <c r="BA73" s="34"/>
      <c r="BB73" s="34"/>
      <c r="BC73" s="34"/>
      <c r="BD73" s="34"/>
      <c r="BE73" s="34"/>
      <c r="BF73" s="34" t="s">
        <v>35</v>
      </c>
      <c r="BG73" s="34"/>
      <c r="BH73" s="34"/>
      <c r="BI73" s="34"/>
      <c r="BJ73" s="34"/>
      <c r="BK73" s="3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</row>
    <row r="74" spans="1:99">
      <c r="A74" s="30" t="str">
        <f>СВ!B27</f>
        <v>Кол-во отрезков</v>
      </c>
      <c r="B74" s="31" t="str">
        <f>СВ!C27</f>
        <v>49</v>
      </c>
      <c r="C74" s="31"/>
      <c r="D74" s="36" t="str">
        <f>СВ!E27</f>
        <v>Понедельник</v>
      </c>
      <c r="E74" s="37" t="str">
        <f>СВ!F27</f>
        <v>Вторник</v>
      </c>
      <c r="F74" s="37" t="str">
        <f>СВ!G27</f>
        <v>Среда</v>
      </c>
      <c r="G74" s="37" t="str">
        <f>СВ!H27</f>
        <v>Четверг</v>
      </c>
      <c r="H74" s="37" t="str">
        <f>СВ!I27</f>
        <v>Пятница</v>
      </c>
      <c r="I74" s="37" t="str">
        <f>СВ!J27</f>
        <v>Суббота</v>
      </c>
      <c r="J74" s="37" t="str">
        <f>D74</f>
        <v>Понедельник</v>
      </c>
      <c r="K74" s="37" t="str">
        <f t="shared" ref="K74:BK74" si="0">E74</f>
        <v>Вторник</v>
      </c>
      <c r="L74" s="37" t="str">
        <f t="shared" si="0"/>
        <v>Среда</v>
      </c>
      <c r="M74" s="37" t="str">
        <f t="shared" si="0"/>
        <v>Четверг</v>
      </c>
      <c r="N74" s="37" t="str">
        <f t="shared" si="0"/>
        <v>Пятница</v>
      </c>
      <c r="O74" s="37" t="str">
        <f t="shared" si="0"/>
        <v>Суббота</v>
      </c>
      <c r="P74" s="37" t="str">
        <f t="shared" si="0"/>
        <v>Понедельник</v>
      </c>
      <c r="Q74" s="37" t="str">
        <f t="shared" si="0"/>
        <v>Вторник</v>
      </c>
      <c r="R74" s="37" t="str">
        <f t="shared" si="0"/>
        <v>Среда</v>
      </c>
      <c r="S74" s="37" t="str">
        <f t="shared" si="0"/>
        <v>Четверг</v>
      </c>
      <c r="T74" s="37" t="str">
        <f t="shared" si="0"/>
        <v>Пятница</v>
      </c>
      <c r="U74" s="37" t="str">
        <f t="shared" si="0"/>
        <v>Суббота</v>
      </c>
      <c r="V74" s="37" t="str">
        <f t="shared" si="0"/>
        <v>Понедельник</v>
      </c>
      <c r="W74" s="37" t="str">
        <f t="shared" si="0"/>
        <v>Вторник</v>
      </c>
      <c r="X74" s="37" t="str">
        <f t="shared" si="0"/>
        <v>Среда</v>
      </c>
      <c r="Y74" s="37" t="str">
        <f t="shared" si="0"/>
        <v>Четверг</v>
      </c>
      <c r="Z74" s="37" t="str">
        <f t="shared" si="0"/>
        <v>Пятница</v>
      </c>
      <c r="AA74" s="37" t="str">
        <f t="shared" si="0"/>
        <v>Суббота</v>
      </c>
      <c r="AB74" s="37" t="str">
        <f t="shared" si="0"/>
        <v>Понедельник</v>
      </c>
      <c r="AC74" s="37" t="str">
        <f t="shared" si="0"/>
        <v>Вторник</v>
      </c>
      <c r="AD74" s="37" t="str">
        <f t="shared" si="0"/>
        <v>Среда</v>
      </c>
      <c r="AE74" s="37" t="str">
        <f t="shared" si="0"/>
        <v>Четверг</v>
      </c>
      <c r="AF74" s="37" t="str">
        <f t="shared" si="0"/>
        <v>Пятница</v>
      </c>
      <c r="AG74" s="37" t="str">
        <f t="shared" si="0"/>
        <v>Суббота</v>
      </c>
      <c r="AH74" s="37" t="str">
        <f t="shared" si="0"/>
        <v>Понедельник</v>
      </c>
      <c r="AI74" s="37" t="str">
        <f t="shared" si="0"/>
        <v>Вторник</v>
      </c>
      <c r="AJ74" s="37" t="str">
        <f t="shared" si="0"/>
        <v>Среда</v>
      </c>
      <c r="AK74" s="37" t="str">
        <f t="shared" si="0"/>
        <v>Четверг</v>
      </c>
      <c r="AL74" s="37" t="str">
        <f t="shared" si="0"/>
        <v>Пятница</v>
      </c>
      <c r="AM74" s="37" t="str">
        <f t="shared" si="0"/>
        <v>Суббота</v>
      </c>
      <c r="AN74" s="37" t="str">
        <f t="shared" si="0"/>
        <v>Понедельник</v>
      </c>
      <c r="AO74" s="37" t="str">
        <f t="shared" si="0"/>
        <v>Вторник</v>
      </c>
      <c r="AP74" s="37" t="str">
        <f t="shared" si="0"/>
        <v>Среда</v>
      </c>
      <c r="AQ74" s="37" t="str">
        <f t="shared" si="0"/>
        <v>Четверг</v>
      </c>
      <c r="AR74" s="37" t="str">
        <f t="shared" si="0"/>
        <v>Пятница</v>
      </c>
      <c r="AS74" s="37" t="str">
        <f t="shared" si="0"/>
        <v>Суббота</v>
      </c>
      <c r="AT74" s="37" t="str">
        <f t="shared" si="0"/>
        <v>Понедельник</v>
      </c>
      <c r="AU74" s="37" t="str">
        <f t="shared" si="0"/>
        <v>Вторник</v>
      </c>
      <c r="AV74" s="37" t="str">
        <f t="shared" si="0"/>
        <v>Среда</v>
      </c>
      <c r="AW74" s="37" t="str">
        <f t="shared" si="0"/>
        <v>Четверг</v>
      </c>
      <c r="AX74" s="37" t="str">
        <f t="shared" si="0"/>
        <v>Пятница</v>
      </c>
      <c r="AY74" s="37" t="str">
        <f t="shared" si="0"/>
        <v>Суббота</v>
      </c>
      <c r="AZ74" s="37" t="str">
        <f t="shared" si="0"/>
        <v>Понедельник</v>
      </c>
      <c r="BA74" s="37" t="str">
        <f t="shared" si="0"/>
        <v>Вторник</v>
      </c>
      <c r="BB74" s="37" t="str">
        <f t="shared" si="0"/>
        <v>Среда</v>
      </c>
      <c r="BC74" s="37" t="str">
        <f t="shared" si="0"/>
        <v>Четверг</v>
      </c>
      <c r="BD74" s="37" t="str">
        <f t="shared" si="0"/>
        <v>Пятница</v>
      </c>
      <c r="BE74" s="37" t="str">
        <f t="shared" si="0"/>
        <v>Суббота</v>
      </c>
      <c r="BF74" s="37" t="str">
        <f t="shared" si="0"/>
        <v>Понедельник</v>
      </c>
      <c r="BG74" s="37" t="str">
        <f t="shared" si="0"/>
        <v>Вторник</v>
      </c>
      <c r="BH74" s="37" t="str">
        <f t="shared" si="0"/>
        <v>Среда</v>
      </c>
      <c r="BI74" s="37" t="str">
        <f t="shared" si="0"/>
        <v>Четверг</v>
      </c>
      <c r="BJ74" s="37" t="str">
        <f t="shared" si="0"/>
        <v>Пятница</v>
      </c>
      <c r="BK74" s="38" t="str">
        <f t="shared" si="0"/>
        <v>Суббота</v>
      </c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</row>
    <row r="75" spans="1:99">
      <c r="A75" s="27">
        <f>СВ!B28</f>
        <v>1</v>
      </c>
      <c r="B75" s="28">
        <f>СВ!C28</f>
        <v>0.35416666666666669</v>
      </c>
      <c r="C75" s="29">
        <f>СВ!D28</f>
        <v>0.38541666666666669</v>
      </c>
      <c r="D75" t="e">
        <f ca="1">СВ!E28</f>
        <v>#NAME?</v>
      </c>
      <c r="E75">
        <f>СВ!F28</f>
        <v>0</v>
      </c>
      <c r="F75">
        <f>СВ!G28</f>
        <v>0</v>
      </c>
      <c r="G75">
        <f>СВ!H28</f>
        <v>0</v>
      </c>
      <c r="H75" t="e">
        <f ca="1">СВ!I28</f>
        <v>#NAME?</v>
      </c>
      <c r="I75">
        <f>СВ!J28</f>
        <v>0</v>
      </c>
      <c r="J75">
        <f>СВ!K28</f>
        <v>0</v>
      </c>
      <c r="K75">
        <f>СВ!L28</f>
        <v>0</v>
      </c>
      <c r="L75">
        <f>СВ!M28</f>
        <v>0</v>
      </c>
      <c r="M75">
        <f>СВ!N28</f>
        <v>0</v>
      </c>
      <c r="N75">
        <f>СВ!O28</f>
        <v>0</v>
      </c>
      <c r="O75">
        <f>СВ!P28</f>
        <v>0</v>
      </c>
      <c r="P75">
        <f>СВ!Q28</f>
        <v>0</v>
      </c>
      <c r="Q75">
        <f>СВ!R28</f>
        <v>0</v>
      </c>
      <c r="R75">
        <f>СВ!S28</f>
        <v>0</v>
      </c>
      <c r="S75">
        <f>СВ!T28</f>
        <v>0</v>
      </c>
      <c r="T75">
        <f>СВ!U28</f>
        <v>0</v>
      </c>
      <c r="U75">
        <f>СВ!V28</f>
        <v>0</v>
      </c>
      <c r="V75">
        <f>СВ!W28</f>
        <v>0</v>
      </c>
      <c r="W75">
        <f>СВ!X28</f>
        <v>0</v>
      </c>
      <c r="X75">
        <f>СВ!Y28</f>
        <v>0</v>
      </c>
      <c r="Y75">
        <f>СВ!Z28</f>
        <v>0</v>
      </c>
      <c r="Z75">
        <f>СВ!AA28</f>
        <v>0</v>
      </c>
      <c r="AA75">
        <f>СВ!AB28</f>
        <v>0</v>
      </c>
      <c r="AB75">
        <f>СВ!AC28</f>
        <v>0</v>
      </c>
      <c r="AC75">
        <f>СВ!AD28</f>
        <v>0</v>
      </c>
      <c r="AD75">
        <f>СВ!AE28</f>
        <v>0</v>
      </c>
      <c r="AE75">
        <f>СВ!AF28</f>
        <v>0</v>
      </c>
      <c r="AF75">
        <f>СВ!AG28</f>
        <v>0</v>
      </c>
      <c r="AG75">
        <f>СВ!AH28</f>
        <v>0</v>
      </c>
      <c r="AH75">
        <f>СВ!AI28</f>
        <v>0</v>
      </c>
      <c r="AI75">
        <f>СВ!AJ28</f>
        <v>0</v>
      </c>
      <c r="AJ75">
        <f>СВ!AK28</f>
        <v>0</v>
      </c>
      <c r="AK75">
        <f>СВ!AL28</f>
        <v>0</v>
      </c>
      <c r="AL75">
        <f>СВ!AM28</f>
        <v>0</v>
      </c>
      <c r="AM75">
        <f>СВ!AN28</f>
        <v>0</v>
      </c>
      <c r="AN75">
        <f>СВ!AO28</f>
        <v>0</v>
      </c>
      <c r="AO75">
        <f>СВ!AP28</f>
        <v>0</v>
      </c>
      <c r="AP75">
        <f>СВ!AQ28</f>
        <v>0</v>
      </c>
      <c r="AQ75">
        <f>СВ!AR28</f>
        <v>0</v>
      </c>
      <c r="AR75">
        <f>СВ!AS28</f>
        <v>0</v>
      </c>
      <c r="AS75">
        <f>СВ!AT28</f>
        <v>0</v>
      </c>
      <c r="AT75">
        <f>СВ!AU28</f>
        <v>0</v>
      </c>
      <c r="AU75">
        <f>СВ!AV28</f>
        <v>0</v>
      </c>
      <c r="AV75">
        <f>СВ!AW28</f>
        <v>0</v>
      </c>
      <c r="AW75">
        <f>СВ!AX28</f>
        <v>0</v>
      </c>
      <c r="AX75">
        <f>СВ!AY28</f>
        <v>0</v>
      </c>
      <c r="AY75">
        <f>СВ!AZ28</f>
        <v>0</v>
      </c>
      <c r="AZ75">
        <f>СВ!BA28</f>
        <v>0</v>
      </c>
      <c r="BA75">
        <f>СВ!BB28</f>
        <v>0</v>
      </c>
      <c r="BB75">
        <f>СВ!BC28</f>
        <v>0</v>
      </c>
      <c r="BC75">
        <f>СВ!BD28</f>
        <v>0</v>
      </c>
      <c r="BD75">
        <f>СВ!BE28</f>
        <v>0</v>
      </c>
      <c r="BE75">
        <f>СВ!BF28</f>
        <v>0</v>
      </c>
      <c r="BF75">
        <f>СВ!BG28</f>
        <v>0</v>
      </c>
      <c r="BG75">
        <f>СВ!BH28</f>
        <v>0</v>
      </c>
      <c r="BH75">
        <f>СВ!BI28</f>
        <v>0</v>
      </c>
      <c r="BI75">
        <f>СВ!BJ28</f>
        <v>0</v>
      </c>
      <c r="BJ75">
        <f>СВ!BK28</f>
        <v>0</v>
      </c>
      <c r="BK75">
        <f>СВ!BL28</f>
        <v>0</v>
      </c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</row>
    <row r="76" spans="1:99">
      <c r="A76" s="30">
        <f>СВ!B29</f>
        <v>2</v>
      </c>
      <c r="B76" s="31">
        <f>СВ!C29</f>
        <v>0.35416666666666669</v>
      </c>
      <c r="C76" s="32">
        <f>СВ!D29</f>
        <v>0.39583333333333331</v>
      </c>
      <c r="D76" t="e">
        <f ca="1">СВ!E29</f>
        <v>#NAME?</v>
      </c>
      <c r="E76">
        <f>СВ!F29</f>
        <v>0</v>
      </c>
      <c r="F76">
        <f>СВ!G29</f>
        <v>0</v>
      </c>
      <c r="G76">
        <f>СВ!H29</f>
        <v>0</v>
      </c>
      <c r="H76" t="e">
        <f ca="1">СВ!I29</f>
        <v>#NAME?</v>
      </c>
      <c r="I76">
        <f>СВ!J29</f>
        <v>0</v>
      </c>
      <c r="J76">
        <f>СВ!K29</f>
        <v>0</v>
      </c>
      <c r="K76">
        <f>СВ!L29</f>
        <v>0</v>
      </c>
      <c r="L76">
        <f>СВ!M29</f>
        <v>0</v>
      </c>
      <c r="M76">
        <f>СВ!N29</f>
        <v>0</v>
      </c>
      <c r="N76">
        <f>СВ!O29</f>
        <v>0</v>
      </c>
      <c r="O76">
        <f>СВ!P29</f>
        <v>0</v>
      </c>
      <c r="P76">
        <f>СВ!Q29</f>
        <v>0</v>
      </c>
      <c r="Q76">
        <f>СВ!R29</f>
        <v>0</v>
      </c>
      <c r="R76">
        <f>СВ!S29</f>
        <v>0</v>
      </c>
      <c r="S76">
        <f>СВ!T29</f>
        <v>0</v>
      </c>
      <c r="T76">
        <f>СВ!U29</f>
        <v>0</v>
      </c>
      <c r="U76">
        <f>СВ!V29</f>
        <v>0</v>
      </c>
      <c r="V76">
        <f>СВ!W29</f>
        <v>0</v>
      </c>
      <c r="W76">
        <f>СВ!X29</f>
        <v>0</v>
      </c>
      <c r="X76">
        <f>СВ!Y29</f>
        <v>0</v>
      </c>
      <c r="Y76">
        <f>СВ!Z29</f>
        <v>0</v>
      </c>
      <c r="Z76">
        <f>СВ!AA29</f>
        <v>0</v>
      </c>
      <c r="AA76">
        <f>СВ!AB29</f>
        <v>0</v>
      </c>
      <c r="AB76">
        <f>СВ!AC29</f>
        <v>0</v>
      </c>
      <c r="AC76">
        <f>СВ!AD29</f>
        <v>0</v>
      </c>
      <c r="AD76">
        <f>СВ!AE29</f>
        <v>0</v>
      </c>
      <c r="AE76">
        <f>СВ!AF29</f>
        <v>0</v>
      </c>
      <c r="AF76">
        <f>СВ!AG29</f>
        <v>0</v>
      </c>
      <c r="AG76">
        <f>СВ!AH29</f>
        <v>0</v>
      </c>
      <c r="AH76">
        <f>СВ!AI29</f>
        <v>0</v>
      </c>
      <c r="AI76">
        <f>СВ!AJ29</f>
        <v>0</v>
      </c>
      <c r="AJ76">
        <f>СВ!AK29</f>
        <v>0</v>
      </c>
      <c r="AK76">
        <f>СВ!AL29</f>
        <v>0</v>
      </c>
      <c r="AL76">
        <f>СВ!AM29</f>
        <v>0</v>
      </c>
      <c r="AM76">
        <f>СВ!AN29</f>
        <v>0</v>
      </c>
      <c r="AN76">
        <f>СВ!AO29</f>
        <v>0</v>
      </c>
      <c r="AO76">
        <f>СВ!AP29</f>
        <v>0</v>
      </c>
      <c r="AP76">
        <f>СВ!AQ29</f>
        <v>0</v>
      </c>
      <c r="AQ76">
        <f>СВ!AR29</f>
        <v>0</v>
      </c>
      <c r="AR76">
        <f>СВ!AS29</f>
        <v>0</v>
      </c>
      <c r="AS76">
        <f>СВ!AT29</f>
        <v>0</v>
      </c>
      <c r="AT76">
        <f>СВ!AU29</f>
        <v>0</v>
      </c>
      <c r="AU76">
        <f>СВ!AV29</f>
        <v>0</v>
      </c>
      <c r="AV76">
        <f>СВ!AW29</f>
        <v>0</v>
      </c>
      <c r="AW76">
        <f>СВ!AX29</f>
        <v>0</v>
      </c>
      <c r="AX76">
        <f>СВ!AY29</f>
        <v>0</v>
      </c>
      <c r="AY76">
        <f>СВ!AZ29</f>
        <v>0</v>
      </c>
      <c r="AZ76">
        <f>СВ!BA29</f>
        <v>0</v>
      </c>
      <c r="BA76">
        <f>СВ!BB29</f>
        <v>0</v>
      </c>
      <c r="BB76">
        <f>СВ!BC29</f>
        <v>0</v>
      </c>
      <c r="BC76">
        <f>СВ!BD29</f>
        <v>0</v>
      </c>
      <c r="BD76">
        <f>СВ!BE29</f>
        <v>0</v>
      </c>
      <c r="BE76">
        <f>СВ!BF29</f>
        <v>0</v>
      </c>
      <c r="BF76">
        <f>СВ!BG29</f>
        <v>0</v>
      </c>
      <c r="BG76">
        <f>СВ!BH29</f>
        <v>0</v>
      </c>
      <c r="BH76">
        <f>СВ!BI29</f>
        <v>0</v>
      </c>
      <c r="BI76">
        <f>СВ!BJ29</f>
        <v>0</v>
      </c>
      <c r="BJ76">
        <f>СВ!BK29</f>
        <v>0</v>
      </c>
      <c r="BK76">
        <f>СВ!BL29</f>
        <v>0</v>
      </c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</row>
    <row r="77" spans="1:99">
      <c r="A77" s="27">
        <f>СВ!B30</f>
        <v>3</v>
      </c>
      <c r="B77" s="28">
        <f>СВ!C30</f>
        <v>0.36458333333333331</v>
      </c>
      <c r="C77" s="29">
        <f>СВ!D30</f>
        <v>0.39583333333333331</v>
      </c>
      <c r="D77" t="e">
        <f ca="1">СВ!E30</f>
        <v>#NAME?</v>
      </c>
      <c r="E77">
        <f>СВ!F30</f>
        <v>0</v>
      </c>
      <c r="F77">
        <f>СВ!G30</f>
        <v>0</v>
      </c>
      <c r="G77">
        <f>СВ!H30</f>
        <v>0</v>
      </c>
      <c r="H77" t="e">
        <f ca="1">СВ!I30</f>
        <v>#NAME?</v>
      </c>
      <c r="I77">
        <f>СВ!J30</f>
        <v>0</v>
      </c>
      <c r="J77">
        <f>СВ!K30</f>
        <v>0</v>
      </c>
      <c r="K77">
        <f>СВ!L30</f>
        <v>0</v>
      </c>
      <c r="L77">
        <f>СВ!M30</f>
        <v>0</v>
      </c>
      <c r="M77">
        <f>СВ!N30</f>
        <v>0</v>
      </c>
      <c r="N77">
        <f>СВ!O30</f>
        <v>0</v>
      </c>
      <c r="O77">
        <f>СВ!P30</f>
        <v>0</v>
      </c>
      <c r="P77">
        <f>СВ!Q30</f>
        <v>0</v>
      </c>
      <c r="Q77">
        <f>СВ!R30</f>
        <v>0</v>
      </c>
      <c r="R77">
        <f>СВ!S30</f>
        <v>0</v>
      </c>
      <c r="S77">
        <f>СВ!T30</f>
        <v>0</v>
      </c>
      <c r="T77">
        <f>СВ!U30</f>
        <v>0</v>
      </c>
      <c r="U77">
        <f>СВ!V30</f>
        <v>0</v>
      </c>
      <c r="V77">
        <f>СВ!W30</f>
        <v>0</v>
      </c>
      <c r="W77">
        <f>СВ!X30</f>
        <v>0</v>
      </c>
      <c r="X77">
        <f>СВ!Y30</f>
        <v>0</v>
      </c>
      <c r="Y77">
        <f>СВ!Z30</f>
        <v>0</v>
      </c>
      <c r="Z77">
        <f>СВ!AA30</f>
        <v>0</v>
      </c>
      <c r="AA77">
        <f>СВ!AB30</f>
        <v>0</v>
      </c>
      <c r="AB77">
        <f>СВ!AC30</f>
        <v>0</v>
      </c>
      <c r="AC77">
        <f>СВ!AD30</f>
        <v>0</v>
      </c>
      <c r="AD77">
        <f>СВ!AE30</f>
        <v>0</v>
      </c>
      <c r="AE77">
        <f>СВ!AF30</f>
        <v>0</v>
      </c>
      <c r="AF77">
        <f>СВ!AG30</f>
        <v>0</v>
      </c>
      <c r="AG77">
        <f>СВ!AH30</f>
        <v>0</v>
      </c>
      <c r="AH77">
        <f>СВ!AI30</f>
        <v>0</v>
      </c>
      <c r="AI77">
        <f>СВ!AJ30</f>
        <v>0</v>
      </c>
      <c r="AJ77">
        <f>СВ!AK30</f>
        <v>0</v>
      </c>
      <c r="AK77">
        <f>СВ!AL30</f>
        <v>0</v>
      </c>
      <c r="AL77">
        <f>СВ!AM30</f>
        <v>0</v>
      </c>
      <c r="AM77">
        <f>СВ!AN30</f>
        <v>0</v>
      </c>
      <c r="AN77">
        <f>СВ!AO30</f>
        <v>0</v>
      </c>
      <c r="AO77">
        <f>СВ!AP30</f>
        <v>0</v>
      </c>
      <c r="AP77">
        <f>СВ!AQ30</f>
        <v>0</v>
      </c>
      <c r="AQ77">
        <f>СВ!AR30</f>
        <v>0</v>
      </c>
      <c r="AR77">
        <f>СВ!AS30</f>
        <v>0</v>
      </c>
      <c r="AS77">
        <f>СВ!AT30</f>
        <v>0</v>
      </c>
      <c r="AT77">
        <f>СВ!AU30</f>
        <v>0</v>
      </c>
      <c r="AU77">
        <f>СВ!AV30</f>
        <v>0</v>
      </c>
      <c r="AV77">
        <f>СВ!AW30</f>
        <v>0</v>
      </c>
      <c r="AW77">
        <f>СВ!AX30</f>
        <v>0</v>
      </c>
      <c r="AX77">
        <f>СВ!AY30</f>
        <v>0</v>
      </c>
      <c r="AY77">
        <f>СВ!AZ30</f>
        <v>0</v>
      </c>
      <c r="AZ77">
        <f>СВ!BA30</f>
        <v>0</v>
      </c>
      <c r="BA77">
        <f>СВ!BB30</f>
        <v>0</v>
      </c>
      <c r="BB77">
        <f>СВ!BC30</f>
        <v>0</v>
      </c>
      <c r="BC77">
        <f>СВ!BD30</f>
        <v>0</v>
      </c>
      <c r="BD77">
        <f>СВ!BE30</f>
        <v>0</v>
      </c>
      <c r="BE77">
        <f>СВ!BF30</f>
        <v>0</v>
      </c>
      <c r="BF77">
        <f>СВ!BG30</f>
        <v>0</v>
      </c>
      <c r="BG77">
        <f>СВ!BH30</f>
        <v>0</v>
      </c>
      <c r="BH77">
        <f>СВ!BI30</f>
        <v>0</v>
      </c>
      <c r="BI77">
        <f>СВ!BJ30</f>
        <v>0</v>
      </c>
      <c r="BJ77">
        <f>СВ!BK30</f>
        <v>0</v>
      </c>
      <c r="BK77">
        <f>СВ!BL30</f>
        <v>0</v>
      </c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</row>
    <row r="78" spans="1:99">
      <c r="A78" s="30">
        <f>СВ!B31</f>
        <v>4</v>
      </c>
      <c r="B78" s="31">
        <f>СВ!C31</f>
        <v>0.375</v>
      </c>
      <c r="C78" s="32">
        <f>СВ!D31</f>
        <v>0.40625</v>
      </c>
      <c r="D78" t="e">
        <f ca="1">СВ!E31</f>
        <v>#NAME?</v>
      </c>
      <c r="E78">
        <f>СВ!F31</f>
        <v>0</v>
      </c>
      <c r="F78">
        <f>СВ!G31</f>
        <v>0</v>
      </c>
      <c r="G78">
        <f>СВ!H31</f>
        <v>0</v>
      </c>
      <c r="H78" t="e">
        <f ca="1">СВ!I31</f>
        <v>#NAME?</v>
      </c>
      <c r="I78">
        <f>СВ!J31</f>
        <v>0</v>
      </c>
      <c r="J78">
        <f>СВ!K31</f>
        <v>0</v>
      </c>
      <c r="K78">
        <f>СВ!L31</f>
        <v>0</v>
      </c>
      <c r="L78">
        <f>СВ!M31</f>
        <v>0</v>
      </c>
      <c r="M78">
        <f>СВ!N31</f>
        <v>0</v>
      </c>
      <c r="N78">
        <f>СВ!O31</f>
        <v>0</v>
      </c>
      <c r="O78">
        <f>СВ!P31</f>
        <v>0</v>
      </c>
      <c r="P78">
        <f>СВ!Q31</f>
        <v>0</v>
      </c>
      <c r="Q78">
        <f>СВ!R31</f>
        <v>0</v>
      </c>
      <c r="R78">
        <f>СВ!S31</f>
        <v>0</v>
      </c>
      <c r="S78">
        <f>СВ!T31</f>
        <v>0</v>
      </c>
      <c r="T78">
        <f>СВ!U31</f>
        <v>0</v>
      </c>
      <c r="U78">
        <f>СВ!V31</f>
        <v>0</v>
      </c>
      <c r="V78">
        <f>СВ!W31</f>
        <v>0</v>
      </c>
      <c r="W78">
        <f>СВ!X31</f>
        <v>0</v>
      </c>
      <c r="X78">
        <f>СВ!Y31</f>
        <v>0</v>
      </c>
      <c r="Y78">
        <f>СВ!Z31</f>
        <v>0</v>
      </c>
      <c r="Z78">
        <f>СВ!AA31</f>
        <v>0</v>
      </c>
      <c r="AA78">
        <f>СВ!AB31</f>
        <v>0</v>
      </c>
      <c r="AB78">
        <f>СВ!AC31</f>
        <v>0</v>
      </c>
      <c r="AC78">
        <f>СВ!AD31</f>
        <v>0</v>
      </c>
      <c r="AD78">
        <f>СВ!AE31</f>
        <v>0</v>
      </c>
      <c r="AE78">
        <f>СВ!AF31</f>
        <v>0</v>
      </c>
      <c r="AF78">
        <f>СВ!AG31</f>
        <v>0</v>
      </c>
      <c r="AG78">
        <f>СВ!AH31</f>
        <v>0</v>
      </c>
      <c r="AH78">
        <f>СВ!AI31</f>
        <v>0</v>
      </c>
      <c r="AI78">
        <f>СВ!AJ31</f>
        <v>0</v>
      </c>
      <c r="AJ78">
        <f>СВ!AK31</f>
        <v>0</v>
      </c>
      <c r="AK78">
        <f>СВ!AL31</f>
        <v>0</v>
      </c>
      <c r="AL78">
        <f>СВ!AM31</f>
        <v>0</v>
      </c>
      <c r="AM78">
        <f>СВ!AN31</f>
        <v>0</v>
      </c>
      <c r="AN78">
        <f>СВ!AO31</f>
        <v>0</v>
      </c>
      <c r="AO78">
        <f>СВ!AP31</f>
        <v>0</v>
      </c>
      <c r="AP78">
        <f>СВ!AQ31</f>
        <v>0</v>
      </c>
      <c r="AQ78">
        <f>СВ!AR31</f>
        <v>0</v>
      </c>
      <c r="AR78">
        <f>СВ!AS31</f>
        <v>0</v>
      </c>
      <c r="AS78">
        <f>СВ!AT31</f>
        <v>0</v>
      </c>
      <c r="AT78">
        <f>СВ!AU31</f>
        <v>0</v>
      </c>
      <c r="AU78">
        <f>СВ!AV31</f>
        <v>0</v>
      </c>
      <c r="AV78">
        <f>СВ!AW31</f>
        <v>0</v>
      </c>
      <c r="AW78">
        <f>СВ!AX31</f>
        <v>0</v>
      </c>
      <c r="AX78">
        <f>СВ!AY31</f>
        <v>0</v>
      </c>
      <c r="AY78">
        <f>СВ!AZ31</f>
        <v>0</v>
      </c>
      <c r="AZ78">
        <f>СВ!BA31</f>
        <v>0</v>
      </c>
      <c r="BA78">
        <f>СВ!BB31</f>
        <v>0</v>
      </c>
      <c r="BB78">
        <f>СВ!BC31</f>
        <v>0</v>
      </c>
      <c r="BC78">
        <f>СВ!BD31</f>
        <v>0</v>
      </c>
      <c r="BD78">
        <f>СВ!BE31</f>
        <v>0</v>
      </c>
      <c r="BE78">
        <f>СВ!BF31</f>
        <v>0</v>
      </c>
      <c r="BF78">
        <f>СВ!BG31</f>
        <v>0</v>
      </c>
      <c r="BG78">
        <f>СВ!BH31</f>
        <v>0</v>
      </c>
      <c r="BH78">
        <f>СВ!BI31</f>
        <v>0</v>
      </c>
      <c r="BI78">
        <f>СВ!BJ31</f>
        <v>0</v>
      </c>
      <c r="BJ78">
        <f>СВ!BK31</f>
        <v>0</v>
      </c>
      <c r="BK78">
        <f>СВ!BL31</f>
        <v>0</v>
      </c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</row>
    <row r="79" spans="1:99">
      <c r="A79" s="27">
        <f>СВ!B32</f>
        <v>5</v>
      </c>
      <c r="B79" s="28">
        <f>СВ!C32</f>
        <v>0.375</v>
      </c>
      <c r="C79" s="29">
        <f>СВ!D32</f>
        <v>0.41666666666666669</v>
      </c>
      <c r="D79" t="e">
        <f ca="1">СВ!E32</f>
        <v>#NAME?</v>
      </c>
      <c r="E79">
        <f>СВ!F32</f>
        <v>0</v>
      </c>
      <c r="F79">
        <f>СВ!G32</f>
        <v>0</v>
      </c>
      <c r="G79">
        <f>СВ!H32</f>
        <v>0</v>
      </c>
      <c r="H79" t="e">
        <f ca="1">СВ!I32</f>
        <v>#NAME?</v>
      </c>
      <c r="I79">
        <f>СВ!J32</f>
        <v>0</v>
      </c>
      <c r="J79">
        <f>СВ!K32</f>
        <v>0</v>
      </c>
      <c r="K79">
        <f>СВ!L32</f>
        <v>0</v>
      </c>
      <c r="L79">
        <f>СВ!M32</f>
        <v>0</v>
      </c>
      <c r="M79">
        <f>СВ!N32</f>
        <v>0</v>
      </c>
      <c r="N79">
        <f>СВ!O32</f>
        <v>0</v>
      </c>
      <c r="O79">
        <f>СВ!P32</f>
        <v>0</v>
      </c>
      <c r="P79">
        <f>СВ!Q32</f>
        <v>0</v>
      </c>
      <c r="Q79">
        <f>СВ!R32</f>
        <v>0</v>
      </c>
      <c r="R79">
        <f>СВ!S32</f>
        <v>0</v>
      </c>
      <c r="S79">
        <f>СВ!T32</f>
        <v>0</v>
      </c>
      <c r="T79">
        <f>СВ!U32</f>
        <v>0</v>
      </c>
      <c r="U79">
        <f>СВ!V32</f>
        <v>0</v>
      </c>
      <c r="V79">
        <f>СВ!W32</f>
        <v>0</v>
      </c>
      <c r="W79">
        <f>СВ!X32</f>
        <v>0</v>
      </c>
      <c r="X79">
        <f>СВ!Y32</f>
        <v>0</v>
      </c>
      <c r="Y79">
        <f>СВ!Z32</f>
        <v>0</v>
      </c>
      <c r="Z79">
        <f>СВ!AA32</f>
        <v>0</v>
      </c>
      <c r="AA79">
        <f>СВ!AB32</f>
        <v>0</v>
      </c>
      <c r="AB79">
        <f>СВ!AC32</f>
        <v>0</v>
      </c>
      <c r="AC79">
        <f>СВ!AD32</f>
        <v>0</v>
      </c>
      <c r="AD79">
        <f>СВ!AE32</f>
        <v>0</v>
      </c>
      <c r="AE79">
        <f>СВ!AF32</f>
        <v>0</v>
      </c>
      <c r="AF79">
        <f>СВ!AG32</f>
        <v>0</v>
      </c>
      <c r="AG79">
        <f>СВ!AH32</f>
        <v>0</v>
      </c>
      <c r="AH79">
        <f>СВ!AI32</f>
        <v>0</v>
      </c>
      <c r="AI79">
        <f>СВ!AJ32</f>
        <v>0</v>
      </c>
      <c r="AJ79">
        <f>СВ!AK32</f>
        <v>0</v>
      </c>
      <c r="AK79">
        <f>СВ!AL32</f>
        <v>0</v>
      </c>
      <c r="AL79">
        <f>СВ!AM32</f>
        <v>0</v>
      </c>
      <c r="AM79">
        <f>СВ!AN32</f>
        <v>0</v>
      </c>
      <c r="AN79">
        <f>СВ!AO32</f>
        <v>0</v>
      </c>
      <c r="AO79">
        <f>СВ!AP32</f>
        <v>0</v>
      </c>
      <c r="AP79">
        <f>СВ!AQ32</f>
        <v>0</v>
      </c>
      <c r="AQ79">
        <f>СВ!AR32</f>
        <v>0</v>
      </c>
      <c r="AR79">
        <f>СВ!AS32</f>
        <v>0</v>
      </c>
      <c r="AS79">
        <f>СВ!AT32</f>
        <v>0</v>
      </c>
      <c r="AT79">
        <f>СВ!AU32</f>
        <v>0</v>
      </c>
      <c r="AU79">
        <f>СВ!AV32</f>
        <v>0</v>
      </c>
      <c r="AV79">
        <f>СВ!AW32</f>
        <v>0</v>
      </c>
      <c r="AW79">
        <f>СВ!AX32</f>
        <v>0</v>
      </c>
      <c r="AX79">
        <f>СВ!AY32</f>
        <v>0</v>
      </c>
      <c r="AY79">
        <f>СВ!AZ32</f>
        <v>0</v>
      </c>
      <c r="AZ79">
        <f>СВ!BA32</f>
        <v>0</v>
      </c>
      <c r="BA79">
        <f>СВ!BB32</f>
        <v>0</v>
      </c>
      <c r="BB79">
        <f>СВ!BC32</f>
        <v>0</v>
      </c>
      <c r="BC79">
        <f>СВ!BD32</f>
        <v>0</v>
      </c>
      <c r="BD79">
        <f>СВ!BE32</f>
        <v>0</v>
      </c>
      <c r="BE79">
        <f>СВ!BF32</f>
        <v>0</v>
      </c>
      <c r="BF79">
        <f>СВ!BG32</f>
        <v>0</v>
      </c>
      <c r="BG79">
        <f>СВ!BH32</f>
        <v>0</v>
      </c>
      <c r="BH79">
        <f>СВ!BI32</f>
        <v>0</v>
      </c>
      <c r="BI79">
        <f>СВ!BJ32</f>
        <v>0</v>
      </c>
      <c r="BJ79">
        <f>СВ!BK32</f>
        <v>0</v>
      </c>
      <c r="BK79">
        <f>СВ!BL32</f>
        <v>0</v>
      </c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</row>
    <row r="80" spans="1:99">
      <c r="A80" s="30">
        <f>СВ!B33</f>
        <v>6</v>
      </c>
      <c r="B80" s="31">
        <f>СВ!C33</f>
        <v>0.38541666666666669</v>
      </c>
      <c r="C80" s="32">
        <f>СВ!D33</f>
        <v>0.41666666666666669</v>
      </c>
      <c r="D80" t="e">
        <f ca="1">СВ!E33</f>
        <v>#NAME?</v>
      </c>
      <c r="E80">
        <f>СВ!F33</f>
        <v>0</v>
      </c>
      <c r="F80">
        <f>СВ!G33</f>
        <v>0</v>
      </c>
      <c r="G80">
        <f>СВ!H33</f>
        <v>0</v>
      </c>
      <c r="H80" t="e">
        <f ca="1">СВ!I33</f>
        <v>#NAME?</v>
      </c>
      <c r="I80">
        <f>СВ!J33</f>
        <v>0</v>
      </c>
      <c r="J80">
        <f>СВ!K33</f>
        <v>0</v>
      </c>
      <c r="K80">
        <f>СВ!L33</f>
        <v>0</v>
      </c>
      <c r="L80">
        <f>СВ!M33</f>
        <v>0</v>
      </c>
      <c r="M80">
        <f>СВ!N33</f>
        <v>0</v>
      </c>
      <c r="N80">
        <f>СВ!O33</f>
        <v>0</v>
      </c>
      <c r="O80">
        <f>СВ!P33</f>
        <v>0</v>
      </c>
      <c r="P80">
        <f>СВ!Q33</f>
        <v>0</v>
      </c>
      <c r="Q80">
        <f>СВ!R33</f>
        <v>0</v>
      </c>
      <c r="R80">
        <f>СВ!S33</f>
        <v>0</v>
      </c>
      <c r="S80">
        <f>СВ!T33</f>
        <v>0</v>
      </c>
      <c r="T80">
        <f>СВ!U33</f>
        <v>0</v>
      </c>
      <c r="U80">
        <f>СВ!V33</f>
        <v>0</v>
      </c>
      <c r="V80">
        <f>СВ!W33</f>
        <v>0</v>
      </c>
      <c r="W80">
        <f>СВ!X33</f>
        <v>0</v>
      </c>
      <c r="X80">
        <f>СВ!Y33</f>
        <v>0</v>
      </c>
      <c r="Y80">
        <f>СВ!Z33</f>
        <v>0</v>
      </c>
      <c r="Z80">
        <f>СВ!AA33</f>
        <v>0</v>
      </c>
      <c r="AA80">
        <f>СВ!AB33</f>
        <v>0</v>
      </c>
      <c r="AB80">
        <f>СВ!AC33</f>
        <v>0</v>
      </c>
      <c r="AC80">
        <f>СВ!AD33</f>
        <v>0</v>
      </c>
      <c r="AD80">
        <f>СВ!AE33</f>
        <v>0</v>
      </c>
      <c r="AE80">
        <f>СВ!AF33</f>
        <v>0</v>
      </c>
      <c r="AF80">
        <f>СВ!AG33</f>
        <v>0</v>
      </c>
      <c r="AG80">
        <f>СВ!AH33</f>
        <v>0</v>
      </c>
      <c r="AH80">
        <f>СВ!AI33</f>
        <v>0</v>
      </c>
      <c r="AI80">
        <f>СВ!AJ33</f>
        <v>0</v>
      </c>
      <c r="AJ80">
        <f>СВ!AK33</f>
        <v>0</v>
      </c>
      <c r="AK80">
        <f>СВ!AL33</f>
        <v>0</v>
      </c>
      <c r="AL80">
        <f>СВ!AM33</f>
        <v>0</v>
      </c>
      <c r="AM80">
        <f>СВ!AN33</f>
        <v>0</v>
      </c>
      <c r="AN80">
        <f>СВ!AO33</f>
        <v>0</v>
      </c>
      <c r="AO80">
        <f>СВ!AP33</f>
        <v>0</v>
      </c>
      <c r="AP80">
        <f>СВ!AQ33</f>
        <v>0</v>
      </c>
      <c r="AQ80">
        <f>СВ!AR33</f>
        <v>0</v>
      </c>
      <c r="AR80">
        <f>СВ!AS33</f>
        <v>0</v>
      </c>
      <c r="AS80">
        <f>СВ!AT33</f>
        <v>0</v>
      </c>
      <c r="AT80">
        <f>СВ!AU33</f>
        <v>0</v>
      </c>
      <c r="AU80">
        <f>СВ!AV33</f>
        <v>0</v>
      </c>
      <c r="AV80">
        <f>СВ!AW33</f>
        <v>0</v>
      </c>
      <c r="AW80">
        <f>СВ!AX33</f>
        <v>0</v>
      </c>
      <c r="AX80">
        <f>СВ!AY33</f>
        <v>0</v>
      </c>
      <c r="AY80">
        <f>СВ!AZ33</f>
        <v>0</v>
      </c>
      <c r="AZ80">
        <f>СВ!BA33</f>
        <v>0</v>
      </c>
      <c r="BA80">
        <f>СВ!BB33</f>
        <v>0</v>
      </c>
      <c r="BB80">
        <f>СВ!BC33</f>
        <v>0</v>
      </c>
      <c r="BC80">
        <f>СВ!BD33</f>
        <v>0</v>
      </c>
      <c r="BD80">
        <f>СВ!BE33</f>
        <v>0</v>
      </c>
      <c r="BE80">
        <f>СВ!BF33</f>
        <v>0</v>
      </c>
      <c r="BF80">
        <f>СВ!BG33</f>
        <v>0</v>
      </c>
      <c r="BG80">
        <f>СВ!BH33</f>
        <v>0</v>
      </c>
      <c r="BH80">
        <f>СВ!BI33</f>
        <v>0</v>
      </c>
      <c r="BI80">
        <f>СВ!BJ33</f>
        <v>0</v>
      </c>
      <c r="BJ80">
        <f>СВ!BK33</f>
        <v>0</v>
      </c>
      <c r="BK80">
        <f>СВ!BL33</f>
        <v>0</v>
      </c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</row>
    <row r="81" spans="1:99">
      <c r="A81" s="27">
        <f>СВ!B34</f>
        <v>7</v>
      </c>
      <c r="B81" s="28">
        <f>СВ!C34</f>
        <v>0.39583333333333331</v>
      </c>
      <c r="C81" s="29">
        <f>СВ!D34</f>
        <v>0.42708333333333331</v>
      </c>
      <c r="D81" t="e">
        <f ca="1">СВ!E34</f>
        <v>#NAME?</v>
      </c>
      <c r="E81">
        <f>СВ!F34</f>
        <v>0</v>
      </c>
      <c r="F81">
        <f>СВ!G34</f>
        <v>0</v>
      </c>
      <c r="G81">
        <f>СВ!H34</f>
        <v>0</v>
      </c>
      <c r="H81" t="e">
        <f ca="1">СВ!I34</f>
        <v>#NAME?</v>
      </c>
      <c r="I81">
        <f>СВ!J34</f>
        <v>0</v>
      </c>
      <c r="J81">
        <f>СВ!K34</f>
        <v>0</v>
      </c>
      <c r="K81">
        <f>СВ!L34</f>
        <v>0</v>
      </c>
      <c r="L81">
        <f>СВ!M34</f>
        <v>0</v>
      </c>
      <c r="M81">
        <f>СВ!N34</f>
        <v>0</v>
      </c>
      <c r="N81">
        <f>СВ!O34</f>
        <v>0</v>
      </c>
      <c r="O81">
        <f>СВ!P34</f>
        <v>0</v>
      </c>
      <c r="P81">
        <f>СВ!Q34</f>
        <v>0</v>
      </c>
      <c r="Q81">
        <f>СВ!R34</f>
        <v>0</v>
      </c>
      <c r="R81">
        <f>СВ!S34</f>
        <v>0</v>
      </c>
      <c r="S81">
        <f>СВ!T34</f>
        <v>0</v>
      </c>
      <c r="T81">
        <f>СВ!U34</f>
        <v>0</v>
      </c>
      <c r="U81">
        <f>СВ!V34</f>
        <v>0</v>
      </c>
      <c r="V81">
        <f>СВ!W34</f>
        <v>0</v>
      </c>
      <c r="W81">
        <f>СВ!X34</f>
        <v>0</v>
      </c>
      <c r="X81">
        <f>СВ!Y34</f>
        <v>0</v>
      </c>
      <c r="Y81">
        <f>СВ!Z34</f>
        <v>0</v>
      </c>
      <c r="Z81">
        <f>СВ!AA34</f>
        <v>0</v>
      </c>
      <c r="AA81">
        <f>СВ!AB34</f>
        <v>0</v>
      </c>
      <c r="AB81">
        <f>СВ!AC34</f>
        <v>0</v>
      </c>
      <c r="AC81">
        <f>СВ!AD34</f>
        <v>0</v>
      </c>
      <c r="AD81">
        <f>СВ!AE34</f>
        <v>0</v>
      </c>
      <c r="AE81">
        <f>СВ!AF34</f>
        <v>0</v>
      </c>
      <c r="AF81">
        <f>СВ!AG34</f>
        <v>0</v>
      </c>
      <c r="AG81">
        <f>СВ!AH34</f>
        <v>0</v>
      </c>
      <c r="AH81">
        <f>СВ!AI34</f>
        <v>0</v>
      </c>
      <c r="AI81">
        <f>СВ!AJ34</f>
        <v>0</v>
      </c>
      <c r="AJ81">
        <f>СВ!AK34</f>
        <v>0</v>
      </c>
      <c r="AK81">
        <f>СВ!AL34</f>
        <v>0</v>
      </c>
      <c r="AL81">
        <f>СВ!AM34</f>
        <v>0</v>
      </c>
      <c r="AM81">
        <f>СВ!AN34</f>
        <v>0</v>
      </c>
      <c r="AN81">
        <f>СВ!AO34</f>
        <v>0</v>
      </c>
      <c r="AO81">
        <f>СВ!AP34</f>
        <v>0</v>
      </c>
      <c r="AP81">
        <f>СВ!AQ34</f>
        <v>0</v>
      </c>
      <c r="AQ81">
        <f>СВ!AR34</f>
        <v>0</v>
      </c>
      <c r="AR81">
        <f>СВ!AS34</f>
        <v>0</v>
      </c>
      <c r="AS81">
        <f>СВ!AT34</f>
        <v>0</v>
      </c>
      <c r="AT81">
        <f>СВ!AU34</f>
        <v>0</v>
      </c>
      <c r="AU81">
        <f>СВ!AV34</f>
        <v>0</v>
      </c>
      <c r="AV81">
        <f>СВ!AW34</f>
        <v>0</v>
      </c>
      <c r="AW81">
        <f>СВ!AX34</f>
        <v>0</v>
      </c>
      <c r="AX81">
        <f>СВ!AY34</f>
        <v>0</v>
      </c>
      <c r="AY81">
        <f>СВ!AZ34</f>
        <v>0</v>
      </c>
      <c r="AZ81">
        <f>СВ!BA34</f>
        <v>0</v>
      </c>
      <c r="BA81">
        <f>СВ!BB34</f>
        <v>0</v>
      </c>
      <c r="BB81">
        <f>СВ!BC34</f>
        <v>0</v>
      </c>
      <c r="BC81">
        <f>СВ!BD34</f>
        <v>0</v>
      </c>
      <c r="BD81">
        <f>СВ!BE34</f>
        <v>0</v>
      </c>
      <c r="BE81">
        <f>СВ!BF34</f>
        <v>0</v>
      </c>
      <c r="BF81">
        <f>СВ!BG34</f>
        <v>0</v>
      </c>
      <c r="BG81">
        <f>СВ!BH34</f>
        <v>0</v>
      </c>
      <c r="BH81">
        <f>СВ!BI34</f>
        <v>0</v>
      </c>
      <c r="BI81">
        <f>СВ!BJ34</f>
        <v>0</v>
      </c>
      <c r="BJ81">
        <f>СВ!BK34</f>
        <v>0</v>
      </c>
      <c r="BK81">
        <f>СВ!BL34</f>
        <v>0</v>
      </c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</row>
    <row r="82" spans="1:99">
      <c r="A82" s="30">
        <f>СВ!B35</f>
        <v>8</v>
      </c>
      <c r="B82" s="31">
        <f>СВ!C35</f>
        <v>0.40625</v>
      </c>
      <c r="C82" s="32">
        <f>СВ!D35</f>
        <v>0.4375</v>
      </c>
      <c r="D82" t="e">
        <f ca="1">СВ!E35</f>
        <v>#NAME?</v>
      </c>
      <c r="E82">
        <f>СВ!F35</f>
        <v>0</v>
      </c>
      <c r="F82">
        <f>СВ!G35</f>
        <v>0</v>
      </c>
      <c r="G82">
        <f>СВ!H35</f>
        <v>0</v>
      </c>
      <c r="H82" t="e">
        <f ca="1">СВ!I35</f>
        <v>#NAME?</v>
      </c>
      <c r="I82">
        <f>СВ!J35</f>
        <v>0</v>
      </c>
      <c r="J82">
        <f>СВ!K35</f>
        <v>0</v>
      </c>
      <c r="K82">
        <f>СВ!L35</f>
        <v>0</v>
      </c>
      <c r="L82">
        <f>СВ!M35</f>
        <v>0</v>
      </c>
      <c r="M82">
        <f>СВ!N35</f>
        <v>0</v>
      </c>
      <c r="N82">
        <f>СВ!O35</f>
        <v>0</v>
      </c>
      <c r="O82">
        <f>СВ!P35</f>
        <v>0</v>
      </c>
      <c r="P82">
        <f>СВ!Q35</f>
        <v>0</v>
      </c>
      <c r="Q82">
        <f>СВ!R35</f>
        <v>0</v>
      </c>
      <c r="R82">
        <f>СВ!S35</f>
        <v>0</v>
      </c>
      <c r="S82">
        <f>СВ!T35</f>
        <v>0</v>
      </c>
      <c r="T82">
        <f>СВ!U35</f>
        <v>0</v>
      </c>
      <c r="U82">
        <f>СВ!V35</f>
        <v>0</v>
      </c>
      <c r="V82">
        <f>СВ!W35</f>
        <v>0</v>
      </c>
      <c r="W82">
        <f>СВ!X35</f>
        <v>0</v>
      </c>
      <c r="X82">
        <f>СВ!Y35</f>
        <v>0</v>
      </c>
      <c r="Y82">
        <f>СВ!Z35</f>
        <v>0</v>
      </c>
      <c r="Z82">
        <f>СВ!AA35</f>
        <v>0</v>
      </c>
      <c r="AA82">
        <f>СВ!AB35</f>
        <v>0</v>
      </c>
      <c r="AB82">
        <f>СВ!AC35</f>
        <v>0</v>
      </c>
      <c r="AC82">
        <f>СВ!AD35</f>
        <v>0</v>
      </c>
      <c r="AD82">
        <f>СВ!AE35</f>
        <v>0</v>
      </c>
      <c r="AE82">
        <f>СВ!AF35</f>
        <v>0</v>
      </c>
      <c r="AF82">
        <f>СВ!AG35</f>
        <v>0</v>
      </c>
      <c r="AG82">
        <f>СВ!AH35</f>
        <v>0</v>
      </c>
      <c r="AH82">
        <f>СВ!AI35</f>
        <v>0</v>
      </c>
      <c r="AI82">
        <f>СВ!AJ35</f>
        <v>0</v>
      </c>
      <c r="AJ82">
        <f>СВ!AK35</f>
        <v>0</v>
      </c>
      <c r="AK82">
        <f>СВ!AL35</f>
        <v>0</v>
      </c>
      <c r="AL82">
        <f>СВ!AM35</f>
        <v>0</v>
      </c>
      <c r="AM82">
        <f>СВ!AN35</f>
        <v>0</v>
      </c>
      <c r="AN82">
        <f>СВ!AO35</f>
        <v>0</v>
      </c>
      <c r="AO82">
        <f>СВ!AP35</f>
        <v>0</v>
      </c>
      <c r="AP82">
        <f>СВ!AQ35</f>
        <v>0</v>
      </c>
      <c r="AQ82">
        <f>СВ!AR35</f>
        <v>0</v>
      </c>
      <c r="AR82">
        <f>СВ!AS35</f>
        <v>0</v>
      </c>
      <c r="AS82">
        <f>СВ!AT35</f>
        <v>0</v>
      </c>
      <c r="AT82">
        <f>СВ!AU35</f>
        <v>0</v>
      </c>
      <c r="AU82">
        <f>СВ!AV35</f>
        <v>0</v>
      </c>
      <c r="AV82">
        <f>СВ!AW35</f>
        <v>0</v>
      </c>
      <c r="AW82">
        <f>СВ!AX35</f>
        <v>0</v>
      </c>
      <c r="AX82">
        <f>СВ!AY35</f>
        <v>0</v>
      </c>
      <c r="AY82">
        <f>СВ!AZ35</f>
        <v>0</v>
      </c>
      <c r="AZ82">
        <f>СВ!BA35</f>
        <v>0</v>
      </c>
      <c r="BA82">
        <f>СВ!BB35</f>
        <v>0</v>
      </c>
      <c r="BB82">
        <f>СВ!BC35</f>
        <v>0</v>
      </c>
      <c r="BC82">
        <f>СВ!BD35</f>
        <v>0</v>
      </c>
      <c r="BD82">
        <f>СВ!BE35</f>
        <v>0</v>
      </c>
      <c r="BE82">
        <f>СВ!BF35</f>
        <v>0</v>
      </c>
      <c r="BF82">
        <f>СВ!BG35</f>
        <v>0</v>
      </c>
      <c r="BG82">
        <f>СВ!BH35</f>
        <v>0</v>
      </c>
      <c r="BH82">
        <f>СВ!BI35</f>
        <v>0</v>
      </c>
      <c r="BI82">
        <f>СВ!BJ35</f>
        <v>0</v>
      </c>
      <c r="BJ82">
        <f>СВ!BK35</f>
        <v>0</v>
      </c>
      <c r="BK82">
        <f>СВ!BL35</f>
        <v>0</v>
      </c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</row>
    <row r="83" spans="1:99">
      <c r="A83" s="27">
        <f>СВ!B36</f>
        <v>9</v>
      </c>
      <c r="B83" s="28">
        <f>СВ!C36</f>
        <v>0.41666666666666669</v>
      </c>
      <c r="C83" s="29">
        <f>СВ!D36</f>
        <v>0.44791666666666669</v>
      </c>
      <c r="D83" t="e">
        <f ca="1">СВ!E36</f>
        <v>#NAME?</v>
      </c>
      <c r="E83">
        <f>СВ!F36</f>
        <v>0</v>
      </c>
      <c r="F83">
        <f>СВ!G36</f>
        <v>0</v>
      </c>
      <c r="G83">
        <f>СВ!H36</f>
        <v>0</v>
      </c>
      <c r="H83" t="e">
        <f ca="1">СВ!I36</f>
        <v>#NAME?</v>
      </c>
      <c r="I83">
        <f>СВ!J36</f>
        <v>0</v>
      </c>
      <c r="J83">
        <f>СВ!K36</f>
        <v>0</v>
      </c>
      <c r="K83">
        <f>СВ!L36</f>
        <v>0</v>
      </c>
      <c r="L83">
        <f>СВ!M36</f>
        <v>0</v>
      </c>
      <c r="M83">
        <f>СВ!N36</f>
        <v>0</v>
      </c>
      <c r="N83">
        <f>СВ!O36</f>
        <v>0</v>
      </c>
      <c r="O83">
        <f>СВ!P36</f>
        <v>0</v>
      </c>
      <c r="P83">
        <f>СВ!Q36</f>
        <v>0</v>
      </c>
      <c r="Q83">
        <f>СВ!R36</f>
        <v>0</v>
      </c>
      <c r="R83">
        <f>СВ!S36</f>
        <v>0</v>
      </c>
      <c r="S83">
        <f>СВ!T36</f>
        <v>0</v>
      </c>
      <c r="T83">
        <f>СВ!U36</f>
        <v>0</v>
      </c>
      <c r="U83">
        <f>СВ!V36</f>
        <v>0</v>
      </c>
      <c r="V83">
        <f>СВ!W36</f>
        <v>0</v>
      </c>
      <c r="W83">
        <f>СВ!X36</f>
        <v>0</v>
      </c>
      <c r="X83">
        <f>СВ!Y36</f>
        <v>0</v>
      </c>
      <c r="Y83">
        <f>СВ!Z36</f>
        <v>0</v>
      </c>
      <c r="Z83">
        <f>СВ!AA36</f>
        <v>0</v>
      </c>
      <c r="AA83">
        <f>СВ!AB36</f>
        <v>0</v>
      </c>
      <c r="AB83">
        <f>СВ!AC36</f>
        <v>0</v>
      </c>
      <c r="AC83">
        <f>СВ!AD36</f>
        <v>0</v>
      </c>
      <c r="AD83">
        <f>СВ!AE36</f>
        <v>0</v>
      </c>
      <c r="AE83">
        <f>СВ!AF36</f>
        <v>0</v>
      </c>
      <c r="AF83">
        <f>СВ!AG36</f>
        <v>0</v>
      </c>
      <c r="AG83">
        <f>СВ!AH36</f>
        <v>0</v>
      </c>
      <c r="AH83">
        <f>СВ!AI36</f>
        <v>0</v>
      </c>
      <c r="AI83">
        <f>СВ!AJ36</f>
        <v>0</v>
      </c>
      <c r="AJ83">
        <f>СВ!AK36</f>
        <v>0</v>
      </c>
      <c r="AK83">
        <f>СВ!AL36</f>
        <v>0</v>
      </c>
      <c r="AL83">
        <f>СВ!AM36</f>
        <v>0</v>
      </c>
      <c r="AM83">
        <f>СВ!AN36</f>
        <v>0</v>
      </c>
      <c r="AN83">
        <f>СВ!AO36</f>
        <v>0</v>
      </c>
      <c r="AO83">
        <f>СВ!AP36</f>
        <v>0</v>
      </c>
      <c r="AP83">
        <f>СВ!AQ36</f>
        <v>0</v>
      </c>
      <c r="AQ83">
        <f>СВ!AR36</f>
        <v>0</v>
      </c>
      <c r="AR83">
        <f>СВ!AS36</f>
        <v>0</v>
      </c>
      <c r="AS83">
        <f>СВ!AT36</f>
        <v>0</v>
      </c>
      <c r="AT83">
        <f>СВ!AU36</f>
        <v>0</v>
      </c>
      <c r="AU83">
        <f>СВ!AV36</f>
        <v>0</v>
      </c>
      <c r="AV83">
        <f>СВ!AW36</f>
        <v>0</v>
      </c>
      <c r="AW83">
        <f>СВ!AX36</f>
        <v>0</v>
      </c>
      <c r="AX83">
        <f>СВ!AY36</f>
        <v>0</v>
      </c>
      <c r="AY83">
        <f>СВ!AZ36</f>
        <v>0</v>
      </c>
      <c r="AZ83">
        <f>СВ!BA36</f>
        <v>0</v>
      </c>
      <c r="BA83">
        <f>СВ!BB36</f>
        <v>0</v>
      </c>
      <c r="BB83">
        <f>СВ!BC36</f>
        <v>0</v>
      </c>
      <c r="BC83">
        <f>СВ!BD36</f>
        <v>0</v>
      </c>
      <c r="BD83">
        <f>СВ!BE36</f>
        <v>0</v>
      </c>
      <c r="BE83">
        <f>СВ!BF36</f>
        <v>0</v>
      </c>
      <c r="BF83">
        <f>СВ!BG36</f>
        <v>0</v>
      </c>
      <c r="BG83">
        <f>СВ!BH36</f>
        <v>0</v>
      </c>
      <c r="BH83">
        <f>СВ!BI36</f>
        <v>0</v>
      </c>
      <c r="BI83">
        <f>СВ!BJ36</f>
        <v>0</v>
      </c>
      <c r="BJ83">
        <f>СВ!BK36</f>
        <v>0</v>
      </c>
      <c r="BK83">
        <f>СВ!BL36</f>
        <v>0</v>
      </c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</row>
    <row r="84" spans="1:99">
      <c r="A84" s="30">
        <f>СВ!B37</f>
        <v>10</v>
      </c>
      <c r="B84" s="31">
        <f>СВ!C37</f>
        <v>0.41666666666666669</v>
      </c>
      <c r="C84" s="32">
        <f>СВ!D37</f>
        <v>0.45833333333333331</v>
      </c>
      <c r="D84" t="e">
        <f ca="1">СВ!E37</f>
        <v>#NAME?</v>
      </c>
      <c r="E84">
        <f>СВ!F37</f>
        <v>0</v>
      </c>
      <c r="F84">
        <f>СВ!G37</f>
        <v>0</v>
      </c>
      <c r="G84">
        <f>СВ!H37</f>
        <v>0</v>
      </c>
      <c r="H84" t="e">
        <f ca="1">СВ!I37</f>
        <v>#NAME?</v>
      </c>
      <c r="I84">
        <f>СВ!J37</f>
        <v>0</v>
      </c>
      <c r="J84">
        <f>СВ!K37</f>
        <v>0</v>
      </c>
      <c r="K84">
        <f>СВ!L37</f>
        <v>0</v>
      </c>
      <c r="L84">
        <f>СВ!M37</f>
        <v>0</v>
      </c>
      <c r="M84">
        <f>СВ!N37</f>
        <v>0</v>
      </c>
      <c r="N84">
        <f>СВ!O37</f>
        <v>0</v>
      </c>
      <c r="O84">
        <f>СВ!P37</f>
        <v>0</v>
      </c>
      <c r="P84">
        <f>СВ!Q37</f>
        <v>0</v>
      </c>
      <c r="Q84">
        <f>СВ!R37</f>
        <v>0</v>
      </c>
      <c r="R84">
        <f>СВ!S37</f>
        <v>0</v>
      </c>
      <c r="S84">
        <f>СВ!T37</f>
        <v>0</v>
      </c>
      <c r="T84">
        <f>СВ!U37</f>
        <v>0</v>
      </c>
      <c r="U84">
        <f>СВ!V37</f>
        <v>0</v>
      </c>
      <c r="V84">
        <f>СВ!W37</f>
        <v>0</v>
      </c>
      <c r="W84">
        <f>СВ!X37</f>
        <v>0</v>
      </c>
      <c r="X84">
        <f>СВ!Y37</f>
        <v>0</v>
      </c>
      <c r="Y84">
        <f>СВ!Z37</f>
        <v>0</v>
      </c>
      <c r="Z84">
        <f>СВ!AA37</f>
        <v>0</v>
      </c>
      <c r="AA84">
        <f>СВ!AB37</f>
        <v>0</v>
      </c>
      <c r="AB84">
        <f>СВ!AC37</f>
        <v>0</v>
      </c>
      <c r="AC84">
        <f>СВ!AD37</f>
        <v>0</v>
      </c>
      <c r="AD84">
        <f>СВ!AE37</f>
        <v>0</v>
      </c>
      <c r="AE84">
        <f>СВ!AF37</f>
        <v>0</v>
      </c>
      <c r="AF84">
        <f>СВ!AG37</f>
        <v>0</v>
      </c>
      <c r="AG84">
        <f>СВ!AH37</f>
        <v>0</v>
      </c>
      <c r="AH84">
        <f>СВ!AI37</f>
        <v>0</v>
      </c>
      <c r="AI84">
        <f>СВ!AJ37</f>
        <v>0</v>
      </c>
      <c r="AJ84">
        <f>СВ!AK37</f>
        <v>0</v>
      </c>
      <c r="AK84">
        <f>СВ!AL37</f>
        <v>0</v>
      </c>
      <c r="AL84">
        <f>СВ!AM37</f>
        <v>0</v>
      </c>
      <c r="AM84">
        <f>СВ!AN37</f>
        <v>0</v>
      </c>
      <c r="AN84">
        <f>СВ!AO37</f>
        <v>0</v>
      </c>
      <c r="AO84">
        <f>СВ!AP37</f>
        <v>0</v>
      </c>
      <c r="AP84">
        <f>СВ!AQ37</f>
        <v>0</v>
      </c>
      <c r="AQ84">
        <f>СВ!AR37</f>
        <v>0</v>
      </c>
      <c r="AR84">
        <f>СВ!AS37</f>
        <v>0</v>
      </c>
      <c r="AS84">
        <f>СВ!AT37</f>
        <v>0</v>
      </c>
      <c r="AT84">
        <f>СВ!AU37</f>
        <v>0</v>
      </c>
      <c r="AU84">
        <f>СВ!AV37</f>
        <v>0</v>
      </c>
      <c r="AV84">
        <f>СВ!AW37</f>
        <v>0</v>
      </c>
      <c r="AW84">
        <f>СВ!AX37</f>
        <v>0</v>
      </c>
      <c r="AX84">
        <f>СВ!AY37</f>
        <v>0</v>
      </c>
      <c r="AY84">
        <f>СВ!AZ37</f>
        <v>0</v>
      </c>
      <c r="AZ84">
        <f>СВ!BA37</f>
        <v>0</v>
      </c>
      <c r="BA84">
        <f>СВ!BB37</f>
        <v>0</v>
      </c>
      <c r="BB84">
        <f>СВ!BC37</f>
        <v>0</v>
      </c>
      <c r="BC84">
        <f>СВ!BD37</f>
        <v>0</v>
      </c>
      <c r="BD84">
        <f>СВ!BE37</f>
        <v>0</v>
      </c>
      <c r="BE84">
        <f>СВ!BF37</f>
        <v>0</v>
      </c>
      <c r="BF84">
        <f>СВ!BG37</f>
        <v>0</v>
      </c>
      <c r="BG84">
        <f>СВ!BH37</f>
        <v>0</v>
      </c>
      <c r="BH84">
        <f>СВ!BI37</f>
        <v>0</v>
      </c>
      <c r="BI84">
        <f>СВ!BJ37</f>
        <v>0</v>
      </c>
      <c r="BJ84">
        <f>СВ!BK37</f>
        <v>0</v>
      </c>
      <c r="BK84">
        <f>СВ!BL37</f>
        <v>0</v>
      </c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</row>
    <row r="85" spans="1:99">
      <c r="A85" s="27">
        <f>СВ!B38</f>
        <v>11</v>
      </c>
      <c r="B85" s="28">
        <f>СВ!C38</f>
        <v>0.42708333333333331</v>
      </c>
      <c r="C85" s="29">
        <f>СВ!D38</f>
        <v>0.45833333333333331</v>
      </c>
      <c r="D85" t="e">
        <f ca="1">СВ!E38</f>
        <v>#NAME?</v>
      </c>
      <c r="E85">
        <f>СВ!F38</f>
        <v>0</v>
      </c>
      <c r="F85">
        <f>СВ!G38</f>
        <v>0</v>
      </c>
      <c r="G85">
        <f>СВ!H38</f>
        <v>0</v>
      </c>
      <c r="H85" t="e">
        <f ca="1">СВ!I38</f>
        <v>#NAME?</v>
      </c>
      <c r="I85">
        <f>СВ!J38</f>
        <v>0</v>
      </c>
      <c r="J85">
        <f>СВ!K38</f>
        <v>0</v>
      </c>
      <c r="K85">
        <f>СВ!L38</f>
        <v>0</v>
      </c>
      <c r="L85">
        <f>СВ!M38</f>
        <v>0</v>
      </c>
      <c r="M85">
        <f>СВ!N38</f>
        <v>0</v>
      </c>
      <c r="N85">
        <f>СВ!O38</f>
        <v>0</v>
      </c>
      <c r="O85">
        <f>СВ!P38</f>
        <v>0</v>
      </c>
      <c r="P85">
        <f>СВ!Q38</f>
        <v>0</v>
      </c>
      <c r="Q85">
        <f>СВ!R38</f>
        <v>0</v>
      </c>
      <c r="R85">
        <f>СВ!S38</f>
        <v>0</v>
      </c>
      <c r="S85">
        <f>СВ!T38</f>
        <v>0</v>
      </c>
      <c r="T85">
        <f>СВ!U38</f>
        <v>0</v>
      </c>
      <c r="U85">
        <f>СВ!V38</f>
        <v>0</v>
      </c>
      <c r="V85">
        <f>СВ!W38</f>
        <v>0</v>
      </c>
      <c r="W85">
        <f>СВ!X38</f>
        <v>0</v>
      </c>
      <c r="X85">
        <f>СВ!Y38</f>
        <v>0</v>
      </c>
      <c r="Y85">
        <f>СВ!Z38</f>
        <v>0</v>
      </c>
      <c r="Z85">
        <f>СВ!AA38</f>
        <v>0</v>
      </c>
      <c r="AA85">
        <f>СВ!AB38</f>
        <v>0</v>
      </c>
      <c r="AB85">
        <f>СВ!AC38</f>
        <v>0</v>
      </c>
      <c r="AC85">
        <f>СВ!AD38</f>
        <v>0</v>
      </c>
      <c r="AD85">
        <f>СВ!AE38</f>
        <v>0</v>
      </c>
      <c r="AE85">
        <f>СВ!AF38</f>
        <v>0</v>
      </c>
      <c r="AF85">
        <f>СВ!AG38</f>
        <v>0</v>
      </c>
      <c r="AG85">
        <f>СВ!AH38</f>
        <v>0</v>
      </c>
      <c r="AH85">
        <f>СВ!AI38</f>
        <v>0</v>
      </c>
      <c r="AI85">
        <f>СВ!AJ38</f>
        <v>0</v>
      </c>
      <c r="AJ85">
        <f>СВ!AK38</f>
        <v>0</v>
      </c>
      <c r="AK85">
        <f>СВ!AL38</f>
        <v>0</v>
      </c>
      <c r="AL85">
        <f>СВ!AM38</f>
        <v>0</v>
      </c>
      <c r="AM85">
        <f>СВ!AN38</f>
        <v>0</v>
      </c>
      <c r="AN85">
        <f>СВ!AO38</f>
        <v>0</v>
      </c>
      <c r="AO85">
        <f>СВ!AP38</f>
        <v>0</v>
      </c>
      <c r="AP85">
        <f>СВ!AQ38</f>
        <v>0</v>
      </c>
      <c r="AQ85">
        <f>СВ!AR38</f>
        <v>0</v>
      </c>
      <c r="AR85">
        <f>СВ!AS38</f>
        <v>0</v>
      </c>
      <c r="AS85">
        <f>СВ!AT38</f>
        <v>0</v>
      </c>
      <c r="AT85">
        <f>СВ!AU38</f>
        <v>0</v>
      </c>
      <c r="AU85">
        <f>СВ!AV38</f>
        <v>0</v>
      </c>
      <c r="AV85">
        <f>СВ!AW38</f>
        <v>0</v>
      </c>
      <c r="AW85">
        <f>СВ!AX38</f>
        <v>0</v>
      </c>
      <c r="AX85">
        <f>СВ!AY38</f>
        <v>0</v>
      </c>
      <c r="AY85">
        <f>СВ!AZ38</f>
        <v>0</v>
      </c>
      <c r="AZ85">
        <f>СВ!BA38</f>
        <v>0</v>
      </c>
      <c r="BA85">
        <f>СВ!BB38</f>
        <v>0</v>
      </c>
      <c r="BB85">
        <f>СВ!BC38</f>
        <v>0</v>
      </c>
      <c r="BC85">
        <f>СВ!BD38</f>
        <v>0</v>
      </c>
      <c r="BD85">
        <f>СВ!BE38</f>
        <v>0</v>
      </c>
      <c r="BE85">
        <f>СВ!BF38</f>
        <v>0</v>
      </c>
      <c r="BF85">
        <f>СВ!BG38</f>
        <v>0</v>
      </c>
      <c r="BG85">
        <f>СВ!BH38</f>
        <v>0</v>
      </c>
      <c r="BH85">
        <f>СВ!BI38</f>
        <v>0</v>
      </c>
      <c r="BI85">
        <f>СВ!BJ38</f>
        <v>0</v>
      </c>
      <c r="BJ85">
        <f>СВ!BK38</f>
        <v>0</v>
      </c>
      <c r="BK85">
        <f>СВ!BL38</f>
        <v>0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</row>
    <row r="86" spans="1:99">
      <c r="A86" s="30">
        <f>СВ!B39</f>
        <v>12</v>
      </c>
      <c r="B86" s="31">
        <f>СВ!C39</f>
        <v>0.4375</v>
      </c>
      <c r="C86" s="32">
        <f>СВ!D39</f>
        <v>0.46875</v>
      </c>
      <c r="D86" t="e">
        <f ca="1">СВ!E39</f>
        <v>#NAME?</v>
      </c>
      <c r="E86">
        <f>СВ!F39</f>
        <v>0</v>
      </c>
      <c r="F86">
        <f>СВ!G39</f>
        <v>0</v>
      </c>
      <c r="G86">
        <f>СВ!H39</f>
        <v>0</v>
      </c>
      <c r="H86" t="e">
        <f ca="1">СВ!I39</f>
        <v>#NAME?</v>
      </c>
      <c r="I86">
        <f>СВ!J39</f>
        <v>0</v>
      </c>
      <c r="J86">
        <f>СВ!K39</f>
        <v>0</v>
      </c>
      <c r="K86">
        <f>СВ!L39</f>
        <v>0</v>
      </c>
      <c r="L86">
        <f>СВ!M39</f>
        <v>0</v>
      </c>
      <c r="M86">
        <f>СВ!N39</f>
        <v>0</v>
      </c>
      <c r="N86">
        <f>СВ!O39</f>
        <v>0</v>
      </c>
      <c r="O86">
        <f>СВ!P39</f>
        <v>0</v>
      </c>
      <c r="P86">
        <f>СВ!Q39</f>
        <v>0</v>
      </c>
      <c r="Q86">
        <f>СВ!R39</f>
        <v>0</v>
      </c>
      <c r="R86">
        <f>СВ!S39</f>
        <v>0</v>
      </c>
      <c r="S86">
        <f>СВ!T39</f>
        <v>0</v>
      </c>
      <c r="T86">
        <f>СВ!U39</f>
        <v>0</v>
      </c>
      <c r="U86">
        <f>СВ!V39</f>
        <v>0</v>
      </c>
      <c r="V86">
        <f>СВ!W39</f>
        <v>0</v>
      </c>
      <c r="W86">
        <f>СВ!X39</f>
        <v>0</v>
      </c>
      <c r="X86">
        <f>СВ!Y39</f>
        <v>0</v>
      </c>
      <c r="Y86">
        <f>СВ!Z39</f>
        <v>0</v>
      </c>
      <c r="Z86">
        <f>СВ!AA39</f>
        <v>0</v>
      </c>
      <c r="AA86">
        <f>СВ!AB39</f>
        <v>0</v>
      </c>
      <c r="AB86">
        <f>СВ!AC39</f>
        <v>0</v>
      </c>
      <c r="AC86">
        <f>СВ!AD39</f>
        <v>0</v>
      </c>
      <c r="AD86">
        <f>СВ!AE39</f>
        <v>0</v>
      </c>
      <c r="AE86">
        <f>СВ!AF39</f>
        <v>0</v>
      </c>
      <c r="AF86">
        <f>СВ!AG39</f>
        <v>0</v>
      </c>
      <c r="AG86">
        <f>СВ!AH39</f>
        <v>0</v>
      </c>
      <c r="AH86">
        <f>СВ!AI39</f>
        <v>0</v>
      </c>
      <c r="AI86">
        <f>СВ!AJ39</f>
        <v>0</v>
      </c>
      <c r="AJ86">
        <f>СВ!AK39</f>
        <v>0</v>
      </c>
      <c r="AK86">
        <f>СВ!AL39</f>
        <v>0</v>
      </c>
      <c r="AL86">
        <f>СВ!AM39</f>
        <v>0</v>
      </c>
      <c r="AM86">
        <f>СВ!AN39</f>
        <v>0</v>
      </c>
      <c r="AN86">
        <f>СВ!AO39</f>
        <v>0</v>
      </c>
      <c r="AO86">
        <f>СВ!AP39</f>
        <v>0</v>
      </c>
      <c r="AP86">
        <f>СВ!AQ39</f>
        <v>0</v>
      </c>
      <c r="AQ86">
        <f>СВ!AR39</f>
        <v>0</v>
      </c>
      <c r="AR86">
        <f>СВ!AS39</f>
        <v>0</v>
      </c>
      <c r="AS86">
        <f>СВ!AT39</f>
        <v>0</v>
      </c>
      <c r="AT86">
        <f>СВ!AU39</f>
        <v>0</v>
      </c>
      <c r="AU86">
        <f>СВ!AV39</f>
        <v>0</v>
      </c>
      <c r="AV86">
        <f>СВ!AW39</f>
        <v>0</v>
      </c>
      <c r="AW86">
        <f>СВ!AX39</f>
        <v>0</v>
      </c>
      <c r="AX86">
        <f>СВ!AY39</f>
        <v>0</v>
      </c>
      <c r="AY86">
        <f>СВ!AZ39</f>
        <v>0</v>
      </c>
      <c r="AZ86">
        <f>СВ!BA39</f>
        <v>0</v>
      </c>
      <c r="BA86">
        <f>СВ!BB39</f>
        <v>0</v>
      </c>
      <c r="BB86">
        <f>СВ!BC39</f>
        <v>0</v>
      </c>
      <c r="BC86">
        <f>СВ!BD39</f>
        <v>0</v>
      </c>
      <c r="BD86">
        <f>СВ!BE39</f>
        <v>0</v>
      </c>
      <c r="BE86">
        <f>СВ!BF39</f>
        <v>0</v>
      </c>
      <c r="BF86">
        <f>СВ!BG39</f>
        <v>0</v>
      </c>
      <c r="BG86">
        <f>СВ!BH39</f>
        <v>0</v>
      </c>
      <c r="BH86">
        <f>СВ!BI39</f>
        <v>0</v>
      </c>
      <c r="BI86">
        <f>СВ!BJ39</f>
        <v>0</v>
      </c>
      <c r="BJ86">
        <f>СВ!BK39</f>
        <v>0</v>
      </c>
      <c r="BK86">
        <f>СВ!BL39</f>
        <v>0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</row>
    <row r="87" spans="1:99">
      <c r="A87" s="27">
        <f>СВ!B40</f>
        <v>13</v>
      </c>
      <c r="B87" s="28">
        <f>СВ!C40</f>
        <v>0.44791666666666669</v>
      </c>
      <c r="C87" s="29">
        <f>СВ!D40</f>
        <v>0.47916666666666669</v>
      </c>
      <c r="D87" t="e">
        <f ca="1">СВ!E40</f>
        <v>#NAME?</v>
      </c>
      <c r="E87">
        <f>СВ!F40</f>
        <v>0</v>
      </c>
      <c r="F87">
        <f>СВ!G40</f>
        <v>0</v>
      </c>
      <c r="G87">
        <f>СВ!H40</f>
        <v>0</v>
      </c>
      <c r="H87" t="e">
        <f ca="1">СВ!I40</f>
        <v>#NAME?</v>
      </c>
      <c r="I87">
        <f>СВ!J40</f>
        <v>0</v>
      </c>
      <c r="J87">
        <f>СВ!K40</f>
        <v>0</v>
      </c>
      <c r="K87">
        <f>СВ!L40</f>
        <v>0</v>
      </c>
      <c r="L87">
        <f>СВ!M40</f>
        <v>0</v>
      </c>
      <c r="M87">
        <f>СВ!N40</f>
        <v>0</v>
      </c>
      <c r="N87">
        <f>СВ!O40</f>
        <v>0</v>
      </c>
      <c r="O87">
        <f>СВ!P40</f>
        <v>0</v>
      </c>
      <c r="P87">
        <f>СВ!Q40</f>
        <v>0</v>
      </c>
      <c r="Q87">
        <f>СВ!R40</f>
        <v>0</v>
      </c>
      <c r="R87">
        <f>СВ!S40</f>
        <v>0</v>
      </c>
      <c r="S87">
        <f>СВ!T40</f>
        <v>0</v>
      </c>
      <c r="T87">
        <f>СВ!U40</f>
        <v>0</v>
      </c>
      <c r="U87">
        <f>СВ!V40</f>
        <v>0</v>
      </c>
      <c r="V87">
        <f>СВ!W40</f>
        <v>0</v>
      </c>
      <c r="W87">
        <f>СВ!X40</f>
        <v>0</v>
      </c>
      <c r="X87">
        <f>СВ!Y40</f>
        <v>0</v>
      </c>
      <c r="Y87">
        <f>СВ!Z40</f>
        <v>0</v>
      </c>
      <c r="Z87">
        <f>СВ!AA40</f>
        <v>0</v>
      </c>
      <c r="AA87">
        <f>СВ!AB40</f>
        <v>0</v>
      </c>
      <c r="AB87">
        <f>СВ!AC40</f>
        <v>0</v>
      </c>
      <c r="AC87">
        <f>СВ!AD40</f>
        <v>0</v>
      </c>
      <c r="AD87">
        <f>СВ!AE40</f>
        <v>0</v>
      </c>
      <c r="AE87">
        <f>СВ!AF40</f>
        <v>0</v>
      </c>
      <c r="AF87">
        <f>СВ!AG40</f>
        <v>0</v>
      </c>
      <c r="AG87">
        <f>СВ!AH40</f>
        <v>0</v>
      </c>
      <c r="AH87">
        <f>СВ!AI40</f>
        <v>0</v>
      </c>
      <c r="AI87">
        <f>СВ!AJ40</f>
        <v>0</v>
      </c>
      <c r="AJ87">
        <f>СВ!AK40</f>
        <v>0</v>
      </c>
      <c r="AK87">
        <f>СВ!AL40</f>
        <v>0</v>
      </c>
      <c r="AL87">
        <f>СВ!AM40</f>
        <v>0</v>
      </c>
      <c r="AM87">
        <f>СВ!AN40</f>
        <v>0</v>
      </c>
      <c r="AN87">
        <f>СВ!AO40</f>
        <v>0</v>
      </c>
      <c r="AO87">
        <f>СВ!AP40</f>
        <v>0</v>
      </c>
      <c r="AP87">
        <f>СВ!AQ40</f>
        <v>0</v>
      </c>
      <c r="AQ87">
        <f>СВ!AR40</f>
        <v>0</v>
      </c>
      <c r="AR87">
        <f>СВ!AS40</f>
        <v>0</v>
      </c>
      <c r="AS87">
        <f>СВ!AT40</f>
        <v>0</v>
      </c>
      <c r="AT87">
        <f>СВ!AU40</f>
        <v>0</v>
      </c>
      <c r="AU87">
        <f>СВ!AV40</f>
        <v>0</v>
      </c>
      <c r="AV87">
        <f>СВ!AW40</f>
        <v>0</v>
      </c>
      <c r="AW87">
        <f>СВ!AX40</f>
        <v>0</v>
      </c>
      <c r="AX87">
        <f>СВ!AY40</f>
        <v>0</v>
      </c>
      <c r="AY87">
        <f>СВ!AZ40</f>
        <v>0</v>
      </c>
      <c r="AZ87">
        <f>СВ!BA40</f>
        <v>0</v>
      </c>
      <c r="BA87">
        <f>СВ!BB40</f>
        <v>0</v>
      </c>
      <c r="BB87">
        <f>СВ!BC40</f>
        <v>0</v>
      </c>
      <c r="BC87">
        <f>СВ!BD40</f>
        <v>0</v>
      </c>
      <c r="BD87">
        <f>СВ!BE40</f>
        <v>0</v>
      </c>
      <c r="BE87">
        <f>СВ!BF40</f>
        <v>0</v>
      </c>
      <c r="BF87">
        <f>СВ!BG40</f>
        <v>0</v>
      </c>
      <c r="BG87">
        <f>СВ!BH40</f>
        <v>0</v>
      </c>
      <c r="BH87">
        <f>СВ!BI40</f>
        <v>0</v>
      </c>
      <c r="BI87">
        <f>СВ!BJ40</f>
        <v>0</v>
      </c>
      <c r="BJ87">
        <f>СВ!BK40</f>
        <v>0</v>
      </c>
      <c r="BK87">
        <f>СВ!BL40</f>
        <v>0</v>
      </c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</row>
    <row r="88" spans="1:99">
      <c r="A88" s="30">
        <f>СВ!B41</f>
        <v>14</v>
      </c>
      <c r="B88" s="31">
        <f>СВ!C41</f>
        <v>0.45833333333333337</v>
      </c>
      <c r="C88" s="32">
        <f>СВ!D41</f>
        <v>0.5</v>
      </c>
      <c r="D88" t="e">
        <f ca="1">СВ!E41</f>
        <v>#NAME?</v>
      </c>
      <c r="E88">
        <f>СВ!F41</f>
        <v>0</v>
      </c>
      <c r="F88">
        <f>СВ!G41</f>
        <v>0</v>
      </c>
      <c r="G88">
        <f>СВ!H41</f>
        <v>0</v>
      </c>
      <c r="H88" t="e">
        <f ca="1">СВ!I41</f>
        <v>#NAME?</v>
      </c>
      <c r="I88">
        <f>СВ!J41</f>
        <v>1</v>
      </c>
      <c r="J88">
        <f>СВ!K41</f>
        <v>0</v>
      </c>
      <c r="K88">
        <f>СВ!L41</f>
        <v>0</v>
      </c>
      <c r="L88">
        <f>СВ!M41</f>
        <v>0</v>
      </c>
      <c r="M88">
        <f>СВ!N41</f>
        <v>0</v>
      </c>
      <c r="N88">
        <f>СВ!O41</f>
        <v>0</v>
      </c>
      <c r="O88">
        <f>СВ!P41</f>
        <v>0</v>
      </c>
      <c r="P88">
        <f>СВ!Q41</f>
        <v>0</v>
      </c>
      <c r="Q88">
        <f>СВ!R41</f>
        <v>0</v>
      </c>
      <c r="R88">
        <f>СВ!S41</f>
        <v>0</v>
      </c>
      <c r="S88">
        <f>СВ!T41</f>
        <v>0</v>
      </c>
      <c r="T88">
        <f>СВ!U41</f>
        <v>0</v>
      </c>
      <c r="U88">
        <f>СВ!V41</f>
        <v>0</v>
      </c>
      <c r="V88">
        <f>СВ!W41</f>
        <v>0</v>
      </c>
      <c r="W88">
        <f>СВ!X41</f>
        <v>0</v>
      </c>
      <c r="X88">
        <f>СВ!Y41</f>
        <v>0</v>
      </c>
      <c r="Y88">
        <f>СВ!Z41</f>
        <v>0</v>
      </c>
      <c r="Z88">
        <f>СВ!AA41</f>
        <v>0</v>
      </c>
      <c r="AA88">
        <f>СВ!AB41</f>
        <v>0</v>
      </c>
      <c r="AB88">
        <f>СВ!AC41</f>
        <v>0</v>
      </c>
      <c r="AC88">
        <f>СВ!AD41</f>
        <v>0</v>
      </c>
      <c r="AD88">
        <f>СВ!AE41</f>
        <v>0</v>
      </c>
      <c r="AE88">
        <f>СВ!AF41</f>
        <v>0</v>
      </c>
      <c r="AF88">
        <f>СВ!AG41</f>
        <v>0</v>
      </c>
      <c r="AG88">
        <f>СВ!AH41</f>
        <v>0</v>
      </c>
      <c r="AH88">
        <f>СВ!AI41</f>
        <v>0</v>
      </c>
      <c r="AI88">
        <f>СВ!AJ41</f>
        <v>0</v>
      </c>
      <c r="AJ88">
        <f>СВ!AK41</f>
        <v>0</v>
      </c>
      <c r="AK88">
        <f>СВ!AL41</f>
        <v>0</v>
      </c>
      <c r="AL88">
        <f>СВ!AM41</f>
        <v>0</v>
      </c>
      <c r="AM88">
        <f>СВ!AN41</f>
        <v>0</v>
      </c>
      <c r="AN88">
        <f>СВ!AO41</f>
        <v>0</v>
      </c>
      <c r="AO88">
        <f>СВ!AP41</f>
        <v>0</v>
      </c>
      <c r="AP88">
        <f>СВ!AQ41</f>
        <v>0</v>
      </c>
      <c r="AQ88">
        <f>СВ!AR41</f>
        <v>0</v>
      </c>
      <c r="AR88">
        <f>СВ!AS41</f>
        <v>0</v>
      </c>
      <c r="AS88">
        <f>СВ!AT41</f>
        <v>0</v>
      </c>
      <c r="AT88">
        <f>СВ!AU41</f>
        <v>0</v>
      </c>
      <c r="AU88">
        <f>СВ!AV41</f>
        <v>0</v>
      </c>
      <c r="AV88">
        <f>СВ!AW41</f>
        <v>0</v>
      </c>
      <c r="AW88">
        <f>СВ!AX41</f>
        <v>0</v>
      </c>
      <c r="AX88">
        <f>СВ!AY41</f>
        <v>0</v>
      </c>
      <c r="AY88">
        <f>СВ!AZ41</f>
        <v>0</v>
      </c>
      <c r="AZ88">
        <f>СВ!BA41</f>
        <v>0</v>
      </c>
      <c r="BA88">
        <f>СВ!BB41</f>
        <v>0</v>
      </c>
      <c r="BB88">
        <f>СВ!BC41</f>
        <v>0</v>
      </c>
      <c r="BC88">
        <f>СВ!BD41</f>
        <v>0</v>
      </c>
      <c r="BD88">
        <f>СВ!BE41</f>
        <v>0</v>
      </c>
      <c r="BE88">
        <f>СВ!BF41</f>
        <v>0</v>
      </c>
      <c r="BF88">
        <f>СВ!BG41</f>
        <v>0</v>
      </c>
      <c r="BG88">
        <f>СВ!BH41</f>
        <v>0</v>
      </c>
      <c r="BH88">
        <f>СВ!BI41</f>
        <v>0</v>
      </c>
      <c r="BI88">
        <f>СВ!BJ41</f>
        <v>0</v>
      </c>
      <c r="BJ88">
        <f>СВ!BK41</f>
        <v>0</v>
      </c>
      <c r="BK88">
        <f>СВ!BL41</f>
        <v>0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</row>
    <row r="89" spans="1:99">
      <c r="A89" s="27">
        <f>СВ!B42</f>
        <v>15</v>
      </c>
      <c r="B89" s="28">
        <f>СВ!C42</f>
        <v>0.46875</v>
      </c>
      <c r="C89" s="29">
        <f>СВ!D42</f>
        <v>0.5</v>
      </c>
      <c r="D89" t="e">
        <f ca="1">СВ!E42</f>
        <v>#NAME?</v>
      </c>
      <c r="E89">
        <f>СВ!F42</f>
        <v>0</v>
      </c>
      <c r="F89">
        <f>СВ!G42</f>
        <v>0</v>
      </c>
      <c r="G89">
        <f>СВ!H42</f>
        <v>0</v>
      </c>
      <c r="H89" t="e">
        <f ca="1">СВ!I42</f>
        <v>#NAME?</v>
      </c>
      <c r="I89">
        <f>СВ!J42</f>
        <v>1</v>
      </c>
      <c r="J89">
        <f>СВ!K42</f>
        <v>0</v>
      </c>
      <c r="K89">
        <f>СВ!L42</f>
        <v>0</v>
      </c>
      <c r="L89">
        <f>СВ!M42</f>
        <v>0</v>
      </c>
      <c r="M89">
        <f>СВ!N42</f>
        <v>0</v>
      </c>
      <c r="N89">
        <f>СВ!O42</f>
        <v>0</v>
      </c>
      <c r="O89">
        <f>СВ!P42</f>
        <v>0</v>
      </c>
      <c r="P89">
        <f>СВ!Q42</f>
        <v>0</v>
      </c>
      <c r="Q89">
        <f>СВ!R42</f>
        <v>0</v>
      </c>
      <c r="R89">
        <f>СВ!S42</f>
        <v>0</v>
      </c>
      <c r="S89">
        <f>СВ!T42</f>
        <v>0</v>
      </c>
      <c r="T89">
        <f>СВ!U42</f>
        <v>0</v>
      </c>
      <c r="U89">
        <f>СВ!V42</f>
        <v>0</v>
      </c>
      <c r="V89">
        <f>СВ!W42</f>
        <v>0</v>
      </c>
      <c r="W89">
        <f>СВ!X42</f>
        <v>0</v>
      </c>
      <c r="X89">
        <f>СВ!Y42</f>
        <v>0</v>
      </c>
      <c r="Y89">
        <f>СВ!Z42</f>
        <v>0</v>
      </c>
      <c r="Z89">
        <f>СВ!AA42</f>
        <v>0</v>
      </c>
      <c r="AA89">
        <f>СВ!AB42</f>
        <v>0</v>
      </c>
      <c r="AB89">
        <f>СВ!AC42</f>
        <v>0</v>
      </c>
      <c r="AC89">
        <f>СВ!AD42</f>
        <v>0</v>
      </c>
      <c r="AD89">
        <f>СВ!AE42</f>
        <v>0</v>
      </c>
      <c r="AE89">
        <f>СВ!AF42</f>
        <v>0</v>
      </c>
      <c r="AF89">
        <f>СВ!AG42</f>
        <v>0</v>
      </c>
      <c r="AG89">
        <f>СВ!AH42</f>
        <v>0</v>
      </c>
      <c r="AH89">
        <f>СВ!AI42</f>
        <v>0</v>
      </c>
      <c r="AI89">
        <f>СВ!AJ42</f>
        <v>0</v>
      </c>
      <c r="AJ89">
        <f>СВ!AK42</f>
        <v>0</v>
      </c>
      <c r="AK89">
        <f>СВ!AL42</f>
        <v>0</v>
      </c>
      <c r="AL89">
        <f>СВ!AM42</f>
        <v>0</v>
      </c>
      <c r="AM89">
        <f>СВ!AN42</f>
        <v>0</v>
      </c>
      <c r="AN89">
        <f>СВ!AO42</f>
        <v>0</v>
      </c>
      <c r="AO89">
        <f>СВ!AP42</f>
        <v>0</v>
      </c>
      <c r="AP89">
        <f>СВ!AQ42</f>
        <v>0</v>
      </c>
      <c r="AQ89">
        <f>СВ!AR42</f>
        <v>0</v>
      </c>
      <c r="AR89">
        <f>СВ!AS42</f>
        <v>0</v>
      </c>
      <c r="AS89">
        <f>СВ!AT42</f>
        <v>0</v>
      </c>
      <c r="AT89">
        <f>СВ!AU42</f>
        <v>0</v>
      </c>
      <c r="AU89">
        <f>СВ!AV42</f>
        <v>0</v>
      </c>
      <c r="AV89">
        <f>СВ!AW42</f>
        <v>0</v>
      </c>
      <c r="AW89">
        <f>СВ!AX42</f>
        <v>0</v>
      </c>
      <c r="AX89">
        <f>СВ!AY42</f>
        <v>0</v>
      </c>
      <c r="AY89">
        <f>СВ!AZ42</f>
        <v>0</v>
      </c>
      <c r="AZ89">
        <f>СВ!BA42</f>
        <v>0</v>
      </c>
      <c r="BA89">
        <f>СВ!BB42</f>
        <v>0</v>
      </c>
      <c r="BB89">
        <f>СВ!BC42</f>
        <v>0</v>
      </c>
      <c r="BC89">
        <f>СВ!BD42</f>
        <v>0</v>
      </c>
      <c r="BD89">
        <f>СВ!BE42</f>
        <v>0</v>
      </c>
      <c r="BE89">
        <f>СВ!BF42</f>
        <v>0</v>
      </c>
      <c r="BF89">
        <f>СВ!BG42</f>
        <v>0</v>
      </c>
      <c r="BG89">
        <f>СВ!BH42</f>
        <v>0</v>
      </c>
      <c r="BH89">
        <f>СВ!BI42</f>
        <v>0</v>
      </c>
      <c r="BI89">
        <f>СВ!BJ42</f>
        <v>0</v>
      </c>
      <c r="BJ89">
        <f>СВ!BK42</f>
        <v>0</v>
      </c>
      <c r="BK89">
        <f>СВ!BL42</f>
        <v>0</v>
      </c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</row>
    <row r="90" spans="1:99">
      <c r="A90" s="30">
        <f>СВ!B43</f>
        <v>16</v>
      </c>
      <c r="B90" s="31">
        <f>СВ!C43</f>
        <v>0.47916666666666669</v>
      </c>
      <c r="C90" s="32">
        <f>СВ!D43</f>
        <v>0.51041666666666663</v>
      </c>
      <c r="D90" t="e">
        <f ca="1">СВ!E43</f>
        <v>#NAME?</v>
      </c>
      <c r="E90">
        <f>СВ!F43</f>
        <v>0</v>
      </c>
      <c r="F90">
        <f>СВ!G43</f>
        <v>0</v>
      </c>
      <c r="G90">
        <f>СВ!H43</f>
        <v>0</v>
      </c>
      <c r="H90" t="e">
        <f ca="1">СВ!I43</f>
        <v>#NAME?</v>
      </c>
      <c r="I90">
        <f>СВ!J43</f>
        <v>1</v>
      </c>
      <c r="J90">
        <f>СВ!K43</f>
        <v>0</v>
      </c>
      <c r="K90">
        <f>СВ!L43</f>
        <v>0</v>
      </c>
      <c r="L90">
        <f>СВ!M43</f>
        <v>0</v>
      </c>
      <c r="M90">
        <f>СВ!N43</f>
        <v>0</v>
      </c>
      <c r="N90">
        <f>СВ!O43</f>
        <v>0</v>
      </c>
      <c r="O90">
        <f>СВ!P43</f>
        <v>0</v>
      </c>
      <c r="P90">
        <f>СВ!Q43</f>
        <v>0</v>
      </c>
      <c r="Q90">
        <f>СВ!R43</f>
        <v>0</v>
      </c>
      <c r="R90">
        <f>СВ!S43</f>
        <v>0</v>
      </c>
      <c r="S90">
        <f>СВ!T43</f>
        <v>0</v>
      </c>
      <c r="T90">
        <f>СВ!U43</f>
        <v>0</v>
      </c>
      <c r="U90">
        <f>СВ!V43</f>
        <v>0</v>
      </c>
      <c r="V90">
        <f>СВ!W43</f>
        <v>0</v>
      </c>
      <c r="W90">
        <f>СВ!X43</f>
        <v>0</v>
      </c>
      <c r="X90">
        <f>СВ!Y43</f>
        <v>0</v>
      </c>
      <c r="Y90">
        <f>СВ!Z43</f>
        <v>0</v>
      </c>
      <c r="Z90">
        <f>СВ!AA43</f>
        <v>0</v>
      </c>
      <c r="AA90">
        <f>СВ!AB43</f>
        <v>0</v>
      </c>
      <c r="AB90">
        <f>СВ!AC43</f>
        <v>0</v>
      </c>
      <c r="AC90">
        <f>СВ!AD43</f>
        <v>0</v>
      </c>
      <c r="AD90">
        <f>СВ!AE43</f>
        <v>0</v>
      </c>
      <c r="AE90">
        <f>СВ!AF43</f>
        <v>0</v>
      </c>
      <c r="AF90">
        <f>СВ!AG43</f>
        <v>0</v>
      </c>
      <c r="AG90">
        <f>СВ!AH43</f>
        <v>0</v>
      </c>
      <c r="AH90">
        <f>СВ!AI43</f>
        <v>0</v>
      </c>
      <c r="AI90">
        <f>СВ!AJ43</f>
        <v>0</v>
      </c>
      <c r="AJ90">
        <f>СВ!AK43</f>
        <v>0</v>
      </c>
      <c r="AK90">
        <f>СВ!AL43</f>
        <v>0</v>
      </c>
      <c r="AL90">
        <f>СВ!AM43</f>
        <v>0</v>
      </c>
      <c r="AM90">
        <f>СВ!AN43</f>
        <v>0</v>
      </c>
      <c r="AN90">
        <f>СВ!AO43</f>
        <v>0</v>
      </c>
      <c r="AO90">
        <f>СВ!AP43</f>
        <v>0</v>
      </c>
      <c r="AP90">
        <f>СВ!AQ43</f>
        <v>0</v>
      </c>
      <c r="AQ90">
        <f>СВ!AR43</f>
        <v>0</v>
      </c>
      <c r="AR90">
        <f>СВ!AS43</f>
        <v>0</v>
      </c>
      <c r="AS90">
        <f>СВ!AT43</f>
        <v>0</v>
      </c>
      <c r="AT90">
        <f>СВ!AU43</f>
        <v>0</v>
      </c>
      <c r="AU90">
        <f>СВ!AV43</f>
        <v>0</v>
      </c>
      <c r="AV90">
        <f>СВ!AW43</f>
        <v>0</v>
      </c>
      <c r="AW90">
        <f>СВ!AX43</f>
        <v>0</v>
      </c>
      <c r="AX90">
        <f>СВ!AY43</f>
        <v>0</v>
      </c>
      <c r="AY90">
        <f>СВ!AZ43</f>
        <v>0</v>
      </c>
      <c r="AZ90">
        <f>СВ!BA43</f>
        <v>0</v>
      </c>
      <c r="BA90">
        <f>СВ!BB43</f>
        <v>0</v>
      </c>
      <c r="BB90">
        <f>СВ!BC43</f>
        <v>0</v>
      </c>
      <c r="BC90">
        <f>СВ!BD43</f>
        <v>0</v>
      </c>
      <c r="BD90">
        <f>СВ!BE43</f>
        <v>0</v>
      </c>
      <c r="BE90">
        <f>СВ!BF43</f>
        <v>0</v>
      </c>
      <c r="BF90">
        <f>СВ!BG43</f>
        <v>0</v>
      </c>
      <c r="BG90">
        <f>СВ!BH43</f>
        <v>0</v>
      </c>
      <c r="BH90">
        <f>СВ!BI43</f>
        <v>0</v>
      </c>
      <c r="BI90">
        <f>СВ!BJ43</f>
        <v>0</v>
      </c>
      <c r="BJ90">
        <f>СВ!BK43</f>
        <v>0</v>
      </c>
      <c r="BK90">
        <f>СВ!BL43</f>
        <v>0</v>
      </c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</row>
    <row r="91" spans="1:99">
      <c r="A91" s="27">
        <f>СВ!B44</f>
        <v>17</v>
      </c>
      <c r="B91" s="28">
        <f>СВ!C44</f>
        <v>0.48958333333333337</v>
      </c>
      <c r="C91" s="29">
        <f>СВ!D44</f>
        <v>0.52083333333333337</v>
      </c>
      <c r="D91" t="e">
        <f ca="1">СВ!E44</f>
        <v>#NAME?</v>
      </c>
      <c r="E91">
        <f>СВ!F44</f>
        <v>0</v>
      </c>
      <c r="F91">
        <f>СВ!G44</f>
        <v>0</v>
      </c>
      <c r="G91">
        <f>СВ!H44</f>
        <v>0</v>
      </c>
      <c r="H91" t="e">
        <f ca="1">СВ!I44</f>
        <v>#NAME?</v>
      </c>
      <c r="I91">
        <f>СВ!J44</f>
        <v>1</v>
      </c>
      <c r="J91">
        <f>СВ!K44</f>
        <v>0</v>
      </c>
      <c r="K91">
        <f>СВ!L44</f>
        <v>0</v>
      </c>
      <c r="L91">
        <f>СВ!M44</f>
        <v>0</v>
      </c>
      <c r="M91">
        <f>СВ!N44</f>
        <v>0</v>
      </c>
      <c r="N91">
        <f>СВ!O44</f>
        <v>0</v>
      </c>
      <c r="O91">
        <f>СВ!P44</f>
        <v>0</v>
      </c>
      <c r="P91">
        <f>СВ!Q44</f>
        <v>0</v>
      </c>
      <c r="Q91">
        <f>СВ!R44</f>
        <v>0</v>
      </c>
      <c r="R91">
        <f>СВ!S44</f>
        <v>0</v>
      </c>
      <c r="S91">
        <f>СВ!T44</f>
        <v>0</v>
      </c>
      <c r="T91">
        <f>СВ!U44</f>
        <v>0</v>
      </c>
      <c r="U91">
        <f>СВ!V44</f>
        <v>0</v>
      </c>
      <c r="V91">
        <f>СВ!W44</f>
        <v>0</v>
      </c>
      <c r="W91">
        <f>СВ!X44</f>
        <v>0</v>
      </c>
      <c r="X91">
        <f>СВ!Y44</f>
        <v>0</v>
      </c>
      <c r="Y91">
        <f>СВ!Z44</f>
        <v>0</v>
      </c>
      <c r="Z91">
        <f>СВ!AA44</f>
        <v>0</v>
      </c>
      <c r="AA91">
        <f>СВ!AB44</f>
        <v>0</v>
      </c>
      <c r="AB91">
        <f>СВ!AC44</f>
        <v>0</v>
      </c>
      <c r="AC91">
        <f>СВ!AD44</f>
        <v>0</v>
      </c>
      <c r="AD91">
        <f>СВ!AE44</f>
        <v>0</v>
      </c>
      <c r="AE91">
        <f>СВ!AF44</f>
        <v>0</v>
      </c>
      <c r="AF91">
        <f>СВ!AG44</f>
        <v>0</v>
      </c>
      <c r="AG91">
        <f>СВ!AH44</f>
        <v>0</v>
      </c>
      <c r="AH91">
        <f>СВ!AI44</f>
        <v>0</v>
      </c>
      <c r="AI91">
        <f>СВ!AJ44</f>
        <v>0</v>
      </c>
      <c r="AJ91">
        <f>СВ!AK44</f>
        <v>0</v>
      </c>
      <c r="AK91">
        <f>СВ!AL44</f>
        <v>0</v>
      </c>
      <c r="AL91">
        <f>СВ!AM44</f>
        <v>0</v>
      </c>
      <c r="AM91">
        <f>СВ!AN44</f>
        <v>0</v>
      </c>
      <c r="AN91">
        <f>СВ!AO44</f>
        <v>0</v>
      </c>
      <c r="AO91">
        <f>СВ!AP44</f>
        <v>0</v>
      </c>
      <c r="AP91">
        <f>СВ!AQ44</f>
        <v>0</v>
      </c>
      <c r="AQ91">
        <f>СВ!AR44</f>
        <v>0</v>
      </c>
      <c r="AR91">
        <f>СВ!AS44</f>
        <v>0</v>
      </c>
      <c r="AS91">
        <f>СВ!AT44</f>
        <v>0</v>
      </c>
      <c r="AT91">
        <f>СВ!AU44</f>
        <v>0</v>
      </c>
      <c r="AU91">
        <f>СВ!AV44</f>
        <v>0</v>
      </c>
      <c r="AV91">
        <f>СВ!AW44</f>
        <v>0</v>
      </c>
      <c r="AW91">
        <f>СВ!AX44</f>
        <v>0</v>
      </c>
      <c r="AX91">
        <f>СВ!AY44</f>
        <v>0</v>
      </c>
      <c r="AY91">
        <f>СВ!AZ44</f>
        <v>0</v>
      </c>
      <c r="AZ91">
        <f>СВ!BA44</f>
        <v>0</v>
      </c>
      <c r="BA91">
        <f>СВ!BB44</f>
        <v>0</v>
      </c>
      <c r="BB91">
        <f>СВ!BC44</f>
        <v>0</v>
      </c>
      <c r="BC91">
        <f>СВ!BD44</f>
        <v>0</v>
      </c>
      <c r="BD91">
        <f>СВ!BE44</f>
        <v>0</v>
      </c>
      <c r="BE91">
        <f>СВ!BF44</f>
        <v>0</v>
      </c>
      <c r="BF91">
        <f>СВ!BG44</f>
        <v>0</v>
      </c>
      <c r="BG91">
        <f>СВ!BH44</f>
        <v>0</v>
      </c>
      <c r="BH91">
        <f>СВ!BI44</f>
        <v>0</v>
      </c>
      <c r="BI91">
        <f>СВ!BJ44</f>
        <v>0</v>
      </c>
      <c r="BJ91">
        <f>СВ!BK44</f>
        <v>0</v>
      </c>
      <c r="BK91">
        <f>СВ!BL44</f>
        <v>0</v>
      </c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</row>
    <row r="92" spans="1:99">
      <c r="A92" s="30">
        <f>СВ!B45</f>
        <v>18</v>
      </c>
      <c r="B92" s="31">
        <f>СВ!C45</f>
        <v>0.5</v>
      </c>
      <c r="C92" s="32">
        <f>СВ!D45</f>
        <v>0.54166666666666663</v>
      </c>
      <c r="D92" t="e">
        <f ca="1">СВ!E45</f>
        <v>#NAME?</v>
      </c>
      <c r="E92">
        <f>СВ!F45</f>
        <v>0</v>
      </c>
      <c r="F92">
        <f>СВ!G45</f>
        <v>0</v>
      </c>
      <c r="G92">
        <f>СВ!H45</f>
        <v>0</v>
      </c>
      <c r="H92" t="e">
        <f ca="1">СВ!I45</f>
        <v>#NAME?</v>
      </c>
      <c r="I92">
        <f>СВ!J45</f>
        <v>1</v>
      </c>
      <c r="J92">
        <f>СВ!K45</f>
        <v>0</v>
      </c>
      <c r="K92">
        <f>СВ!L45</f>
        <v>0</v>
      </c>
      <c r="L92">
        <f>СВ!M45</f>
        <v>0</v>
      </c>
      <c r="M92">
        <f>СВ!N45</f>
        <v>0</v>
      </c>
      <c r="N92">
        <f>СВ!O45</f>
        <v>0</v>
      </c>
      <c r="O92">
        <f>СВ!P45</f>
        <v>0</v>
      </c>
      <c r="P92">
        <f>СВ!Q45</f>
        <v>0</v>
      </c>
      <c r="Q92">
        <f>СВ!R45</f>
        <v>0</v>
      </c>
      <c r="R92">
        <f>СВ!S45</f>
        <v>0</v>
      </c>
      <c r="S92">
        <f>СВ!T45</f>
        <v>0</v>
      </c>
      <c r="T92">
        <f>СВ!U45</f>
        <v>0</v>
      </c>
      <c r="U92">
        <f>СВ!V45</f>
        <v>0</v>
      </c>
      <c r="V92">
        <f>СВ!W45</f>
        <v>0</v>
      </c>
      <c r="W92">
        <f>СВ!X45</f>
        <v>0</v>
      </c>
      <c r="X92">
        <f>СВ!Y45</f>
        <v>0</v>
      </c>
      <c r="Y92">
        <f>СВ!Z45</f>
        <v>0</v>
      </c>
      <c r="Z92">
        <f>СВ!AA45</f>
        <v>0</v>
      </c>
      <c r="AA92">
        <f>СВ!AB45</f>
        <v>0</v>
      </c>
      <c r="AB92">
        <f>СВ!AC45</f>
        <v>0</v>
      </c>
      <c r="AC92">
        <f>СВ!AD45</f>
        <v>0</v>
      </c>
      <c r="AD92">
        <f>СВ!AE45</f>
        <v>0</v>
      </c>
      <c r="AE92">
        <f>СВ!AF45</f>
        <v>0</v>
      </c>
      <c r="AF92">
        <f>СВ!AG45</f>
        <v>0</v>
      </c>
      <c r="AG92">
        <f>СВ!AH45</f>
        <v>0</v>
      </c>
      <c r="AH92">
        <f>СВ!AI45</f>
        <v>0</v>
      </c>
      <c r="AI92">
        <f>СВ!AJ45</f>
        <v>0</v>
      </c>
      <c r="AJ92">
        <f>СВ!AK45</f>
        <v>0</v>
      </c>
      <c r="AK92">
        <f>СВ!AL45</f>
        <v>0</v>
      </c>
      <c r="AL92">
        <f>СВ!AM45</f>
        <v>0</v>
      </c>
      <c r="AM92">
        <f>СВ!AN45</f>
        <v>0</v>
      </c>
      <c r="AN92">
        <f>СВ!AO45</f>
        <v>0</v>
      </c>
      <c r="AO92">
        <f>СВ!AP45</f>
        <v>0</v>
      </c>
      <c r="AP92">
        <f>СВ!AQ45</f>
        <v>0</v>
      </c>
      <c r="AQ92">
        <f>СВ!AR45</f>
        <v>0</v>
      </c>
      <c r="AR92">
        <f>СВ!AS45</f>
        <v>0</v>
      </c>
      <c r="AS92">
        <f>СВ!AT45</f>
        <v>0</v>
      </c>
      <c r="AT92">
        <f>СВ!AU45</f>
        <v>0</v>
      </c>
      <c r="AU92">
        <f>СВ!AV45</f>
        <v>0</v>
      </c>
      <c r="AV92">
        <f>СВ!AW45</f>
        <v>0</v>
      </c>
      <c r="AW92">
        <f>СВ!AX45</f>
        <v>0</v>
      </c>
      <c r="AX92">
        <f>СВ!AY45</f>
        <v>0</v>
      </c>
      <c r="AY92">
        <f>СВ!AZ45</f>
        <v>0</v>
      </c>
      <c r="AZ92">
        <f>СВ!BA45</f>
        <v>0</v>
      </c>
      <c r="BA92">
        <f>СВ!BB45</f>
        <v>0</v>
      </c>
      <c r="BB92">
        <f>СВ!BC45</f>
        <v>0</v>
      </c>
      <c r="BC92">
        <f>СВ!BD45</f>
        <v>0</v>
      </c>
      <c r="BD92">
        <f>СВ!BE45</f>
        <v>0</v>
      </c>
      <c r="BE92">
        <f>СВ!BF45</f>
        <v>0</v>
      </c>
      <c r="BF92">
        <f>СВ!BG45</f>
        <v>0</v>
      </c>
      <c r="BG92">
        <f>СВ!BH45</f>
        <v>0</v>
      </c>
      <c r="BH92">
        <f>СВ!BI45</f>
        <v>0</v>
      </c>
      <c r="BI92">
        <f>СВ!BJ45</f>
        <v>0</v>
      </c>
      <c r="BJ92">
        <f>СВ!BK45</f>
        <v>0</v>
      </c>
      <c r="BK92">
        <f>СВ!BL45</f>
        <v>0</v>
      </c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</row>
    <row r="93" spans="1:99">
      <c r="A93" s="27">
        <f>СВ!B46</f>
        <v>19</v>
      </c>
      <c r="B93" s="28">
        <f>СВ!C46</f>
        <v>0.51041666666666663</v>
      </c>
      <c r="C93" s="29">
        <f>СВ!D46</f>
        <v>0.54166666666666663</v>
      </c>
      <c r="D93" t="e">
        <f ca="1">СВ!E46</f>
        <v>#NAME?</v>
      </c>
      <c r="E93">
        <f>СВ!F46</f>
        <v>0</v>
      </c>
      <c r="F93">
        <f>СВ!G46</f>
        <v>0</v>
      </c>
      <c r="G93">
        <f>СВ!H46</f>
        <v>0</v>
      </c>
      <c r="H93" t="e">
        <f ca="1">СВ!I46</f>
        <v>#NAME?</v>
      </c>
      <c r="I93">
        <f>СВ!J46</f>
        <v>1</v>
      </c>
      <c r="J93">
        <f>СВ!K46</f>
        <v>0</v>
      </c>
      <c r="K93">
        <f>СВ!L46</f>
        <v>0</v>
      </c>
      <c r="L93">
        <f>СВ!M46</f>
        <v>0</v>
      </c>
      <c r="M93">
        <f>СВ!N46</f>
        <v>0</v>
      </c>
      <c r="N93">
        <f>СВ!O46</f>
        <v>0</v>
      </c>
      <c r="O93">
        <f>СВ!P46</f>
        <v>0</v>
      </c>
      <c r="P93">
        <f>СВ!Q46</f>
        <v>0</v>
      </c>
      <c r="Q93">
        <f>СВ!R46</f>
        <v>0</v>
      </c>
      <c r="R93">
        <f>СВ!S46</f>
        <v>0</v>
      </c>
      <c r="S93">
        <f>СВ!T46</f>
        <v>0</v>
      </c>
      <c r="T93">
        <f>СВ!U46</f>
        <v>0</v>
      </c>
      <c r="U93">
        <f>СВ!V46</f>
        <v>0</v>
      </c>
      <c r="V93">
        <f>СВ!W46</f>
        <v>0</v>
      </c>
      <c r="W93">
        <f>СВ!X46</f>
        <v>0</v>
      </c>
      <c r="X93">
        <f>СВ!Y46</f>
        <v>0</v>
      </c>
      <c r="Y93">
        <f>СВ!Z46</f>
        <v>0</v>
      </c>
      <c r="Z93">
        <f>СВ!AA46</f>
        <v>0</v>
      </c>
      <c r="AA93">
        <f>СВ!AB46</f>
        <v>0</v>
      </c>
      <c r="AB93">
        <f>СВ!AC46</f>
        <v>0</v>
      </c>
      <c r="AC93">
        <f>СВ!AD46</f>
        <v>0</v>
      </c>
      <c r="AD93">
        <f>СВ!AE46</f>
        <v>0</v>
      </c>
      <c r="AE93">
        <f>СВ!AF46</f>
        <v>0</v>
      </c>
      <c r="AF93">
        <f>СВ!AG46</f>
        <v>0</v>
      </c>
      <c r="AG93">
        <f>СВ!AH46</f>
        <v>0</v>
      </c>
      <c r="AH93">
        <f>СВ!AI46</f>
        <v>0</v>
      </c>
      <c r="AI93">
        <f>СВ!AJ46</f>
        <v>0</v>
      </c>
      <c r="AJ93">
        <f>СВ!AK46</f>
        <v>0</v>
      </c>
      <c r="AK93">
        <f>СВ!AL46</f>
        <v>0</v>
      </c>
      <c r="AL93">
        <f>СВ!AM46</f>
        <v>0</v>
      </c>
      <c r="AM93">
        <f>СВ!AN46</f>
        <v>0</v>
      </c>
      <c r="AN93">
        <f>СВ!AO46</f>
        <v>0</v>
      </c>
      <c r="AO93">
        <f>СВ!AP46</f>
        <v>0</v>
      </c>
      <c r="AP93">
        <f>СВ!AQ46</f>
        <v>0</v>
      </c>
      <c r="AQ93">
        <f>СВ!AR46</f>
        <v>0</v>
      </c>
      <c r="AR93">
        <f>СВ!AS46</f>
        <v>0</v>
      </c>
      <c r="AS93">
        <f>СВ!AT46</f>
        <v>0</v>
      </c>
      <c r="AT93">
        <f>СВ!AU46</f>
        <v>0</v>
      </c>
      <c r="AU93">
        <f>СВ!AV46</f>
        <v>0</v>
      </c>
      <c r="AV93">
        <f>СВ!AW46</f>
        <v>0</v>
      </c>
      <c r="AW93">
        <f>СВ!AX46</f>
        <v>0</v>
      </c>
      <c r="AX93">
        <f>СВ!AY46</f>
        <v>0</v>
      </c>
      <c r="AY93">
        <f>СВ!AZ46</f>
        <v>0</v>
      </c>
      <c r="AZ93">
        <f>СВ!BA46</f>
        <v>0</v>
      </c>
      <c r="BA93">
        <f>СВ!BB46</f>
        <v>0</v>
      </c>
      <c r="BB93">
        <f>СВ!BC46</f>
        <v>0</v>
      </c>
      <c r="BC93">
        <f>СВ!BD46</f>
        <v>0</v>
      </c>
      <c r="BD93">
        <f>СВ!BE46</f>
        <v>0</v>
      </c>
      <c r="BE93">
        <f>СВ!BF46</f>
        <v>0</v>
      </c>
      <c r="BF93">
        <f>СВ!BG46</f>
        <v>0</v>
      </c>
      <c r="BG93">
        <f>СВ!BH46</f>
        <v>0</v>
      </c>
      <c r="BH93">
        <f>СВ!BI46</f>
        <v>0</v>
      </c>
      <c r="BI93">
        <f>СВ!BJ46</f>
        <v>0</v>
      </c>
      <c r="BJ93">
        <f>СВ!BK46</f>
        <v>0</v>
      </c>
      <c r="BK93">
        <f>СВ!BL46</f>
        <v>0</v>
      </c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</row>
    <row r="94" spans="1:99">
      <c r="A94" s="30">
        <f>СВ!B47</f>
        <v>20</v>
      </c>
      <c r="B94" s="31">
        <f>СВ!C47</f>
        <v>0.52083333333333337</v>
      </c>
      <c r="C94" s="32">
        <f>СВ!D47</f>
        <v>0.55208333333333326</v>
      </c>
      <c r="D94" t="e">
        <f ca="1">СВ!E47</f>
        <v>#NAME?</v>
      </c>
      <c r="E94">
        <f>СВ!F47</f>
        <v>0</v>
      </c>
      <c r="F94">
        <f>СВ!G47</f>
        <v>0</v>
      </c>
      <c r="G94">
        <f>СВ!H47</f>
        <v>0</v>
      </c>
      <c r="H94" t="e">
        <f ca="1">СВ!I47</f>
        <v>#NAME?</v>
      </c>
      <c r="I94">
        <f>СВ!J47</f>
        <v>1</v>
      </c>
      <c r="J94">
        <f>СВ!K47</f>
        <v>0</v>
      </c>
      <c r="K94">
        <f>СВ!L47</f>
        <v>0</v>
      </c>
      <c r="L94">
        <f>СВ!M47</f>
        <v>0</v>
      </c>
      <c r="M94">
        <f>СВ!N47</f>
        <v>0</v>
      </c>
      <c r="N94">
        <f>СВ!O47</f>
        <v>0</v>
      </c>
      <c r="O94">
        <f>СВ!P47</f>
        <v>0</v>
      </c>
      <c r="P94">
        <f>СВ!Q47</f>
        <v>0</v>
      </c>
      <c r="Q94">
        <f>СВ!R47</f>
        <v>0</v>
      </c>
      <c r="R94">
        <f>СВ!S47</f>
        <v>0</v>
      </c>
      <c r="S94">
        <f>СВ!T47</f>
        <v>0</v>
      </c>
      <c r="T94">
        <f>СВ!U47</f>
        <v>0</v>
      </c>
      <c r="U94">
        <f>СВ!V47</f>
        <v>0</v>
      </c>
      <c r="V94">
        <f>СВ!W47</f>
        <v>0</v>
      </c>
      <c r="W94">
        <f>СВ!X47</f>
        <v>0</v>
      </c>
      <c r="X94">
        <f>СВ!Y47</f>
        <v>0</v>
      </c>
      <c r="Y94">
        <f>СВ!Z47</f>
        <v>0</v>
      </c>
      <c r="Z94">
        <f>СВ!AA47</f>
        <v>0</v>
      </c>
      <c r="AA94">
        <f>СВ!AB47</f>
        <v>0</v>
      </c>
      <c r="AB94">
        <f>СВ!AC47</f>
        <v>0</v>
      </c>
      <c r="AC94">
        <f>СВ!AD47</f>
        <v>0</v>
      </c>
      <c r="AD94">
        <f>СВ!AE47</f>
        <v>0</v>
      </c>
      <c r="AE94">
        <f>СВ!AF47</f>
        <v>0</v>
      </c>
      <c r="AF94">
        <f>СВ!AG47</f>
        <v>0</v>
      </c>
      <c r="AG94">
        <f>СВ!AH47</f>
        <v>0</v>
      </c>
      <c r="AH94">
        <f>СВ!AI47</f>
        <v>0</v>
      </c>
      <c r="AI94">
        <f>СВ!AJ47</f>
        <v>0</v>
      </c>
      <c r="AJ94">
        <f>СВ!AK47</f>
        <v>0</v>
      </c>
      <c r="AK94">
        <f>СВ!AL47</f>
        <v>0</v>
      </c>
      <c r="AL94">
        <f>СВ!AM47</f>
        <v>0</v>
      </c>
      <c r="AM94">
        <f>СВ!AN47</f>
        <v>0</v>
      </c>
      <c r="AN94">
        <f>СВ!AO47</f>
        <v>0</v>
      </c>
      <c r="AO94">
        <f>СВ!AP47</f>
        <v>0</v>
      </c>
      <c r="AP94">
        <f>СВ!AQ47</f>
        <v>0</v>
      </c>
      <c r="AQ94">
        <f>СВ!AR47</f>
        <v>0</v>
      </c>
      <c r="AR94">
        <f>СВ!AS47</f>
        <v>0</v>
      </c>
      <c r="AS94">
        <f>СВ!AT47</f>
        <v>0</v>
      </c>
      <c r="AT94">
        <f>СВ!AU47</f>
        <v>0</v>
      </c>
      <c r="AU94">
        <f>СВ!AV47</f>
        <v>0</v>
      </c>
      <c r="AV94">
        <f>СВ!AW47</f>
        <v>0</v>
      </c>
      <c r="AW94">
        <f>СВ!AX47</f>
        <v>0</v>
      </c>
      <c r="AX94">
        <f>СВ!AY47</f>
        <v>0</v>
      </c>
      <c r="AY94">
        <f>СВ!AZ47</f>
        <v>0</v>
      </c>
      <c r="AZ94">
        <f>СВ!BA47</f>
        <v>0</v>
      </c>
      <c r="BA94">
        <f>СВ!BB47</f>
        <v>0</v>
      </c>
      <c r="BB94">
        <f>СВ!BC47</f>
        <v>0</v>
      </c>
      <c r="BC94">
        <f>СВ!BD47</f>
        <v>0</v>
      </c>
      <c r="BD94">
        <f>СВ!BE47</f>
        <v>0</v>
      </c>
      <c r="BE94">
        <f>СВ!BF47</f>
        <v>0</v>
      </c>
      <c r="BF94">
        <f>СВ!BG47</f>
        <v>0</v>
      </c>
      <c r="BG94">
        <f>СВ!BH47</f>
        <v>0</v>
      </c>
      <c r="BH94">
        <f>СВ!BI47</f>
        <v>0</v>
      </c>
      <c r="BI94">
        <f>СВ!BJ47</f>
        <v>0</v>
      </c>
      <c r="BJ94">
        <f>СВ!BK47</f>
        <v>0</v>
      </c>
      <c r="BK94">
        <f>СВ!BL47</f>
        <v>0</v>
      </c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</row>
    <row r="95" spans="1:99">
      <c r="A95" s="27">
        <f>СВ!B48</f>
        <v>21</v>
      </c>
      <c r="B95" s="28">
        <f>СВ!C48</f>
        <v>0.53125</v>
      </c>
      <c r="C95" s="29">
        <f>СВ!D48</f>
        <v>0.5625</v>
      </c>
      <c r="D95" t="e">
        <f ca="1">СВ!E48</f>
        <v>#NAME?</v>
      </c>
      <c r="E95">
        <f>СВ!F48</f>
        <v>0</v>
      </c>
      <c r="F95">
        <f>СВ!G48</f>
        <v>0</v>
      </c>
      <c r="G95">
        <f>СВ!H48</f>
        <v>0</v>
      </c>
      <c r="H95" t="e">
        <f ca="1">СВ!I48</f>
        <v>#NAME?</v>
      </c>
      <c r="I95">
        <f>СВ!J48</f>
        <v>1</v>
      </c>
      <c r="J95">
        <f>СВ!K48</f>
        <v>0</v>
      </c>
      <c r="K95">
        <f>СВ!L48</f>
        <v>0</v>
      </c>
      <c r="L95">
        <f>СВ!M48</f>
        <v>0</v>
      </c>
      <c r="M95">
        <f>СВ!N48</f>
        <v>0</v>
      </c>
      <c r="N95">
        <f>СВ!O48</f>
        <v>0</v>
      </c>
      <c r="O95">
        <f>СВ!P48</f>
        <v>0</v>
      </c>
      <c r="P95">
        <f>СВ!Q48</f>
        <v>0</v>
      </c>
      <c r="Q95">
        <f>СВ!R48</f>
        <v>0</v>
      </c>
      <c r="R95">
        <f>СВ!S48</f>
        <v>0</v>
      </c>
      <c r="S95">
        <f>СВ!T48</f>
        <v>0</v>
      </c>
      <c r="T95">
        <f>СВ!U48</f>
        <v>0</v>
      </c>
      <c r="U95">
        <f>СВ!V48</f>
        <v>0</v>
      </c>
      <c r="V95">
        <f>СВ!W48</f>
        <v>0</v>
      </c>
      <c r="W95">
        <f>СВ!X48</f>
        <v>0</v>
      </c>
      <c r="X95">
        <f>СВ!Y48</f>
        <v>0</v>
      </c>
      <c r="Y95">
        <f>СВ!Z48</f>
        <v>0</v>
      </c>
      <c r="Z95">
        <f>СВ!AA48</f>
        <v>0</v>
      </c>
      <c r="AA95">
        <f>СВ!AB48</f>
        <v>0</v>
      </c>
      <c r="AB95">
        <f>СВ!AC48</f>
        <v>0</v>
      </c>
      <c r="AC95">
        <f>СВ!AD48</f>
        <v>0</v>
      </c>
      <c r="AD95">
        <f>СВ!AE48</f>
        <v>0</v>
      </c>
      <c r="AE95">
        <f>СВ!AF48</f>
        <v>0</v>
      </c>
      <c r="AF95">
        <f>СВ!AG48</f>
        <v>0</v>
      </c>
      <c r="AG95">
        <f>СВ!AH48</f>
        <v>0</v>
      </c>
      <c r="AH95">
        <f>СВ!AI48</f>
        <v>0</v>
      </c>
      <c r="AI95">
        <f>СВ!AJ48</f>
        <v>0</v>
      </c>
      <c r="AJ95">
        <f>СВ!AK48</f>
        <v>0</v>
      </c>
      <c r="AK95">
        <f>СВ!AL48</f>
        <v>0</v>
      </c>
      <c r="AL95">
        <f>СВ!AM48</f>
        <v>0</v>
      </c>
      <c r="AM95">
        <f>СВ!AN48</f>
        <v>0</v>
      </c>
      <c r="AN95">
        <f>СВ!AO48</f>
        <v>0</v>
      </c>
      <c r="AO95">
        <f>СВ!AP48</f>
        <v>0</v>
      </c>
      <c r="AP95">
        <f>СВ!AQ48</f>
        <v>0</v>
      </c>
      <c r="AQ95">
        <f>СВ!AR48</f>
        <v>0</v>
      </c>
      <c r="AR95">
        <f>СВ!AS48</f>
        <v>0</v>
      </c>
      <c r="AS95">
        <f>СВ!AT48</f>
        <v>0</v>
      </c>
      <c r="AT95">
        <f>СВ!AU48</f>
        <v>0</v>
      </c>
      <c r="AU95">
        <f>СВ!AV48</f>
        <v>0</v>
      </c>
      <c r="AV95">
        <f>СВ!AW48</f>
        <v>0</v>
      </c>
      <c r="AW95">
        <f>СВ!AX48</f>
        <v>0</v>
      </c>
      <c r="AX95">
        <f>СВ!AY48</f>
        <v>0</v>
      </c>
      <c r="AY95">
        <f>СВ!AZ48</f>
        <v>0</v>
      </c>
      <c r="AZ95">
        <f>СВ!BA48</f>
        <v>0</v>
      </c>
      <c r="BA95">
        <f>СВ!BB48</f>
        <v>0</v>
      </c>
      <c r="BB95">
        <f>СВ!BC48</f>
        <v>0</v>
      </c>
      <c r="BC95">
        <f>СВ!BD48</f>
        <v>0</v>
      </c>
      <c r="BD95">
        <f>СВ!BE48</f>
        <v>0</v>
      </c>
      <c r="BE95">
        <f>СВ!BF48</f>
        <v>0</v>
      </c>
      <c r="BF95">
        <f>СВ!BG48</f>
        <v>0</v>
      </c>
      <c r="BG95">
        <f>СВ!BH48</f>
        <v>0</v>
      </c>
      <c r="BH95">
        <f>СВ!BI48</f>
        <v>0</v>
      </c>
      <c r="BI95">
        <f>СВ!BJ48</f>
        <v>0</v>
      </c>
      <c r="BJ95">
        <f>СВ!BK48</f>
        <v>0</v>
      </c>
      <c r="BK95">
        <f>СВ!BL48</f>
        <v>0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</row>
    <row r="96" spans="1:99">
      <c r="A96" s="30">
        <f>СВ!B49</f>
        <v>22</v>
      </c>
      <c r="B96" s="31">
        <f>СВ!C49</f>
        <v>0.54166666666666663</v>
      </c>
      <c r="C96" s="32">
        <f>СВ!D49</f>
        <v>0.58333333333333326</v>
      </c>
      <c r="D96" t="e">
        <f ca="1">СВ!E49</f>
        <v>#NAME?</v>
      </c>
      <c r="E96">
        <f>СВ!F49</f>
        <v>0</v>
      </c>
      <c r="F96">
        <f>СВ!G49</f>
        <v>0</v>
      </c>
      <c r="G96">
        <f>СВ!H49</f>
        <v>0</v>
      </c>
      <c r="H96" t="e">
        <f ca="1">СВ!I49</f>
        <v>#NAME?</v>
      </c>
      <c r="I96">
        <f>СВ!J49</f>
        <v>1</v>
      </c>
      <c r="J96">
        <f>СВ!K49</f>
        <v>0</v>
      </c>
      <c r="K96">
        <f>СВ!L49</f>
        <v>0</v>
      </c>
      <c r="L96">
        <f>СВ!M49</f>
        <v>0</v>
      </c>
      <c r="M96">
        <f>СВ!N49</f>
        <v>0</v>
      </c>
      <c r="N96">
        <f>СВ!O49</f>
        <v>0</v>
      </c>
      <c r="O96">
        <f>СВ!P49</f>
        <v>0</v>
      </c>
      <c r="P96">
        <f>СВ!Q49</f>
        <v>0</v>
      </c>
      <c r="Q96">
        <f>СВ!R49</f>
        <v>0</v>
      </c>
      <c r="R96">
        <f>СВ!S49</f>
        <v>0</v>
      </c>
      <c r="S96">
        <f>СВ!T49</f>
        <v>0</v>
      </c>
      <c r="T96">
        <f>СВ!U49</f>
        <v>0</v>
      </c>
      <c r="U96">
        <f>СВ!V49</f>
        <v>0</v>
      </c>
      <c r="V96">
        <f>СВ!W49</f>
        <v>0</v>
      </c>
      <c r="W96">
        <f>СВ!X49</f>
        <v>0</v>
      </c>
      <c r="X96">
        <f>СВ!Y49</f>
        <v>0</v>
      </c>
      <c r="Y96">
        <f>СВ!Z49</f>
        <v>0</v>
      </c>
      <c r="Z96">
        <f>СВ!AA49</f>
        <v>0</v>
      </c>
      <c r="AA96">
        <f>СВ!AB49</f>
        <v>0</v>
      </c>
      <c r="AB96">
        <f>СВ!AC49</f>
        <v>0</v>
      </c>
      <c r="AC96">
        <f>СВ!AD49</f>
        <v>0</v>
      </c>
      <c r="AD96">
        <f>СВ!AE49</f>
        <v>0</v>
      </c>
      <c r="AE96">
        <f>СВ!AF49</f>
        <v>0</v>
      </c>
      <c r="AF96">
        <f>СВ!AG49</f>
        <v>0</v>
      </c>
      <c r="AG96">
        <f>СВ!AH49</f>
        <v>0</v>
      </c>
      <c r="AH96">
        <f>СВ!AI49</f>
        <v>0</v>
      </c>
      <c r="AI96">
        <f>СВ!AJ49</f>
        <v>0</v>
      </c>
      <c r="AJ96">
        <f>СВ!AK49</f>
        <v>0</v>
      </c>
      <c r="AK96">
        <f>СВ!AL49</f>
        <v>0</v>
      </c>
      <c r="AL96">
        <f>СВ!AM49</f>
        <v>0</v>
      </c>
      <c r="AM96">
        <f>СВ!AN49</f>
        <v>0</v>
      </c>
      <c r="AN96">
        <f>СВ!AO49</f>
        <v>0</v>
      </c>
      <c r="AO96">
        <f>СВ!AP49</f>
        <v>0</v>
      </c>
      <c r="AP96">
        <f>СВ!AQ49</f>
        <v>0</v>
      </c>
      <c r="AQ96">
        <f>СВ!AR49</f>
        <v>0</v>
      </c>
      <c r="AR96">
        <f>СВ!AS49</f>
        <v>0</v>
      </c>
      <c r="AS96">
        <f>СВ!AT49</f>
        <v>0</v>
      </c>
      <c r="AT96">
        <f>СВ!AU49</f>
        <v>0</v>
      </c>
      <c r="AU96">
        <f>СВ!AV49</f>
        <v>0</v>
      </c>
      <c r="AV96">
        <f>СВ!AW49</f>
        <v>0</v>
      </c>
      <c r="AW96">
        <f>СВ!AX49</f>
        <v>0</v>
      </c>
      <c r="AX96">
        <f>СВ!AY49</f>
        <v>0</v>
      </c>
      <c r="AY96">
        <f>СВ!AZ49</f>
        <v>0</v>
      </c>
      <c r="AZ96">
        <f>СВ!BA49</f>
        <v>0</v>
      </c>
      <c r="BA96">
        <f>СВ!BB49</f>
        <v>0</v>
      </c>
      <c r="BB96">
        <f>СВ!BC49</f>
        <v>0</v>
      </c>
      <c r="BC96">
        <f>СВ!BD49</f>
        <v>0</v>
      </c>
      <c r="BD96">
        <f>СВ!BE49</f>
        <v>0</v>
      </c>
      <c r="BE96">
        <f>СВ!BF49</f>
        <v>0</v>
      </c>
      <c r="BF96">
        <f>СВ!BG49</f>
        <v>0</v>
      </c>
      <c r="BG96">
        <f>СВ!BH49</f>
        <v>0</v>
      </c>
      <c r="BH96">
        <f>СВ!BI49</f>
        <v>0</v>
      </c>
      <c r="BI96">
        <f>СВ!BJ49</f>
        <v>0</v>
      </c>
      <c r="BJ96">
        <f>СВ!BK49</f>
        <v>0</v>
      </c>
      <c r="BK96">
        <f>СВ!BL49</f>
        <v>0</v>
      </c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</row>
    <row r="97" spans="1:99">
      <c r="A97" s="27">
        <f>СВ!B50</f>
        <v>23</v>
      </c>
      <c r="B97" s="28">
        <f>СВ!C50</f>
        <v>0.55208333333333326</v>
      </c>
      <c r="C97" s="29">
        <f>СВ!D50</f>
        <v>0.58333333333333326</v>
      </c>
      <c r="D97" t="e">
        <f ca="1">СВ!E50</f>
        <v>#NAME?</v>
      </c>
      <c r="E97">
        <f>СВ!F50</f>
        <v>0</v>
      </c>
      <c r="F97">
        <f>СВ!G50</f>
        <v>0</v>
      </c>
      <c r="G97">
        <f>СВ!H50</f>
        <v>0</v>
      </c>
      <c r="H97" t="e">
        <f ca="1">СВ!I50</f>
        <v>#NAME?</v>
      </c>
      <c r="I97">
        <f>СВ!J50</f>
        <v>1</v>
      </c>
      <c r="J97">
        <f>СВ!K50</f>
        <v>0</v>
      </c>
      <c r="K97">
        <f>СВ!L50</f>
        <v>0</v>
      </c>
      <c r="L97">
        <f>СВ!M50</f>
        <v>0</v>
      </c>
      <c r="M97">
        <f>СВ!N50</f>
        <v>0</v>
      </c>
      <c r="N97">
        <f>СВ!O50</f>
        <v>0</v>
      </c>
      <c r="O97">
        <f>СВ!P50</f>
        <v>0</v>
      </c>
      <c r="P97">
        <f>СВ!Q50</f>
        <v>0</v>
      </c>
      <c r="Q97">
        <f>СВ!R50</f>
        <v>0</v>
      </c>
      <c r="R97">
        <f>СВ!S50</f>
        <v>0</v>
      </c>
      <c r="S97">
        <f>СВ!T50</f>
        <v>0</v>
      </c>
      <c r="T97">
        <f>СВ!U50</f>
        <v>0</v>
      </c>
      <c r="U97">
        <f>СВ!V50</f>
        <v>0</v>
      </c>
      <c r="V97">
        <f>СВ!W50</f>
        <v>0</v>
      </c>
      <c r="W97">
        <f>СВ!X50</f>
        <v>0</v>
      </c>
      <c r="X97">
        <f>СВ!Y50</f>
        <v>0</v>
      </c>
      <c r="Y97">
        <f>СВ!Z50</f>
        <v>0</v>
      </c>
      <c r="Z97">
        <f>СВ!AA50</f>
        <v>0</v>
      </c>
      <c r="AA97">
        <f>СВ!AB50</f>
        <v>0</v>
      </c>
      <c r="AB97">
        <f>СВ!AC50</f>
        <v>0</v>
      </c>
      <c r="AC97">
        <f>СВ!AD50</f>
        <v>0</v>
      </c>
      <c r="AD97">
        <f>СВ!AE50</f>
        <v>0</v>
      </c>
      <c r="AE97">
        <f>СВ!AF50</f>
        <v>0</v>
      </c>
      <c r="AF97">
        <f>СВ!AG50</f>
        <v>0</v>
      </c>
      <c r="AG97">
        <f>СВ!AH50</f>
        <v>0</v>
      </c>
      <c r="AH97">
        <f>СВ!AI50</f>
        <v>0</v>
      </c>
      <c r="AI97">
        <f>СВ!AJ50</f>
        <v>0</v>
      </c>
      <c r="AJ97">
        <f>СВ!AK50</f>
        <v>0</v>
      </c>
      <c r="AK97">
        <f>СВ!AL50</f>
        <v>0</v>
      </c>
      <c r="AL97">
        <f>СВ!AM50</f>
        <v>0</v>
      </c>
      <c r="AM97">
        <f>СВ!AN50</f>
        <v>0</v>
      </c>
      <c r="AN97">
        <f>СВ!AO50</f>
        <v>0</v>
      </c>
      <c r="AO97">
        <f>СВ!AP50</f>
        <v>0</v>
      </c>
      <c r="AP97">
        <f>СВ!AQ50</f>
        <v>0</v>
      </c>
      <c r="AQ97">
        <f>СВ!AR50</f>
        <v>0</v>
      </c>
      <c r="AR97">
        <f>СВ!AS50</f>
        <v>0</v>
      </c>
      <c r="AS97">
        <f>СВ!AT50</f>
        <v>0</v>
      </c>
      <c r="AT97">
        <f>СВ!AU50</f>
        <v>0</v>
      </c>
      <c r="AU97">
        <f>СВ!AV50</f>
        <v>0</v>
      </c>
      <c r="AV97">
        <f>СВ!AW50</f>
        <v>0</v>
      </c>
      <c r="AW97">
        <f>СВ!AX50</f>
        <v>0</v>
      </c>
      <c r="AX97">
        <f>СВ!AY50</f>
        <v>0</v>
      </c>
      <c r="AY97">
        <f>СВ!AZ50</f>
        <v>0</v>
      </c>
      <c r="AZ97">
        <f>СВ!BA50</f>
        <v>0</v>
      </c>
      <c r="BA97">
        <f>СВ!BB50</f>
        <v>0</v>
      </c>
      <c r="BB97">
        <f>СВ!BC50</f>
        <v>0</v>
      </c>
      <c r="BC97">
        <f>СВ!BD50</f>
        <v>0</v>
      </c>
      <c r="BD97">
        <f>СВ!BE50</f>
        <v>0</v>
      </c>
      <c r="BE97">
        <f>СВ!BF50</f>
        <v>0</v>
      </c>
      <c r="BF97">
        <f>СВ!BG50</f>
        <v>0</v>
      </c>
      <c r="BG97">
        <f>СВ!BH50</f>
        <v>0</v>
      </c>
      <c r="BH97">
        <f>СВ!BI50</f>
        <v>0</v>
      </c>
      <c r="BI97">
        <f>СВ!BJ50</f>
        <v>0</v>
      </c>
      <c r="BJ97">
        <f>СВ!BK50</f>
        <v>0</v>
      </c>
      <c r="BK97">
        <f>СВ!BL50</f>
        <v>0</v>
      </c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</row>
    <row r="98" spans="1:99">
      <c r="A98" s="30">
        <f>СВ!B51</f>
        <v>24</v>
      </c>
      <c r="B98" s="31">
        <f>СВ!C51</f>
        <v>0.5625</v>
      </c>
      <c r="C98" s="32">
        <f>СВ!D51</f>
        <v>0.59374999999999989</v>
      </c>
      <c r="D98" t="e">
        <f ca="1">СВ!E51</f>
        <v>#NAME?</v>
      </c>
      <c r="E98">
        <f>СВ!F51</f>
        <v>0</v>
      </c>
      <c r="F98">
        <f>СВ!G51</f>
        <v>0</v>
      </c>
      <c r="G98">
        <f>СВ!H51</f>
        <v>0</v>
      </c>
      <c r="H98" t="e">
        <f ca="1">СВ!I51</f>
        <v>#NAME?</v>
      </c>
      <c r="I98">
        <f>СВ!J51</f>
        <v>1</v>
      </c>
      <c r="J98">
        <f>СВ!K51</f>
        <v>0</v>
      </c>
      <c r="K98">
        <f>СВ!L51</f>
        <v>0</v>
      </c>
      <c r="L98">
        <f>СВ!M51</f>
        <v>0</v>
      </c>
      <c r="M98">
        <f>СВ!N51</f>
        <v>0</v>
      </c>
      <c r="N98">
        <f>СВ!O51</f>
        <v>0</v>
      </c>
      <c r="O98">
        <f>СВ!P51</f>
        <v>0</v>
      </c>
      <c r="P98">
        <f>СВ!Q51</f>
        <v>0</v>
      </c>
      <c r="Q98">
        <f>СВ!R51</f>
        <v>0</v>
      </c>
      <c r="R98">
        <f>СВ!S51</f>
        <v>0</v>
      </c>
      <c r="S98">
        <f>СВ!T51</f>
        <v>0</v>
      </c>
      <c r="T98">
        <f>СВ!U51</f>
        <v>0</v>
      </c>
      <c r="U98">
        <f>СВ!V51</f>
        <v>0</v>
      </c>
      <c r="V98">
        <f>СВ!W51</f>
        <v>0</v>
      </c>
      <c r="W98">
        <f>СВ!X51</f>
        <v>0</v>
      </c>
      <c r="X98">
        <f>СВ!Y51</f>
        <v>0</v>
      </c>
      <c r="Y98">
        <f>СВ!Z51</f>
        <v>0</v>
      </c>
      <c r="Z98">
        <f>СВ!AA51</f>
        <v>0</v>
      </c>
      <c r="AA98">
        <f>СВ!AB51</f>
        <v>0</v>
      </c>
      <c r="AB98">
        <f>СВ!AC51</f>
        <v>0</v>
      </c>
      <c r="AC98">
        <f>СВ!AD51</f>
        <v>0</v>
      </c>
      <c r="AD98">
        <f>СВ!AE51</f>
        <v>0</v>
      </c>
      <c r="AE98">
        <f>СВ!AF51</f>
        <v>0</v>
      </c>
      <c r="AF98">
        <f>СВ!AG51</f>
        <v>0</v>
      </c>
      <c r="AG98">
        <f>СВ!AH51</f>
        <v>0</v>
      </c>
      <c r="AH98">
        <f>СВ!AI51</f>
        <v>0</v>
      </c>
      <c r="AI98">
        <f>СВ!AJ51</f>
        <v>0</v>
      </c>
      <c r="AJ98">
        <f>СВ!AK51</f>
        <v>0</v>
      </c>
      <c r="AK98">
        <f>СВ!AL51</f>
        <v>0</v>
      </c>
      <c r="AL98">
        <f>СВ!AM51</f>
        <v>0</v>
      </c>
      <c r="AM98">
        <f>СВ!AN51</f>
        <v>0</v>
      </c>
      <c r="AN98">
        <f>СВ!AO51</f>
        <v>0</v>
      </c>
      <c r="AO98">
        <f>СВ!AP51</f>
        <v>0</v>
      </c>
      <c r="AP98">
        <f>СВ!AQ51</f>
        <v>0</v>
      </c>
      <c r="AQ98">
        <f>СВ!AR51</f>
        <v>0</v>
      </c>
      <c r="AR98">
        <f>СВ!AS51</f>
        <v>0</v>
      </c>
      <c r="AS98">
        <f>СВ!AT51</f>
        <v>0</v>
      </c>
      <c r="AT98">
        <f>СВ!AU51</f>
        <v>0</v>
      </c>
      <c r="AU98">
        <f>СВ!AV51</f>
        <v>0</v>
      </c>
      <c r="AV98">
        <f>СВ!AW51</f>
        <v>0</v>
      </c>
      <c r="AW98">
        <f>СВ!AX51</f>
        <v>0</v>
      </c>
      <c r="AX98">
        <f>СВ!AY51</f>
        <v>0</v>
      </c>
      <c r="AY98">
        <f>СВ!AZ51</f>
        <v>0</v>
      </c>
      <c r="AZ98">
        <f>СВ!BA51</f>
        <v>0</v>
      </c>
      <c r="BA98">
        <f>СВ!BB51</f>
        <v>0</v>
      </c>
      <c r="BB98">
        <f>СВ!BC51</f>
        <v>0</v>
      </c>
      <c r="BC98">
        <f>СВ!BD51</f>
        <v>0</v>
      </c>
      <c r="BD98">
        <f>СВ!BE51</f>
        <v>0</v>
      </c>
      <c r="BE98">
        <f>СВ!BF51</f>
        <v>0</v>
      </c>
      <c r="BF98">
        <f>СВ!BG51</f>
        <v>0</v>
      </c>
      <c r="BG98">
        <f>СВ!BH51</f>
        <v>0</v>
      </c>
      <c r="BH98">
        <f>СВ!BI51</f>
        <v>0</v>
      </c>
      <c r="BI98">
        <f>СВ!BJ51</f>
        <v>0</v>
      </c>
      <c r="BJ98">
        <f>СВ!BK51</f>
        <v>0</v>
      </c>
      <c r="BK98">
        <f>СВ!BL51</f>
        <v>0</v>
      </c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</row>
    <row r="99" spans="1:99">
      <c r="A99" s="27">
        <f>СВ!B52</f>
        <v>25</v>
      </c>
      <c r="B99" s="28">
        <f>СВ!C52</f>
        <v>0.57291666666666663</v>
      </c>
      <c r="C99" s="29">
        <f>СВ!D52</f>
        <v>0.60416666666666663</v>
      </c>
      <c r="D99" t="e">
        <f ca="1">СВ!E52</f>
        <v>#NAME?</v>
      </c>
      <c r="E99">
        <f>СВ!F52</f>
        <v>0</v>
      </c>
      <c r="F99">
        <f>СВ!G52</f>
        <v>0</v>
      </c>
      <c r="G99">
        <f>СВ!H52</f>
        <v>0</v>
      </c>
      <c r="H99" t="e">
        <f ca="1">СВ!I52</f>
        <v>#NAME?</v>
      </c>
      <c r="I99">
        <f>СВ!J52</f>
        <v>1</v>
      </c>
      <c r="J99">
        <f>СВ!K52</f>
        <v>0</v>
      </c>
      <c r="K99">
        <f>СВ!L52</f>
        <v>0</v>
      </c>
      <c r="L99">
        <f>СВ!M52</f>
        <v>0</v>
      </c>
      <c r="M99">
        <f>СВ!N52</f>
        <v>0</v>
      </c>
      <c r="N99">
        <f>СВ!O52</f>
        <v>0</v>
      </c>
      <c r="O99">
        <f>СВ!P52</f>
        <v>0</v>
      </c>
      <c r="P99">
        <f>СВ!Q52</f>
        <v>0</v>
      </c>
      <c r="Q99">
        <f>СВ!R52</f>
        <v>0</v>
      </c>
      <c r="R99">
        <f>СВ!S52</f>
        <v>0</v>
      </c>
      <c r="S99">
        <f>СВ!T52</f>
        <v>0</v>
      </c>
      <c r="T99">
        <f>СВ!U52</f>
        <v>0</v>
      </c>
      <c r="U99">
        <f>СВ!V52</f>
        <v>0</v>
      </c>
      <c r="V99">
        <f>СВ!W52</f>
        <v>0</v>
      </c>
      <c r="W99">
        <f>СВ!X52</f>
        <v>0</v>
      </c>
      <c r="X99">
        <f>СВ!Y52</f>
        <v>0</v>
      </c>
      <c r="Y99">
        <f>СВ!Z52</f>
        <v>0</v>
      </c>
      <c r="Z99">
        <f>СВ!AA52</f>
        <v>0</v>
      </c>
      <c r="AA99">
        <f>СВ!AB52</f>
        <v>0</v>
      </c>
      <c r="AB99">
        <f>СВ!AC52</f>
        <v>0</v>
      </c>
      <c r="AC99">
        <f>СВ!AD52</f>
        <v>0</v>
      </c>
      <c r="AD99">
        <f>СВ!AE52</f>
        <v>0</v>
      </c>
      <c r="AE99">
        <f>СВ!AF52</f>
        <v>0</v>
      </c>
      <c r="AF99">
        <f>СВ!AG52</f>
        <v>0</v>
      </c>
      <c r="AG99">
        <f>СВ!AH52</f>
        <v>0</v>
      </c>
      <c r="AH99">
        <f>СВ!AI52</f>
        <v>0</v>
      </c>
      <c r="AI99">
        <f>СВ!AJ52</f>
        <v>0</v>
      </c>
      <c r="AJ99">
        <f>СВ!AK52</f>
        <v>0</v>
      </c>
      <c r="AK99">
        <f>СВ!AL52</f>
        <v>0</v>
      </c>
      <c r="AL99">
        <f>СВ!AM52</f>
        <v>0</v>
      </c>
      <c r="AM99">
        <f>СВ!AN52</f>
        <v>0</v>
      </c>
      <c r="AN99">
        <f>СВ!AO52</f>
        <v>0</v>
      </c>
      <c r="AO99">
        <f>СВ!AP52</f>
        <v>0</v>
      </c>
      <c r="AP99">
        <f>СВ!AQ52</f>
        <v>0</v>
      </c>
      <c r="AQ99">
        <f>СВ!AR52</f>
        <v>0</v>
      </c>
      <c r="AR99">
        <f>СВ!AS52</f>
        <v>0</v>
      </c>
      <c r="AS99">
        <f>СВ!AT52</f>
        <v>0</v>
      </c>
      <c r="AT99">
        <f>СВ!AU52</f>
        <v>0</v>
      </c>
      <c r="AU99">
        <f>СВ!AV52</f>
        <v>0</v>
      </c>
      <c r="AV99">
        <f>СВ!AW52</f>
        <v>0</v>
      </c>
      <c r="AW99">
        <f>СВ!AX52</f>
        <v>0</v>
      </c>
      <c r="AX99">
        <f>СВ!AY52</f>
        <v>0</v>
      </c>
      <c r="AY99">
        <f>СВ!AZ52</f>
        <v>0</v>
      </c>
      <c r="AZ99">
        <f>СВ!BA52</f>
        <v>0</v>
      </c>
      <c r="BA99">
        <f>СВ!BB52</f>
        <v>0</v>
      </c>
      <c r="BB99">
        <f>СВ!BC52</f>
        <v>0</v>
      </c>
      <c r="BC99">
        <f>СВ!BD52</f>
        <v>0</v>
      </c>
      <c r="BD99">
        <f>СВ!BE52</f>
        <v>0</v>
      </c>
      <c r="BE99">
        <f>СВ!BF52</f>
        <v>0</v>
      </c>
      <c r="BF99">
        <f>СВ!BG52</f>
        <v>0</v>
      </c>
      <c r="BG99">
        <f>СВ!BH52</f>
        <v>0</v>
      </c>
      <c r="BH99">
        <f>СВ!BI52</f>
        <v>0</v>
      </c>
      <c r="BI99">
        <f>СВ!BJ52</f>
        <v>0</v>
      </c>
      <c r="BJ99">
        <f>СВ!BK52</f>
        <v>0</v>
      </c>
      <c r="BK99">
        <f>СВ!BL52</f>
        <v>0</v>
      </c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</row>
    <row r="100" spans="1:99">
      <c r="A100" s="30">
        <f>СВ!B53</f>
        <v>26</v>
      </c>
      <c r="B100" s="31">
        <f>СВ!C53</f>
        <v>0.58333333333333326</v>
      </c>
      <c r="C100" s="32">
        <f>СВ!D53</f>
        <v>0.62499999999999989</v>
      </c>
      <c r="D100" t="e">
        <f ca="1">СВ!E53</f>
        <v>#NAME?</v>
      </c>
      <c r="E100">
        <f>СВ!F53</f>
        <v>1</v>
      </c>
      <c r="F100">
        <f>СВ!G53</f>
        <v>0</v>
      </c>
      <c r="G100">
        <f>СВ!H53</f>
        <v>0</v>
      </c>
      <c r="H100" t="e">
        <f ca="1">СВ!I53</f>
        <v>#NAME?</v>
      </c>
      <c r="I100">
        <f>СВ!J53</f>
        <v>1</v>
      </c>
      <c r="J100">
        <f>СВ!K53</f>
        <v>0</v>
      </c>
      <c r="K100">
        <f>СВ!L53</f>
        <v>0</v>
      </c>
      <c r="L100">
        <f>СВ!M53</f>
        <v>0</v>
      </c>
      <c r="M100">
        <f>СВ!N53</f>
        <v>0</v>
      </c>
      <c r="N100">
        <f>СВ!O53</f>
        <v>0</v>
      </c>
      <c r="O100">
        <f>СВ!P53</f>
        <v>0</v>
      </c>
      <c r="P100">
        <f>СВ!Q53</f>
        <v>0</v>
      </c>
      <c r="Q100">
        <f>СВ!R53</f>
        <v>0</v>
      </c>
      <c r="R100">
        <f>СВ!S53</f>
        <v>0</v>
      </c>
      <c r="S100">
        <f>СВ!T53</f>
        <v>0</v>
      </c>
      <c r="T100">
        <f>СВ!U53</f>
        <v>0</v>
      </c>
      <c r="U100">
        <f>СВ!V53</f>
        <v>0</v>
      </c>
      <c r="V100">
        <f>СВ!W53</f>
        <v>0</v>
      </c>
      <c r="W100">
        <f>СВ!X53</f>
        <v>0</v>
      </c>
      <c r="X100">
        <f>СВ!Y53</f>
        <v>0</v>
      </c>
      <c r="Y100">
        <f>СВ!Z53</f>
        <v>0</v>
      </c>
      <c r="Z100">
        <f>СВ!AA53</f>
        <v>0</v>
      </c>
      <c r="AA100">
        <f>СВ!AB53</f>
        <v>0</v>
      </c>
      <c r="AB100">
        <f>СВ!AC53</f>
        <v>0</v>
      </c>
      <c r="AC100">
        <f>СВ!AD53</f>
        <v>0</v>
      </c>
      <c r="AD100">
        <f>СВ!AE53</f>
        <v>0</v>
      </c>
      <c r="AE100">
        <f>СВ!AF53</f>
        <v>0</v>
      </c>
      <c r="AF100">
        <f>СВ!AG53</f>
        <v>0</v>
      </c>
      <c r="AG100">
        <f>СВ!AH53</f>
        <v>0</v>
      </c>
      <c r="AH100">
        <f>СВ!AI53</f>
        <v>0</v>
      </c>
      <c r="AI100">
        <f>СВ!AJ53</f>
        <v>0</v>
      </c>
      <c r="AJ100">
        <f>СВ!AK53</f>
        <v>0</v>
      </c>
      <c r="AK100">
        <f>СВ!AL53</f>
        <v>0</v>
      </c>
      <c r="AL100">
        <f>СВ!AM53</f>
        <v>0</v>
      </c>
      <c r="AM100">
        <f>СВ!AN53</f>
        <v>0</v>
      </c>
      <c r="AN100">
        <f>СВ!AO53</f>
        <v>0</v>
      </c>
      <c r="AO100">
        <f>СВ!AP53</f>
        <v>0</v>
      </c>
      <c r="AP100">
        <f>СВ!AQ53</f>
        <v>0</v>
      </c>
      <c r="AQ100">
        <f>СВ!AR53</f>
        <v>0</v>
      </c>
      <c r="AR100">
        <f>СВ!AS53</f>
        <v>0</v>
      </c>
      <c r="AS100">
        <f>СВ!AT53</f>
        <v>0</v>
      </c>
      <c r="AT100">
        <f>СВ!AU53</f>
        <v>0</v>
      </c>
      <c r="AU100">
        <f>СВ!AV53</f>
        <v>0</v>
      </c>
      <c r="AV100">
        <f>СВ!AW53</f>
        <v>0</v>
      </c>
      <c r="AW100">
        <f>СВ!AX53</f>
        <v>0</v>
      </c>
      <c r="AX100">
        <f>СВ!AY53</f>
        <v>0</v>
      </c>
      <c r="AY100">
        <f>СВ!AZ53</f>
        <v>0</v>
      </c>
      <c r="AZ100">
        <f>СВ!BA53</f>
        <v>0</v>
      </c>
      <c r="BA100">
        <f>СВ!BB53</f>
        <v>0</v>
      </c>
      <c r="BB100">
        <f>СВ!BC53</f>
        <v>0</v>
      </c>
      <c r="BC100">
        <f>СВ!BD53</f>
        <v>0</v>
      </c>
      <c r="BD100">
        <f>СВ!BE53</f>
        <v>0</v>
      </c>
      <c r="BE100">
        <f>СВ!BF53</f>
        <v>0</v>
      </c>
      <c r="BF100">
        <f>СВ!BG53</f>
        <v>0</v>
      </c>
      <c r="BG100">
        <f>СВ!BH53</f>
        <v>0</v>
      </c>
      <c r="BH100">
        <f>СВ!BI53</f>
        <v>0</v>
      </c>
      <c r="BI100">
        <f>СВ!BJ53</f>
        <v>0</v>
      </c>
      <c r="BJ100">
        <f>СВ!BK53</f>
        <v>0</v>
      </c>
      <c r="BK100">
        <f>СВ!BL53</f>
        <v>0</v>
      </c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</row>
    <row r="101" spans="1:99">
      <c r="A101" s="27">
        <f>СВ!B54</f>
        <v>27</v>
      </c>
      <c r="B101" s="28">
        <f>СВ!C54</f>
        <v>0.59374999999999989</v>
      </c>
      <c r="C101" s="29">
        <f>СВ!D54</f>
        <v>0.62499999999999989</v>
      </c>
      <c r="D101" t="e">
        <f ca="1">СВ!E54</f>
        <v>#NAME?</v>
      </c>
      <c r="E101">
        <f>СВ!F54</f>
        <v>1</v>
      </c>
      <c r="F101">
        <f>СВ!G54</f>
        <v>0</v>
      </c>
      <c r="G101">
        <f>СВ!H54</f>
        <v>0</v>
      </c>
      <c r="H101" t="e">
        <f ca="1">СВ!I54</f>
        <v>#NAME?</v>
      </c>
      <c r="I101">
        <f>СВ!J54</f>
        <v>1</v>
      </c>
      <c r="J101">
        <f>СВ!K54</f>
        <v>0</v>
      </c>
      <c r="K101">
        <f>СВ!L54</f>
        <v>0</v>
      </c>
      <c r="L101">
        <f>СВ!M54</f>
        <v>0</v>
      </c>
      <c r="M101">
        <f>СВ!N54</f>
        <v>0</v>
      </c>
      <c r="N101">
        <f>СВ!O54</f>
        <v>0</v>
      </c>
      <c r="O101">
        <f>СВ!P54</f>
        <v>0</v>
      </c>
      <c r="P101">
        <f>СВ!Q54</f>
        <v>0</v>
      </c>
      <c r="Q101">
        <f>СВ!R54</f>
        <v>0</v>
      </c>
      <c r="R101">
        <f>СВ!S54</f>
        <v>0</v>
      </c>
      <c r="S101">
        <f>СВ!T54</f>
        <v>0</v>
      </c>
      <c r="T101">
        <f>СВ!U54</f>
        <v>0</v>
      </c>
      <c r="U101">
        <f>СВ!V54</f>
        <v>0</v>
      </c>
      <c r="V101">
        <f>СВ!W54</f>
        <v>0</v>
      </c>
      <c r="W101">
        <f>СВ!X54</f>
        <v>0</v>
      </c>
      <c r="X101">
        <f>СВ!Y54</f>
        <v>0</v>
      </c>
      <c r="Y101">
        <f>СВ!Z54</f>
        <v>0</v>
      </c>
      <c r="Z101">
        <f>СВ!AA54</f>
        <v>0</v>
      </c>
      <c r="AA101">
        <f>СВ!AB54</f>
        <v>0</v>
      </c>
      <c r="AB101">
        <f>СВ!AC54</f>
        <v>0</v>
      </c>
      <c r="AC101">
        <f>СВ!AD54</f>
        <v>0</v>
      </c>
      <c r="AD101">
        <f>СВ!AE54</f>
        <v>0</v>
      </c>
      <c r="AE101">
        <f>СВ!AF54</f>
        <v>0</v>
      </c>
      <c r="AF101">
        <f>СВ!AG54</f>
        <v>0</v>
      </c>
      <c r="AG101">
        <f>СВ!AH54</f>
        <v>0</v>
      </c>
      <c r="AH101">
        <f>СВ!AI54</f>
        <v>0</v>
      </c>
      <c r="AI101">
        <f>СВ!AJ54</f>
        <v>0</v>
      </c>
      <c r="AJ101">
        <f>СВ!AK54</f>
        <v>0</v>
      </c>
      <c r="AK101">
        <f>СВ!AL54</f>
        <v>0</v>
      </c>
      <c r="AL101">
        <f>СВ!AM54</f>
        <v>0</v>
      </c>
      <c r="AM101">
        <f>СВ!AN54</f>
        <v>0</v>
      </c>
      <c r="AN101">
        <f>СВ!AO54</f>
        <v>0</v>
      </c>
      <c r="AO101">
        <f>СВ!AP54</f>
        <v>0</v>
      </c>
      <c r="AP101">
        <f>СВ!AQ54</f>
        <v>0</v>
      </c>
      <c r="AQ101">
        <f>СВ!AR54</f>
        <v>0</v>
      </c>
      <c r="AR101">
        <f>СВ!AS54</f>
        <v>0</v>
      </c>
      <c r="AS101">
        <f>СВ!AT54</f>
        <v>0</v>
      </c>
      <c r="AT101">
        <f>СВ!AU54</f>
        <v>0</v>
      </c>
      <c r="AU101">
        <f>СВ!AV54</f>
        <v>0</v>
      </c>
      <c r="AV101">
        <f>СВ!AW54</f>
        <v>0</v>
      </c>
      <c r="AW101">
        <f>СВ!AX54</f>
        <v>0</v>
      </c>
      <c r="AX101">
        <f>СВ!AY54</f>
        <v>0</v>
      </c>
      <c r="AY101">
        <f>СВ!AZ54</f>
        <v>0</v>
      </c>
      <c r="AZ101">
        <f>СВ!BA54</f>
        <v>0</v>
      </c>
      <c r="BA101">
        <f>СВ!BB54</f>
        <v>0</v>
      </c>
      <c r="BB101">
        <f>СВ!BC54</f>
        <v>0</v>
      </c>
      <c r="BC101">
        <f>СВ!BD54</f>
        <v>0</v>
      </c>
      <c r="BD101">
        <f>СВ!BE54</f>
        <v>0</v>
      </c>
      <c r="BE101">
        <f>СВ!BF54</f>
        <v>0</v>
      </c>
      <c r="BF101">
        <f>СВ!BG54</f>
        <v>0</v>
      </c>
      <c r="BG101">
        <f>СВ!BH54</f>
        <v>0</v>
      </c>
      <c r="BH101">
        <f>СВ!BI54</f>
        <v>0</v>
      </c>
      <c r="BI101">
        <f>СВ!BJ54</f>
        <v>0</v>
      </c>
      <c r="BJ101">
        <f>СВ!BK54</f>
        <v>0</v>
      </c>
      <c r="BK101">
        <f>СВ!BL54</f>
        <v>0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</row>
    <row r="102" spans="1:99">
      <c r="A102" s="30">
        <f>СВ!B55</f>
        <v>28</v>
      </c>
      <c r="B102" s="31">
        <f>СВ!C55</f>
        <v>0.60416666666666663</v>
      </c>
      <c r="C102" s="32">
        <f>СВ!D55</f>
        <v>0.63541666666666652</v>
      </c>
      <c r="D102" t="e">
        <f ca="1">СВ!E55</f>
        <v>#NAME?</v>
      </c>
      <c r="E102">
        <f>СВ!F55</f>
        <v>1</v>
      </c>
      <c r="F102">
        <f>СВ!G55</f>
        <v>0</v>
      </c>
      <c r="G102">
        <f>СВ!H55</f>
        <v>0</v>
      </c>
      <c r="H102" t="e">
        <f ca="1">СВ!I55</f>
        <v>#NAME?</v>
      </c>
      <c r="I102">
        <f>СВ!J55</f>
        <v>1</v>
      </c>
      <c r="J102">
        <f>СВ!K55</f>
        <v>0</v>
      </c>
      <c r="K102">
        <f>СВ!L55</f>
        <v>0</v>
      </c>
      <c r="L102">
        <f>СВ!M55</f>
        <v>0</v>
      </c>
      <c r="M102">
        <f>СВ!N55</f>
        <v>0</v>
      </c>
      <c r="N102">
        <f>СВ!O55</f>
        <v>0</v>
      </c>
      <c r="O102">
        <f>СВ!P55</f>
        <v>0</v>
      </c>
      <c r="P102">
        <f>СВ!Q55</f>
        <v>0</v>
      </c>
      <c r="Q102">
        <f>СВ!R55</f>
        <v>0</v>
      </c>
      <c r="R102">
        <f>СВ!S55</f>
        <v>0</v>
      </c>
      <c r="S102">
        <f>СВ!T55</f>
        <v>0</v>
      </c>
      <c r="T102">
        <f>СВ!U55</f>
        <v>0</v>
      </c>
      <c r="U102">
        <f>СВ!V55</f>
        <v>0</v>
      </c>
      <c r="V102">
        <f>СВ!W55</f>
        <v>0</v>
      </c>
      <c r="W102">
        <f>СВ!X55</f>
        <v>0</v>
      </c>
      <c r="X102">
        <f>СВ!Y55</f>
        <v>0</v>
      </c>
      <c r="Y102">
        <f>СВ!Z55</f>
        <v>0</v>
      </c>
      <c r="Z102">
        <f>СВ!AA55</f>
        <v>0</v>
      </c>
      <c r="AA102">
        <f>СВ!AB55</f>
        <v>0</v>
      </c>
      <c r="AB102">
        <f>СВ!AC55</f>
        <v>0</v>
      </c>
      <c r="AC102">
        <f>СВ!AD55</f>
        <v>0</v>
      </c>
      <c r="AD102">
        <f>СВ!AE55</f>
        <v>0</v>
      </c>
      <c r="AE102">
        <f>СВ!AF55</f>
        <v>0</v>
      </c>
      <c r="AF102">
        <f>СВ!AG55</f>
        <v>0</v>
      </c>
      <c r="AG102">
        <f>СВ!AH55</f>
        <v>0</v>
      </c>
      <c r="AH102">
        <f>СВ!AI55</f>
        <v>0</v>
      </c>
      <c r="AI102">
        <f>СВ!AJ55</f>
        <v>0</v>
      </c>
      <c r="AJ102">
        <f>СВ!AK55</f>
        <v>0</v>
      </c>
      <c r="AK102">
        <f>СВ!AL55</f>
        <v>0</v>
      </c>
      <c r="AL102">
        <f>СВ!AM55</f>
        <v>0</v>
      </c>
      <c r="AM102">
        <f>СВ!AN55</f>
        <v>0</v>
      </c>
      <c r="AN102">
        <f>СВ!AO55</f>
        <v>0</v>
      </c>
      <c r="AO102">
        <f>СВ!AP55</f>
        <v>0</v>
      </c>
      <c r="AP102">
        <f>СВ!AQ55</f>
        <v>0</v>
      </c>
      <c r="AQ102">
        <f>СВ!AR55</f>
        <v>0</v>
      </c>
      <c r="AR102">
        <f>СВ!AS55</f>
        <v>0</v>
      </c>
      <c r="AS102">
        <f>СВ!AT55</f>
        <v>0</v>
      </c>
      <c r="AT102">
        <f>СВ!AU55</f>
        <v>0</v>
      </c>
      <c r="AU102">
        <f>СВ!AV55</f>
        <v>0</v>
      </c>
      <c r="AV102">
        <f>СВ!AW55</f>
        <v>0</v>
      </c>
      <c r="AW102">
        <f>СВ!AX55</f>
        <v>0</v>
      </c>
      <c r="AX102">
        <f>СВ!AY55</f>
        <v>0</v>
      </c>
      <c r="AY102">
        <f>СВ!AZ55</f>
        <v>0</v>
      </c>
      <c r="AZ102">
        <f>СВ!BA55</f>
        <v>0</v>
      </c>
      <c r="BA102">
        <f>СВ!BB55</f>
        <v>0</v>
      </c>
      <c r="BB102">
        <f>СВ!BC55</f>
        <v>0</v>
      </c>
      <c r="BC102">
        <f>СВ!BD55</f>
        <v>0</v>
      </c>
      <c r="BD102">
        <f>СВ!BE55</f>
        <v>0</v>
      </c>
      <c r="BE102">
        <f>СВ!BF55</f>
        <v>0</v>
      </c>
      <c r="BF102">
        <f>СВ!BG55</f>
        <v>0</v>
      </c>
      <c r="BG102">
        <f>СВ!BH55</f>
        <v>0</v>
      </c>
      <c r="BH102">
        <f>СВ!BI55</f>
        <v>0</v>
      </c>
      <c r="BI102">
        <f>СВ!BJ55</f>
        <v>0</v>
      </c>
      <c r="BJ102">
        <f>СВ!BK55</f>
        <v>0</v>
      </c>
      <c r="BK102">
        <f>СВ!BL55</f>
        <v>0</v>
      </c>
    </row>
    <row r="103" spans="1:99">
      <c r="A103" s="27">
        <f>СВ!B56</f>
        <v>29</v>
      </c>
      <c r="B103" s="28">
        <f>СВ!C56</f>
        <v>0.61458333333333326</v>
      </c>
      <c r="C103" s="29">
        <f>СВ!D56</f>
        <v>0.64583333333333326</v>
      </c>
      <c r="D103" t="e">
        <f ca="1">СВ!E56</f>
        <v>#NAME?</v>
      </c>
      <c r="E103">
        <f>СВ!F56</f>
        <v>1</v>
      </c>
      <c r="F103">
        <f>СВ!G56</f>
        <v>0</v>
      </c>
      <c r="G103">
        <f>СВ!H56</f>
        <v>0</v>
      </c>
      <c r="H103" t="e">
        <f ca="1">СВ!I56</f>
        <v>#NAME?</v>
      </c>
      <c r="I103">
        <f>СВ!J56</f>
        <v>1</v>
      </c>
      <c r="J103">
        <f>СВ!K56</f>
        <v>0</v>
      </c>
      <c r="K103">
        <f>СВ!L56</f>
        <v>0</v>
      </c>
      <c r="L103">
        <f>СВ!M56</f>
        <v>0</v>
      </c>
      <c r="M103">
        <f>СВ!N56</f>
        <v>0</v>
      </c>
      <c r="N103">
        <f>СВ!O56</f>
        <v>0</v>
      </c>
      <c r="O103">
        <f>СВ!P56</f>
        <v>0</v>
      </c>
      <c r="P103">
        <f>СВ!Q56</f>
        <v>0</v>
      </c>
      <c r="Q103">
        <f>СВ!R56</f>
        <v>0</v>
      </c>
      <c r="R103">
        <f>СВ!S56</f>
        <v>0</v>
      </c>
      <c r="S103">
        <f>СВ!T56</f>
        <v>0</v>
      </c>
      <c r="T103">
        <f>СВ!U56</f>
        <v>0</v>
      </c>
      <c r="U103">
        <f>СВ!V56</f>
        <v>0</v>
      </c>
      <c r="V103">
        <f>СВ!W56</f>
        <v>0</v>
      </c>
      <c r="W103">
        <f>СВ!X56</f>
        <v>0</v>
      </c>
      <c r="X103">
        <f>СВ!Y56</f>
        <v>0</v>
      </c>
      <c r="Y103">
        <f>СВ!Z56</f>
        <v>0</v>
      </c>
      <c r="Z103">
        <f>СВ!AA56</f>
        <v>0</v>
      </c>
      <c r="AA103">
        <f>СВ!AB56</f>
        <v>0</v>
      </c>
      <c r="AB103">
        <f>СВ!AC56</f>
        <v>0</v>
      </c>
      <c r="AC103">
        <f>СВ!AD56</f>
        <v>0</v>
      </c>
      <c r="AD103">
        <f>СВ!AE56</f>
        <v>0</v>
      </c>
      <c r="AE103">
        <f>СВ!AF56</f>
        <v>0</v>
      </c>
      <c r="AF103">
        <f>СВ!AG56</f>
        <v>0</v>
      </c>
      <c r="AG103">
        <f>СВ!AH56</f>
        <v>0</v>
      </c>
      <c r="AH103">
        <f>СВ!AI56</f>
        <v>0</v>
      </c>
      <c r="AI103">
        <f>СВ!AJ56</f>
        <v>0</v>
      </c>
      <c r="AJ103">
        <f>СВ!AK56</f>
        <v>0</v>
      </c>
      <c r="AK103">
        <f>СВ!AL56</f>
        <v>0</v>
      </c>
      <c r="AL103">
        <f>СВ!AM56</f>
        <v>0</v>
      </c>
      <c r="AM103">
        <f>СВ!AN56</f>
        <v>0</v>
      </c>
      <c r="AN103">
        <f>СВ!AO56</f>
        <v>0</v>
      </c>
      <c r="AO103">
        <f>СВ!AP56</f>
        <v>0</v>
      </c>
      <c r="AP103">
        <f>СВ!AQ56</f>
        <v>0</v>
      </c>
      <c r="AQ103">
        <f>СВ!AR56</f>
        <v>0</v>
      </c>
      <c r="AR103">
        <f>СВ!AS56</f>
        <v>0</v>
      </c>
      <c r="AS103">
        <f>СВ!AT56</f>
        <v>0</v>
      </c>
      <c r="AT103">
        <f>СВ!AU56</f>
        <v>0</v>
      </c>
      <c r="AU103">
        <f>СВ!AV56</f>
        <v>0</v>
      </c>
      <c r="AV103">
        <f>СВ!AW56</f>
        <v>0</v>
      </c>
      <c r="AW103">
        <f>СВ!AX56</f>
        <v>0</v>
      </c>
      <c r="AX103">
        <f>СВ!AY56</f>
        <v>0</v>
      </c>
      <c r="AY103">
        <f>СВ!AZ56</f>
        <v>0</v>
      </c>
      <c r="AZ103">
        <f>СВ!BA56</f>
        <v>0</v>
      </c>
      <c r="BA103">
        <f>СВ!BB56</f>
        <v>0</v>
      </c>
      <c r="BB103">
        <f>СВ!BC56</f>
        <v>0</v>
      </c>
      <c r="BC103">
        <f>СВ!BD56</f>
        <v>0</v>
      </c>
      <c r="BD103">
        <f>СВ!BE56</f>
        <v>0</v>
      </c>
      <c r="BE103">
        <f>СВ!BF56</f>
        <v>0</v>
      </c>
      <c r="BF103">
        <f>СВ!BG56</f>
        <v>0</v>
      </c>
      <c r="BG103">
        <f>СВ!BH56</f>
        <v>0</v>
      </c>
      <c r="BH103">
        <f>СВ!BI56</f>
        <v>0</v>
      </c>
      <c r="BI103">
        <f>СВ!BJ56</f>
        <v>0</v>
      </c>
      <c r="BJ103">
        <f>СВ!BK56</f>
        <v>0</v>
      </c>
      <c r="BK103">
        <f>СВ!BL56</f>
        <v>0</v>
      </c>
    </row>
    <row r="104" spans="1:99">
      <c r="A104" s="30">
        <f>СВ!B57</f>
        <v>30</v>
      </c>
      <c r="B104" s="31">
        <f>СВ!C57</f>
        <v>0.62499999999999989</v>
      </c>
      <c r="C104" s="32">
        <f>СВ!D57</f>
        <v>0.66666666666666652</v>
      </c>
      <c r="D104" t="e">
        <f ca="1">СВ!E57</f>
        <v>#NAME?</v>
      </c>
      <c r="E104">
        <f>СВ!F57</f>
        <v>1</v>
      </c>
      <c r="F104">
        <f>СВ!G57</f>
        <v>0</v>
      </c>
      <c r="G104">
        <f>СВ!H57</f>
        <v>1</v>
      </c>
      <c r="H104" t="e">
        <f ca="1">СВ!I57</f>
        <v>#NAME?</v>
      </c>
      <c r="I104">
        <f>СВ!J57</f>
        <v>1</v>
      </c>
      <c r="J104">
        <f>СВ!K57</f>
        <v>0</v>
      </c>
      <c r="K104">
        <f>СВ!L57</f>
        <v>0</v>
      </c>
      <c r="L104">
        <f>СВ!M57</f>
        <v>0</v>
      </c>
      <c r="M104">
        <f>СВ!N57</f>
        <v>0</v>
      </c>
      <c r="N104">
        <f>СВ!O57</f>
        <v>0</v>
      </c>
      <c r="O104">
        <f>СВ!P57</f>
        <v>0</v>
      </c>
      <c r="P104">
        <f>СВ!Q57</f>
        <v>0</v>
      </c>
      <c r="Q104">
        <f>СВ!R57</f>
        <v>0</v>
      </c>
      <c r="R104">
        <f>СВ!S57</f>
        <v>0</v>
      </c>
      <c r="S104">
        <f>СВ!T57</f>
        <v>0</v>
      </c>
      <c r="T104">
        <f>СВ!U57</f>
        <v>0</v>
      </c>
      <c r="U104">
        <f>СВ!V57</f>
        <v>0</v>
      </c>
      <c r="V104">
        <f>СВ!W57</f>
        <v>0</v>
      </c>
      <c r="W104">
        <f>СВ!X57</f>
        <v>0</v>
      </c>
      <c r="X104">
        <f>СВ!Y57</f>
        <v>0</v>
      </c>
      <c r="Y104">
        <f>СВ!Z57</f>
        <v>0</v>
      </c>
      <c r="Z104">
        <f>СВ!AA57</f>
        <v>0</v>
      </c>
      <c r="AA104">
        <f>СВ!AB57</f>
        <v>0</v>
      </c>
      <c r="AB104">
        <f>СВ!AC57</f>
        <v>0</v>
      </c>
      <c r="AC104">
        <f>СВ!AD57</f>
        <v>0</v>
      </c>
      <c r="AD104">
        <f>СВ!AE57</f>
        <v>0</v>
      </c>
      <c r="AE104">
        <f>СВ!AF57</f>
        <v>0</v>
      </c>
      <c r="AF104">
        <f>СВ!AG57</f>
        <v>0</v>
      </c>
      <c r="AG104">
        <f>СВ!AH57</f>
        <v>0</v>
      </c>
      <c r="AH104">
        <f>СВ!AI57</f>
        <v>0</v>
      </c>
      <c r="AI104">
        <f>СВ!AJ57</f>
        <v>0</v>
      </c>
      <c r="AJ104">
        <f>СВ!AK57</f>
        <v>0</v>
      </c>
      <c r="AK104">
        <f>СВ!AL57</f>
        <v>0</v>
      </c>
      <c r="AL104">
        <f>СВ!AM57</f>
        <v>0</v>
      </c>
      <c r="AM104">
        <f>СВ!AN57</f>
        <v>0</v>
      </c>
      <c r="AN104">
        <f>СВ!AO57</f>
        <v>0</v>
      </c>
      <c r="AO104">
        <f>СВ!AP57</f>
        <v>0</v>
      </c>
      <c r="AP104">
        <f>СВ!AQ57</f>
        <v>0</v>
      </c>
      <c r="AQ104">
        <f>СВ!AR57</f>
        <v>0</v>
      </c>
      <c r="AR104">
        <f>СВ!AS57</f>
        <v>0</v>
      </c>
      <c r="AS104">
        <f>СВ!AT57</f>
        <v>0</v>
      </c>
      <c r="AT104">
        <f>СВ!AU57</f>
        <v>0</v>
      </c>
      <c r="AU104">
        <f>СВ!AV57</f>
        <v>0</v>
      </c>
      <c r="AV104">
        <f>СВ!AW57</f>
        <v>0</v>
      </c>
      <c r="AW104">
        <f>СВ!AX57</f>
        <v>0</v>
      </c>
      <c r="AX104">
        <f>СВ!AY57</f>
        <v>0</v>
      </c>
      <c r="AY104">
        <f>СВ!AZ57</f>
        <v>0</v>
      </c>
      <c r="AZ104">
        <f>СВ!BA57</f>
        <v>0</v>
      </c>
      <c r="BA104">
        <f>СВ!BB57</f>
        <v>0</v>
      </c>
      <c r="BB104">
        <f>СВ!BC57</f>
        <v>0</v>
      </c>
      <c r="BC104">
        <f>СВ!BD57</f>
        <v>0</v>
      </c>
      <c r="BD104">
        <f>СВ!BE57</f>
        <v>0</v>
      </c>
      <c r="BE104">
        <f>СВ!BF57</f>
        <v>0</v>
      </c>
      <c r="BF104">
        <f>СВ!BG57</f>
        <v>0</v>
      </c>
      <c r="BG104">
        <f>СВ!BH57</f>
        <v>0</v>
      </c>
      <c r="BH104">
        <f>СВ!BI57</f>
        <v>0</v>
      </c>
      <c r="BI104">
        <f>СВ!BJ57</f>
        <v>0</v>
      </c>
      <c r="BJ104">
        <f>СВ!BK57</f>
        <v>0</v>
      </c>
      <c r="BK104">
        <f>СВ!BL57</f>
        <v>0</v>
      </c>
    </row>
    <row r="105" spans="1:99">
      <c r="A105" s="27">
        <f>СВ!B58</f>
        <v>31</v>
      </c>
      <c r="B105" s="28">
        <f>СВ!C58</f>
        <v>0.63541666666666652</v>
      </c>
      <c r="C105" s="29">
        <f>СВ!D58</f>
        <v>0.66666666666666652</v>
      </c>
      <c r="D105" t="e">
        <f ca="1">СВ!E58</f>
        <v>#NAME?</v>
      </c>
      <c r="E105">
        <f>СВ!F58</f>
        <v>1</v>
      </c>
      <c r="F105">
        <f>СВ!G58</f>
        <v>0</v>
      </c>
      <c r="G105">
        <f>СВ!H58</f>
        <v>1</v>
      </c>
      <c r="H105" t="e">
        <f ca="1">СВ!I58</f>
        <v>#NAME?</v>
      </c>
      <c r="I105">
        <f>СВ!J58</f>
        <v>1</v>
      </c>
      <c r="J105">
        <f>СВ!K58</f>
        <v>0</v>
      </c>
      <c r="K105">
        <f>СВ!L58</f>
        <v>0</v>
      </c>
      <c r="L105">
        <f>СВ!M58</f>
        <v>0</v>
      </c>
      <c r="M105">
        <f>СВ!N58</f>
        <v>0</v>
      </c>
      <c r="N105">
        <f>СВ!O58</f>
        <v>0</v>
      </c>
      <c r="O105">
        <f>СВ!P58</f>
        <v>0</v>
      </c>
      <c r="P105">
        <f>СВ!Q58</f>
        <v>0</v>
      </c>
      <c r="Q105">
        <f>СВ!R58</f>
        <v>0</v>
      </c>
      <c r="R105">
        <f>СВ!S58</f>
        <v>0</v>
      </c>
      <c r="S105">
        <f>СВ!T58</f>
        <v>0</v>
      </c>
      <c r="T105">
        <f>СВ!U58</f>
        <v>0</v>
      </c>
      <c r="U105">
        <f>СВ!V58</f>
        <v>0</v>
      </c>
      <c r="V105">
        <f>СВ!W58</f>
        <v>0</v>
      </c>
      <c r="W105">
        <f>СВ!X58</f>
        <v>0</v>
      </c>
      <c r="X105">
        <f>СВ!Y58</f>
        <v>0</v>
      </c>
      <c r="Y105">
        <f>СВ!Z58</f>
        <v>0</v>
      </c>
      <c r="Z105">
        <f>СВ!AA58</f>
        <v>0</v>
      </c>
      <c r="AA105">
        <f>СВ!AB58</f>
        <v>0</v>
      </c>
      <c r="AB105">
        <f>СВ!AC58</f>
        <v>0</v>
      </c>
      <c r="AC105">
        <f>СВ!AD58</f>
        <v>0</v>
      </c>
      <c r="AD105">
        <f>СВ!AE58</f>
        <v>0</v>
      </c>
      <c r="AE105">
        <f>СВ!AF58</f>
        <v>0</v>
      </c>
      <c r="AF105">
        <f>СВ!AG58</f>
        <v>0</v>
      </c>
      <c r="AG105">
        <f>СВ!AH58</f>
        <v>0</v>
      </c>
      <c r="AH105">
        <f>СВ!AI58</f>
        <v>0</v>
      </c>
      <c r="AI105">
        <f>СВ!AJ58</f>
        <v>0</v>
      </c>
      <c r="AJ105">
        <f>СВ!AK58</f>
        <v>0</v>
      </c>
      <c r="AK105">
        <f>СВ!AL58</f>
        <v>0</v>
      </c>
      <c r="AL105">
        <f>СВ!AM58</f>
        <v>0</v>
      </c>
      <c r="AM105">
        <f>СВ!AN58</f>
        <v>0</v>
      </c>
      <c r="AN105">
        <f>СВ!AO58</f>
        <v>0</v>
      </c>
      <c r="AO105">
        <f>СВ!AP58</f>
        <v>0</v>
      </c>
      <c r="AP105">
        <f>СВ!AQ58</f>
        <v>0</v>
      </c>
      <c r="AQ105">
        <f>СВ!AR58</f>
        <v>0</v>
      </c>
      <c r="AR105">
        <f>СВ!AS58</f>
        <v>0</v>
      </c>
      <c r="AS105">
        <f>СВ!AT58</f>
        <v>0</v>
      </c>
      <c r="AT105">
        <f>СВ!AU58</f>
        <v>0</v>
      </c>
      <c r="AU105">
        <f>СВ!AV58</f>
        <v>0</v>
      </c>
      <c r="AV105">
        <f>СВ!AW58</f>
        <v>0</v>
      </c>
      <c r="AW105">
        <f>СВ!AX58</f>
        <v>0</v>
      </c>
      <c r="AX105">
        <f>СВ!AY58</f>
        <v>0</v>
      </c>
      <c r="AY105">
        <f>СВ!AZ58</f>
        <v>0</v>
      </c>
      <c r="AZ105">
        <f>СВ!BA58</f>
        <v>0</v>
      </c>
      <c r="BA105">
        <f>СВ!BB58</f>
        <v>0</v>
      </c>
      <c r="BB105">
        <f>СВ!BC58</f>
        <v>0</v>
      </c>
      <c r="BC105">
        <f>СВ!BD58</f>
        <v>0</v>
      </c>
      <c r="BD105">
        <f>СВ!BE58</f>
        <v>0</v>
      </c>
      <c r="BE105">
        <f>СВ!BF58</f>
        <v>0</v>
      </c>
      <c r="BF105">
        <f>СВ!BG58</f>
        <v>0</v>
      </c>
      <c r="BG105">
        <f>СВ!BH58</f>
        <v>0</v>
      </c>
      <c r="BH105">
        <f>СВ!BI58</f>
        <v>0</v>
      </c>
      <c r="BI105">
        <f>СВ!BJ58</f>
        <v>0</v>
      </c>
      <c r="BJ105">
        <f>СВ!BK58</f>
        <v>0</v>
      </c>
      <c r="BK105">
        <f>СВ!BL58</f>
        <v>0</v>
      </c>
    </row>
    <row r="106" spans="1:99">
      <c r="A106" s="30">
        <f>СВ!B59</f>
        <v>32</v>
      </c>
      <c r="B106" s="31">
        <f>СВ!C59</f>
        <v>0.64583333333333326</v>
      </c>
      <c r="C106" s="32">
        <f>СВ!D59</f>
        <v>0.67708333333333315</v>
      </c>
      <c r="D106" t="e">
        <f ca="1">СВ!E59</f>
        <v>#NAME?</v>
      </c>
      <c r="E106">
        <f>СВ!F59</f>
        <v>1</v>
      </c>
      <c r="F106">
        <f>СВ!G59</f>
        <v>0</v>
      </c>
      <c r="G106">
        <f>СВ!H59</f>
        <v>1</v>
      </c>
      <c r="H106" t="e">
        <f ca="1">СВ!I59</f>
        <v>#NAME?</v>
      </c>
      <c r="I106">
        <f>СВ!J59</f>
        <v>1</v>
      </c>
      <c r="J106">
        <f>СВ!K59</f>
        <v>0</v>
      </c>
      <c r="K106">
        <f>СВ!L59</f>
        <v>0</v>
      </c>
      <c r="L106">
        <f>СВ!M59</f>
        <v>0</v>
      </c>
      <c r="M106">
        <f>СВ!N59</f>
        <v>0</v>
      </c>
      <c r="N106">
        <f>СВ!O59</f>
        <v>0</v>
      </c>
      <c r="O106">
        <f>СВ!P59</f>
        <v>0</v>
      </c>
      <c r="P106">
        <f>СВ!Q59</f>
        <v>0</v>
      </c>
      <c r="Q106">
        <f>СВ!R59</f>
        <v>0</v>
      </c>
      <c r="R106">
        <f>СВ!S59</f>
        <v>0</v>
      </c>
      <c r="S106">
        <f>СВ!T59</f>
        <v>0</v>
      </c>
      <c r="T106">
        <f>СВ!U59</f>
        <v>0</v>
      </c>
      <c r="U106">
        <f>СВ!V59</f>
        <v>0</v>
      </c>
      <c r="V106">
        <f>СВ!W59</f>
        <v>0</v>
      </c>
      <c r="W106">
        <f>СВ!X59</f>
        <v>0</v>
      </c>
      <c r="X106">
        <f>СВ!Y59</f>
        <v>0</v>
      </c>
      <c r="Y106">
        <f>СВ!Z59</f>
        <v>0</v>
      </c>
      <c r="Z106">
        <f>СВ!AA59</f>
        <v>0</v>
      </c>
      <c r="AA106">
        <f>СВ!AB59</f>
        <v>0</v>
      </c>
      <c r="AB106">
        <f>СВ!AC59</f>
        <v>0</v>
      </c>
      <c r="AC106">
        <f>СВ!AD59</f>
        <v>0</v>
      </c>
      <c r="AD106">
        <f>СВ!AE59</f>
        <v>0</v>
      </c>
      <c r="AE106">
        <f>СВ!AF59</f>
        <v>0</v>
      </c>
      <c r="AF106">
        <f>СВ!AG59</f>
        <v>0</v>
      </c>
      <c r="AG106">
        <f>СВ!AH59</f>
        <v>0</v>
      </c>
      <c r="AH106">
        <f>СВ!AI59</f>
        <v>0</v>
      </c>
      <c r="AI106">
        <f>СВ!AJ59</f>
        <v>0</v>
      </c>
      <c r="AJ106">
        <f>СВ!AK59</f>
        <v>0</v>
      </c>
      <c r="AK106">
        <f>СВ!AL59</f>
        <v>0</v>
      </c>
      <c r="AL106">
        <f>СВ!AM59</f>
        <v>0</v>
      </c>
      <c r="AM106">
        <f>СВ!AN59</f>
        <v>0</v>
      </c>
      <c r="AN106">
        <f>СВ!AO59</f>
        <v>0</v>
      </c>
      <c r="AO106">
        <f>СВ!AP59</f>
        <v>0</v>
      </c>
      <c r="AP106">
        <f>СВ!AQ59</f>
        <v>0</v>
      </c>
      <c r="AQ106">
        <f>СВ!AR59</f>
        <v>0</v>
      </c>
      <c r="AR106">
        <f>СВ!AS59</f>
        <v>0</v>
      </c>
      <c r="AS106">
        <f>СВ!AT59</f>
        <v>0</v>
      </c>
      <c r="AT106">
        <f>СВ!AU59</f>
        <v>0</v>
      </c>
      <c r="AU106">
        <f>СВ!AV59</f>
        <v>0</v>
      </c>
      <c r="AV106">
        <f>СВ!AW59</f>
        <v>0</v>
      </c>
      <c r="AW106">
        <f>СВ!AX59</f>
        <v>0</v>
      </c>
      <c r="AX106">
        <f>СВ!AY59</f>
        <v>0</v>
      </c>
      <c r="AY106">
        <f>СВ!AZ59</f>
        <v>0</v>
      </c>
      <c r="AZ106">
        <f>СВ!BA59</f>
        <v>0</v>
      </c>
      <c r="BA106">
        <f>СВ!BB59</f>
        <v>0</v>
      </c>
      <c r="BB106">
        <f>СВ!BC59</f>
        <v>0</v>
      </c>
      <c r="BC106">
        <f>СВ!BD59</f>
        <v>0</v>
      </c>
      <c r="BD106">
        <f>СВ!BE59</f>
        <v>0</v>
      </c>
      <c r="BE106">
        <f>СВ!BF59</f>
        <v>0</v>
      </c>
      <c r="BF106">
        <f>СВ!BG59</f>
        <v>0</v>
      </c>
      <c r="BG106">
        <f>СВ!BH59</f>
        <v>0</v>
      </c>
      <c r="BH106">
        <f>СВ!BI59</f>
        <v>0</v>
      </c>
      <c r="BI106">
        <f>СВ!BJ59</f>
        <v>0</v>
      </c>
      <c r="BJ106">
        <f>СВ!BK59</f>
        <v>0</v>
      </c>
      <c r="BK106">
        <f>СВ!BL59</f>
        <v>0</v>
      </c>
    </row>
    <row r="107" spans="1:99">
      <c r="A107" s="27">
        <f>СВ!B60</f>
        <v>33</v>
      </c>
      <c r="B107" s="28">
        <f>СВ!C60</f>
        <v>0.65624999999999989</v>
      </c>
      <c r="C107" s="29">
        <f>СВ!D60</f>
        <v>0.68749999999999989</v>
      </c>
      <c r="D107" t="e">
        <f ca="1">СВ!E60</f>
        <v>#NAME?</v>
      </c>
      <c r="E107">
        <f>СВ!F60</f>
        <v>1</v>
      </c>
      <c r="F107">
        <f>СВ!G60</f>
        <v>0</v>
      </c>
      <c r="G107">
        <f>СВ!H60</f>
        <v>1</v>
      </c>
      <c r="H107" t="e">
        <f ca="1">СВ!I60</f>
        <v>#NAME?</v>
      </c>
      <c r="I107">
        <f>СВ!J60</f>
        <v>1</v>
      </c>
      <c r="J107">
        <f>СВ!K60</f>
        <v>0</v>
      </c>
      <c r="K107">
        <f>СВ!L60</f>
        <v>0</v>
      </c>
      <c r="L107">
        <f>СВ!M60</f>
        <v>0</v>
      </c>
      <c r="M107">
        <f>СВ!N60</f>
        <v>0</v>
      </c>
      <c r="N107">
        <f>СВ!O60</f>
        <v>0</v>
      </c>
      <c r="O107">
        <f>СВ!P60</f>
        <v>0</v>
      </c>
      <c r="P107">
        <f>СВ!Q60</f>
        <v>0</v>
      </c>
      <c r="Q107">
        <f>СВ!R60</f>
        <v>0</v>
      </c>
      <c r="R107">
        <f>СВ!S60</f>
        <v>0</v>
      </c>
      <c r="S107">
        <f>СВ!T60</f>
        <v>0</v>
      </c>
      <c r="T107">
        <f>СВ!U60</f>
        <v>0</v>
      </c>
      <c r="U107">
        <f>СВ!V60</f>
        <v>0</v>
      </c>
      <c r="V107">
        <f>СВ!W60</f>
        <v>0</v>
      </c>
      <c r="W107">
        <f>СВ!X60</f>
        <v>0</v>
      </c>
      <c r="X107">
        <f>СВ!Y60</f>
        <v>0</v>
      </c>
      <c r="Y107">
        <f>СВ!Z60</f>
        <v>0</v>
      </c>
      <c r="Z107">
        <f>СВ!AA60</f>
        <v>0</v>
      </c>
      <c r="AA107">
        <f>СВ!AB60</f>
        <v>0</v>
      </c>
      <c r="AB107">
        <f>СВ!AC60</f>
        <v>0</v>
      </c>
      <c r="AC107">
        <f>СВ!AD60</f>
        <v>0</v>
      </c>
      <c r="AD107">
        <f>СВ!AE60</f>
        <v>0</v>
      </c>
      <c r="AE107">
        <f>СВ!AF60</f>
        <v>0</v>
      </c>
      <c r="AF107">
        <f>СВ!AG60</f>
        <v>0</v>
      </c>
      <c r="AG107">
        <f>СВ!AH60</f>
        <v>0</v>
      </c>
      <c r="AH107">
        <f>СВ!AI60</f>
        <v>0</v>
      </c>
      <c r="AI107">
        <f>СВ!AJ60</f>
        <v>0</v>
      </c>
      <c r="AJ107">
        <f>СВ!AK60</f>
        <v>0</v>
      </c>
      <c r="AK107">
        <f>СВ!AL60</f>
        <v>0</v>
      </c>
      <c r="AL107">
        <f>СВ!AM60</f>
        <v>0</v>
      </c>
      <c r="AM107">
        <f>СВ!AN60</f>
        <v>0</v>
      </c>
      <c r="AN107">
        <f>СВ!AO60</f>
        <v>0</v>
      </c>
      <c r="AO107">
        <f>СВ!AP60</f>
        <v>0</v>
      </c>
      <c r="AP107">
        <f>СВ!AQ60</f>
        <v>0</v>
      </c>
      <c r="AQ107">
        <f>СВ!AR60</f>
        <v>0</v>
      </c>
      <c r="AR107">
        <f>СВ!AS60</f>
        <v>0</v>
      </c>
      <c r="AS107">
        <f>СВ!AT60</f>
        <v>0</v>
      </c>
      <c r="AT107">
        <f>СВ!AU60</f>
        <v>0</v>
      </c>
      <c r="AU107">
        <f>СВ!AV60</f>
        <v>0</v>
      </c>
      <c r="AV107">
        <f>СВ!AW60</f>
        <v>0</v>
      </c>
      <c r="AW107">
        <f>СВ!AX60</f>
        <v>0</v>
      </c>
      <c r="AX107">
        <f>СВ!AY60</f>
        <v>0</v>
      </c>
      <c r="AY107">
        <f>СВ!AZ60</f>
        <v>0</v>
      </c>
      <c r="AZ107">
        <f>СВ!BA60</f>
        <v>0</v>
      </c>
      <c r="BA107">
        <f>СВ!BB60</f>
        <v>0</v>
      </c>
      <c r="BB107">
        <f>СВ!BC60</f>
        <v>0</v>
      </c>
      <c r="BC107">
        <f>СВ!BD60</f>
        <v>0</v>
      </c>
      <c r="BD107">
        <f>СВ!BE60</f>
        <v>0</v>
      </c>
      <c r="BE107">
        <f>СВ!BF60</f>
        <v>0</v>
      </c>
      <c r="BF107">
        <f>СВ!BG60</f>
        <v>0</v>
      </c>
      <c r="BG107">
        <f>СВ!BH60</f>
        <v>0</v>
      </c>
      <c r="BH107">
        <f>СВ!BI60</f>
        <v>0</v>
      </c>
      <c r="BI107">
        <f>СВ!BJ60</f>
        <v>0</v>
      </c>
      <c r="BJ107">
        <f>СВ!BK60</f>
        <v>0</v>
      </c>
      <c r="BK107">
        <f>СВ!BL60</f>
        <v>0</v>
      </c>
    </row>
    <row r="108" spans="1:99">
      <c r="A108" s="30">
        <f>СВ!B61</f>
        <v>34</v>
      </c>
      <c r="B108" s="31">
        <f>СВ!C61</f>
        <v>0.66666666666666652</v>
      </c>
      <c r="C108" s="32">
        <f>СВ!D61</f>
        <v>0.70833333333333315</v>
      </c>
      <c r="D108" t="e">
        <f ca="1">СВ!E61</f>
        <v>#NAME?</v>
      </c>
      <c r="E108">
        <f>СВ!F61</f>
        <v>1</v>
      </c>
      <c r="F108">
        <f>СВ!G61</f>
        <v>0</v>
      </c>
      <c r="G108">
        <f>СВ!H61</f>
        <v>1</v>
      </c>
      <c r="H108" t="e">
        <f ca="1">СВ!I61</f>
        <v>#NAME?</v>
      </c>
      <c r="I108">
        <f>СВ!J61</f>
        <v>1</v>
      </c>
      <c r="J108">
        <f>СВ!K61</f>
        <v>0</v>
      </c>
      <c r="K108">
        <f>СВ!L61</f>
        <v>0</v>
      </c>
      <c r="L108">
        <f>СВ!M61</f>
        <v>0</v>
      </c>
      <c r="M108">
        <f>СВ!N61</f>
        <v>0</v>
      </c>
      <c r="N108">
        <f>СВ!O61</f>
        <v>0</v>
      </c>
      <c r="O108">
        <f>СВ!P61</f>
        <v>0</v>
      </c>
      <c r="P108">
        <f>СВ!Q61</f>
        <v>0</v>
      </c>
      <c r="Q108">
        <f>СВ!R61</f>
        <v>0</v>
      </c>
      <c r="R108">
        <f>СВ!S61</f>
        <v>0</v>
      </c>
      <c r="S108">
        <f>СВ!T61</f>
        <v>0</v>
      </c>
      <c r="T108">
        <f>СВ!U61</f>
        <v>0</v>
      </c>
      <c r="U108">
        <f>СВ!V61</f>
        <v>0</v>
      </c>
      <c r="V108">
        <f>СВ!W61</f>
        <v>0</v>
      </c>
      <c r="W108">
        <f>СВ!X61</f>
        <v>0</v>
      </c>
      <c r="X108">
        <f>СВ!Y61</f>
        <v>0</v>
      </c>
      <c r="Y108">
        <f>СВ!Z61</f>
        <v>0</v>
      </c>
      <c r="Z108">
        <f>СВ!AA61</f>
        <v>0</v>
      </c>
      <c r="AA108">
        <f>СВ!AB61</f>
        <v>0</v>
      </c>
      <c r="AB108">
        <f>СВ!AC61</f>
        <v>0</v>
      </c>
      <c r="AC108">
        <f>СВ!AD61</f>
        <v>0</v>
      </c>
      <c r="AD108">
        <f>СВ!AE61</f>
        <v>0</v>
      </c>
      <c r="AE108">
        <f>СВ!AF61</f>
        <v>0</v>
      </c>
      <c r="AF108">
        <f>СВ!AG61</f>
        <v>0</v>
      </c>
      <c r="AG108">
        <f>СВ!AH61</f>
        <v>0</v>
      </c>
      <c r="AH108">
        <f>СВ!AI61</f>
        <v>0</v>
      </c>
      <c r="AI108">
        <f>СВ!AJ61</f>
        <v>0</v>
      </c>
      <c r="AJ108">
        <f>СВ!AK61</f>
        <v>0</v>
      </c>
      <c r="AK108">
        <f>СВ!AL61</f>
        <v>0</v>
      </c>
      <c r="AL108">
        <f>СВ!AM61</f>
        <v>0</v>
      </c>
      <c r="AM108">
        <f>СВ!AN61</f>
        <v>0</v>
      </c>
      <c r="AN108">
        <f>СВ!AO61</f>
        <v>0</v>
      </c>
      <c r="AO108">
        <f>СВ!AP61</f>
        <v>0</v>
      </c>
      <c r="AP108">
        <f>СВ!AQ61</f>
        <v>0</v>
      </c>
      <c r="AQ108">
        <f>СВ!AR61</f>
        <v>0</v>
      </c>
      <c r="AR108">
        <f>СВ!AS61</f>
        <v>0</v>
      </c>
      <c r="AS108">
        <f>СВ!AT61</f>
        <v>0</v>
      </c>
      <c r="AT108">
        <f>СВ!AU61</f>
        <v>0</v>
      </c>
      <c r="AU108">
        <f>СВ!AV61</f>
        <v>0</v>
      </c>
      <c r="AV108">
        <f>СВ!AW61</f>
        <v>0</v>
      </c>
      <c r="AW108">
        <f>СВ!AX61</f>
        <v>0</v>
      </c>
      <c r="AX108">
        <f>СВ!AY61</f>
        <v>0</v>
      </c>
      <c r="AY108">
        <f>СВ!AZ61</f>
        <v>0</v>
      </c>
      <c r="AZ108">
        <f>СВ!BA61</f>
        <v>0</v>
      </c>
      <c r="BA108">
        <f>СВ!BB61</f>
        <v>0</v>
      </c>
      <c r="BB108">
        <f>СВ!BC61</f>
        <v>0</v>
      </c>
      <c r="BC108">
        <f>СВ!BD61</f>
        <v>0</v>
      </c>
      <c r="BD108">
        <f>СВ!BE61</f>
        <v>0</v>
      </c>
      <c r="BE108">
        <f>СВ!BF61</f>
        <v>0</v>
      </c>
      <c r="BF108">
        <f>СВ!BG61</f>
        <v>0</v>
      </c>
      <c r="BG108">
        <f>СВ!BH61</f>
        <v>0</v>
      </c>
      <c r="BH108">
        <f>СВ!BI61</f>
        <v>0</v>
      </c>
      <c r="BI108">
        <f>СВ!BJ61</f>
        <v>0</v>
      </c>
      <c r="BJ108">
        <f>СВ!BK61</f>
        <v>0</v>
      </c>
      <c r="BK108">
        <f>СВ!BL61</f>
        <v>0</v>
      </c>
    </row>
    <row r="109" spans="1:99">
      <c r="A109" s="27">
        <f>СВ!B62</f>
        <v>35</v>
      </c>
      <c r="B109" s="28">
        <f>СВ!C62</f>
        <v>0.67708333333333315</v>
      </c>
      <c r="C109" s="29">
        <f>СВ!D62</f>
        <v>0.70833333333333315</v>
      </c>
      <c r="D109" t="e">
        <f ca="1">СВ!E62</f>
        <v>#NAME?</v>
      </c>
      <c r="E109">
        <f>СВ!F62</f>
        <v>1</v>
      </c>
      <c r="F109">
        <f>СВ!G62</f>
        <v>0</v>
      </c>
      <c r="G109">
        <f>СВ!H62</f>
        <v>1</v>
      </c>
      <c r="H109" t="e">
        <f ca="1">СВ!I62</f>
        <v>#NAME?</v>
      </c>
      <c r="I109">
        <f>СВ!J62</f>
        <v>1</v>
      </c>
      <c r="J109">
        <f>СВ!K62</f>
        <v>0</v>
      </c>
      <c r="K109">
        <f>СВ!L62</f>
        <v>0</v>
      </c>
      <c r="L109">
        <f>СВ!M62</f>
        <v>0</v>
      </c>
      <c r="M109">
        <f>СВ!N62</f>
        <v>0</v>
      </c>
      <c r="N109">
        <f>СВ!O62</f>
        <v>0</v>
      </c>
      <c r="O109">
        <f>СВ!P62</f>
        <v>0</v>
      </c>
      <c r="P109">
        <f>СВ!Q62</f>
        <v>0</v>
      </c>
      <c r="Q109">
        <f>СВ!R62</f>
        <v>0</v>
      </c>
      <c r="R109">
        <f>СВ!S62</f>
        <v>0</v>
      </c>
      <c r="S109">
        <f>СВ!T62</f>
        <v>0</v>
      </c>
      <c r="T109">
        <f>СВ!U62</f>
        <v>0</v>
      </c>
      <c r="U109">
        <f>СВ!V62</f>
        <v>0</v>
      </c>
      <c r="V109">
        <f>СВ!W62</f>
        <v>0</v>
      </c>
      <c r="W109">
        <f>СВ!X62</f>
        <v>0</v>
      </c>
      <c r="X109">
        <f>СВ!Y62</f>
        <v>0</v>
      </c>
      <c r="Y109">
        <f>СВ!Z62</f>
        <v>0</v>
      </c>
      <c r="Z109">
        <f>СВ!AA62</f>
        <v>0</v>
      </c>
      <c r="AA109">
        <f>СВ!AB62</f>
        <v>0</v>
      </c>
      <c r="AB109">
        <f>СВ!AC62</f>
        <v>0</v>
      </c>
      <c r="AC109">
        <f>СВ!AD62</f>
        <v>0</v>
      </c>
      <c r="AD109">
        <f>СВ!AE62</f>
        <v>0</v>
      </c>
      <c r="AE109">
        <f>СВ!AF62</f>
        <v>0</v>
      </c>
      <c r="AF109">
        <f>СВ!AG62</f>
        <v>0</v>
      </c>
      <c r="AG109">
        <f>СВ!AH62</f>
        <v>0</v>
      </c>
      <c r="AH109">
        <f>СВ!AI62</f>
        <v>0</v>
      </c>
      <c r="AI109">
        <f>СВ!AJ62</f>
        <v>0</v>
      </c>
      <c r="AJ109">
        <f>СВ!AK62</f>
        <v>0</v>
      </c>
      <c r="AK109">
        <f>СВ!AL62</f>
        <v>0</v>
      </c>
      <c r="AL109">
        <f>СВ!AM62</f>
        <v>0</v>
      </c>
      <c r="AM109">
        <f>СВ!AN62</f>
        <v>0</v>
      </c>
      <c r="AN109">
        <f>СВ!AO62</f>
        <v>0</v>
      </c>
      <c r="AO109">
        <f>СВ!AP62</f>
        <v>0</v>
      </c>
      <c r="AP109">
        <f>СВ!AQ62</f>
        <v>0</v>
      </c>
      <c r="AQ109">
        <f>СВ!AR62</f>
        <v>0</v>
      </c>
      <c r="AR109">
        <f>СВ!AS62</f>
        <v>0</v>
      </c>
      <c r="AS109">
        <f>СВ!AT62</f>
        <v>0</v>
      </c>
      <c r="AT109">
        <f>СВ!AU62</f>
        <v>0</v>
      </c>
      <c r="AU109">
        <f>СВ!AV62</f>
        <v>0</v>
      </c>
      <c r="AV109">
        <f>СВ!AW62</f>
        <v>0</v>
      </c>
      <c r="AW109">
        <f>СВ!AX62</f>
        <v>0</v>
      </c>
      <c r="AX109">
        <f>СВ!AY62</f>
        <v>0</v>
      </c>
      <c r="AY109">
        <f>СВ!AZ62</f>
        <v>0</v>
      </c>
      <c r="AZ109">
        <f>СВ!BA62</f>
        <v>0</v>
      </c>
      <c r="BA109">
        <f>СВ!BB62</f>
        <v>0</v>
      </c>
      <c r="BB109">
        <f>СВ!BC62</f>
        <v>0</v>
      </c>
      <c r="BC109">
        <f>СВ!BD62</f>
        <v>0</v>
      </c>
      <c r="BD109">
        <f>СВ!BE62</f>
        <v>0</v>
      </c>
      <c r="BE109">
        <f>СВ!BF62</f>
        <v>0</v>
      </c>
      <c r="BF109">
        <f>СВ!BG62</f>
        <v>0</v>
      </c>
      <c r="BG109">
        <f>СВ!BH62</f>
        <v>0</v>
      </c>
      <c r="BH109">
        <f>СВ!BI62</f>
        <v>0</v>
      </c>
      <c r="BI109">
        <f>СВ!BJ62</f>
        <v>0</v>
      </c>
      <c r="BJ109">
        <f>СВ!BK62</f>
        <v>0</v>
      </c>
      <c r="BK109">
        <f>СВ!BL62</f>
        <v>0</v>
      </c>
    </row>
    <row r="110" spans="1:99">
      <c r="A110" s="30">
        <f>СВ!B63</f>
        <v>36</v>
      </c>
      <c r="B110" s="31">
        <f>СВ!C63</f>
        <v>0.68749999999999989</v>
      </c>
      <c r="C110" s="32">
        <f>СВ!D63</f>
        <v>0.71874999999999978</v>
      </c>
      <c r="D110" t="e">
        <f ca="1">СВ!E63</f>
        <v>#NAME?</v>
      </c>
      <c r="E110">
        <f>СВ!F63</f>
        <v>1</v>
      </c>
      <c r="F110">
        <f>СВ!G63</f>
        <v>0</v>
      </c>
      <c r="G110">
        <f>СВ!H63</f>
        <v>1</v>
      </c>
      <c r="H110" t="e">
        <f ca="1">СВ!I63</f>
        <v>#NAME?</v>
      </c>
      <c r="I110">
        <f>СВ!J63</f>
        <v>1</v>
      </c>
      <c r="J110">
        <f>СВ!K63</f>
        <v>0</v>
      </c>
      <c r="K110">
        <f>СВ!L63</f>
        <v>0</v>
      </c>
      <c r="L110">
        <f>СВ!M63</f>
        <v>0</v>
      </c>
      <c r="M110">
        <f>СВ!N63</f>
        <v>0</v>
      </c>
      <c r="N110">
        <f>СВ!O63</f>
        <v>0</v>
      </c>
      <c r="O110">
        <f>СВ!P63</f>
        <v>0</v>
      </c>
      <c r="P110">
        <f>СВ!Q63</f>
        <v>0</v>
      </c>
      <c r="Q110">
        <f>СВ!R63</f>
        <v>0</v>
      </c>
      <c r="R110">
        <f>СВ!S63</f>
        <v>0</v>
      </c>
      <c r="S110">
        <f>СВ!T63</f>
        <v>0</v>
      </c>
      <c r="T110">
        <f>СВ!U63</f>
        <v>0</v>
      </c>
      <c r="U110">
        <f>СВ!V63</f>
        <v>0</v>
      </c>
      <c r="V110">
        <f>СВ!W63</f>
        <v>0</v>
      </c>
      <c r="W110">
        <f>СВ!X63</f>
        <v>0</v>
      </c>
      <c r="X110">
        <f>СВ!Y63</f>
        <v>0</v>
      </c>
      <c r="Y110">
        <f>СВ!Z63</f>
        <v>0</v>
      </c>
      <c r="Z110">
        <f>СВ!AA63</f>
        <v>0</v>
      </c>
      <c r="AA110">
        <f>СВ!AB63</f>
        <v>0</v>
      </c>
      <c r="AB110">
        <f>СВ!AC63</f>
        <v>0</v>
      </c>
      <c r="AC110">
        <f>СВ!AD63</f>
        <v>0</v>
      </c>
      <c r="AD110">
        <f>СВ!AE63</f>
        <v>0</v>
      </c>
      <c r="AE110">
        <f>СВ!AF63</f>
        <v>0</v>
      </c>
      <c r="AF110">
        <f>СВ!AG63</f>
        <v>0</v>
      </c>
      <c r="AG110">
        <f>СВ!AH63</f>
        <v>0</v>
      </c>
      <c r="AH110">
        <f>СВ!AI63</f>
        <v>0</v>
      </c>
      <c r="AI110">
        <f>СВ!AJ63</f>
        <v>0</v>
      </c>
      <c r="AJ110">
        <f>СВ!AK63</f>
        <v>0</v>
      </c>
      <c r="AK110">
        <f>СВ!AL63</f>
        <v>0</v>
      </c>
      <c r="AL110">
        <f>СВ!AM63</f>
        <v>0</v>
      </c>
      <c r="AM110">
        <f>СВ!AN63</f>
        <v>0</v>
      </c>
      <c r="AN110">
        <f>СВ!AO63</f>
        <v>0</v>
      </c>
      <c r="AO110">
        <f>СВ!AP63</f>
        <v>0</v>
      </c>
      <c r="AP110">
        <f>СВ!AQ63</f>
        <v>0</v>
      </c>
      <c r="AQ110">
        <f>СВ!AR63</f>
        <v>0</v>
      </c>
      <c r="AR110">
        <f>СВ!AS63</f>
        <v>0</v>
      </c>
      <c r="AS110">
        <f>СВ!AT63</f>
        <v>0</v>
      </c>
      <c r="AT110">
        <f>СВ!AU63</f>
        <v>0</v>
      </c>
      <c r="AU110">
        <f>СВ!AV63</f>
        <v>0</v>
      </c>
      <c r="AV110">
        <f>СВ!AW63</f>
        <v>0</v>
      </c>
      <c r="AW110">
        <f>СВ!AX63</f>
        <v>0</v>
      </c>
      <c r="AX110">
        <f>СВ!AY63</f>
        <v>0</v>
      </c>
      <c r="AY110">
        <f>СВ!AZ63</f>
        <v>0</v>
      </c>
      <c r="AZ110">
        <f>СВ!BA63</f>
        <v>0</v>
      </c>
      <c r="BA110">
        <f>СВ!BB63</f>
        <v>0</v>
      </c>
      <c r="BB110">
        <f>СВ!BC63</f>
        <v>0</v>
      </c>
      <c r="BC110">
        <f>СВ!BD63</f>
        <v>0</v>
      </c>
      <c r="BD110">
        <f>СВ!BE63</f>
        <v>0</v>
      </c>
      <c r="BE110">
        <f>СВ!BF63</f>
        <v>0</v>
      </c>
      <c r="BF110">
        <f>СВ!BG63</f>
        <v>0</v>
      </c>
      <c r="BG110">
        <f>СВ!BH63</f>
        <v>0</v>
      </c>
      <c r="BH110">
        <f>СВ!BI63</f>
        <v>0</v>
      </c>
      <c r="BI110">
        <f>СВ!BJ63</f>
        <v>0</v>
      </c>
      <c r="BJ110">
        <f>СВ!BK63</f>
        <v>0</v>
      </c>
      <c r="BK110">
        <f>СВ!BL63</f>
        <v>0</v>
      </c>
    </row>
    <row r="111" spans="1:99">
      <c r="A111" s="27">
        <f>СВ!B64</f>
        <v>37</v>
      </c>
      <c r="B111" s="28">
        <f>СВ!C64</f>
        <v>0.69791666666666652</v>
      </c>
      <c r="C111" s="29">
        <f>СВ!D64</f>
        <v>0.72916666666666652</v>
      </c>
      <c r="D111" t="e">
        <f ca="1">СВ!E64</f>
        <v>#NAME?</v>
      </c>
      <c r="E111">
        <f>СВ!F64</f>
        <v>1</v>
      </c>
      <c r="F111">
        <f>СВ!G64</f>
        <v>0</v>
      </c>
      <c r="G111">
        <f>СВ!H64</f>
        <v>1</v>
      </c>
      <c r="H111" t="e">
        <f ca="1">СВ!I64</f>
        <v>#NAME?</v>
      </c>
      <c r="I111">
        <f>СВ!J64</f>
        <v>1</v>
      </c>
      <c r="J111">
        <f>СВ!K64</f>
        <v>0</v>
      </c>
      <c r="K111">
        <f>СВ!L64</f>
        <v>0</v>
      </c>
      <c r="L111">
        <f>СВ!M64</f>
        <v>0</v>
      </c>
      <c r="M111">
        <f>СВ!N64</f>
        <v>0</v>
      </c>
      <c r="N111">
        <f>СВ!O64</f>
        <v>0</v>
      </c>
      <c r="O111">
        <f>СВ!P64</f>
        <v>0</v>
      </c>
      <c r="P111">
        <f>СВ!Q64</f>
        <v>0</v>
      </c>
      <c r="Q111">
        <f>СВ!R64</f>
        <v>0</v>
      </c>
      <c r="R111">
        <f>СВ!S64</f>
        <v>0</v>
      </c>
      <c r="S111">
        <f>СВ!T64</f>
        <v>0</v>
      </c>
      <c r="T111">
        <f>СВ!U64</f>
        <v>0</v>
      </c>
      <c r="U111">
        <f>СВ!V64</f>
        <v>0</v>
      </c>
      <c r="V111">
        <f>СВ!W64</f>
        <v>0</v>
      </c>
      <c r="W111">
        <f>СВ!X64</f>
        <v>0</v>
      </c>
      <c r="X111">
        <f>СВ!Y64</f>
        <v>0</v>
      </c>
      <c r="Y111">
        <f>СВ!Z64</f>
        <v>0</v>
      </c>
      <c r="Z111">
        <f>СВ!AA64</f>
        <v>0</v>
      </c>
      <c r="AA111">
        <f>СВ!AB64</f>
        <v>0</v>
      </c>
      <c r="AB111">
        <f>СВ!AC64</f>
        <v>0</v>
      </c>
      <c r="AC111">
        <f>СВ!AD64</f>
        <v>0</v>
      </c>
      <c r="AD111">
        <f>СВ!AE64</f>
        <v>0</v>
      </c>
      <c r="AE111">
        <f>СВ!AF64</f>
        <v>0</v>
      </c>
      <c r="AF111">
        <f>СВ!AG64</f>
        <v>0</v>
      </c>
      <c r="AG111">
        <f>СВ!AH64</f>
        <v>0</v>
      </c>
      <c r="AH111">
        <f>СВ!AI64</f>
        <v>0</v>
      </c>
      <c r="AI111">
        <f>СВ!AJ64</f>
        <v>0</v>
      </c>
      <c r="AJ111">
        <f>СВ!AK64</f>
        <v>0</v>
      </c>
      <c r="AK111">
        <f>СВ!AL64</f>
        <v>0</v>
      </c>
      <c r="AL111">
        <f>СВ!AM64</f>
        <v>0</v>
      </c>
      <c r="AM111">
        <f>СВ!AN64</f>
        <v>0</v>
      </c>
      <c r="AN111">
        <f>СВ!AO64</f>
        <v>0</v>
      </c>
      <c r="AO111">
        <f>СВ!AP64</f>
        <v>0</v>
      </c>
      <c r="AP111">
        <f>СВ!AQ64</f>
        <v>0</v>
      </c>
      <c r="AQ111">
        <f>СВ!AR64</f>
        <v>0</v>
      </c>
      <c r="AR111">
        <f>СВ!AS64</f>
        <v>0</v>
      </c>
      <c r="AS111">
        <f>СВ!AT64</f>
        <v>0</v>
      </c>
      <c r="AT111">
        <f>СВ!AU64</f>
        <v>0</v>
      </c>
      <c r="AU111">
        <f>СВ!AV64</f>
        <v>0</v>
      </c>
      <c r="AV111">
        <f>СВ!AW64</f>
        <v>0</v>
      </c>
      <c r="AW111">
        <f>СВ!AX64</f>
        <v>0</v>
      </c>
      <c r="AX111">
        <f>СВ!AY64</f>
        <v>0</v>
      </c>
      <c r="AY111">
        <f>СВ!AZ64</f>
        <v>0</v>
      </c>
      <c r="AZ111">
        <f>СВ!BA64</f>
        <v>0</v>
      </c>
      <c r="BA111">
        <f>СВ!BB64</f>
        <v>0</v>
      </c>
      <c r="BB111">
        <f>СВ!BC64</f>
        <v>0</v>
      </c>
      <c r="BC111">
        <f>СВ!BD64</f>
        <v>0</v>
      </c>
      <c r="BD111">
        <f>СВ!BE64</f>
        <v>0</v>
      </c>
      <c r="BE111">
        <f>СВ!BF64</f>
        <v>0</v>
      </c>
      <c r="BF111">
        <f>СВ!BG64</f>
        <v>0</v>
      </c>
      <c r="BG111">
        <f>СВ!BH64</f>
        <v>0</v>
      </c>
      <c r="BH111">
        <f>СВ!BI64</f>
        <v>0</v>
      </c>
      <c r="BI111">
        <f>СВ!BJ64</f>
        <v>0</v>
      </c>
      <c r="BJ111">
        <f>СВ!BK64</f>
        <v>0</v>
      </c>
      <c r="BK111">
        <f>СВ!BL64</f>
        <v>0</v>
      </c>
    </row>
    <row r="112" spans="1:99">
      <c r="A112" s="30">
        <f>СВ!B65</f>
        <v>38</v>
      </c>
      <c r="B112" s="31">
        <f>СВ!C65</f>
        <v>0.70833333333333315</v>
      </c>
      <c r="C112" s="32">
        <f>СВ!D65</f>
        <v>0.74999999999999978</v>
      </c>
      <c r="D112" t="e">
        <f ca="1">СВ!E65</f>
        <v>#NAME?</v>
      </c>
      <c r="E112">
        <f>СВ!F65</f>
        <v>1</v>
      </c>
      <c r="F112">
        <f>СВ!G65</f>
        <v>0</v>
      </c>
      <c r="G112">
        <f>СВ!H65</f>
        <v>1</v>
      </c>
      <c r="H112" t="e">
        <f ca="1">СВ!I65</f>
        <v>#NAME?</v>
      </c>
      <c r="I112">
        <f>СВ!J65</f>
        <v>1</v>
      </c>
      <c r="J112">
        <f>СВ!K65</f>
        <v>0</v>
      </c>
      <c r="K112">
        <f>СВ!L65</f>
        <v>0</v>
      </c>
      <c r="L112">
        <f>СВ!M65</f>
        <v>0</v>
      </c>
      <c r="M112">
        <f>СВ!N65</f>
        <v>0</v>
      </c>
      <c r="N112">
        <f>СВ!O65</f>
        <v>0</v>
      </c>
      <c r="O112">
        <f>СВ!P65</f>
        <v>0</v>
      </c>
      <c r="P112">
        <f>СВ!Q65</f>
        <v>0</v>
      </c>
      <c r="Q112">
        <f>СВ!R65</f>
        <v>0</v>
      </c>
      <c r="R112">
        <f>СВ!S65</f>
        <v>0</v>
      </c>
      <c r="S112">
        <f>СВ!T65</f>
        <v>0</v>
      </c>
      <c r="T112">
        <f>СВ!U65</f>
        <v>0</v>
      </c>
      <c r="U112">
        <f>СВ!V65</f>
        <v>0</v>
      </c>
      <c r="V112">
        <f>СВ!W65</f>
        <v>0</v>
      </c>
      <c r="W112">
        <f>СВ!X65</f>
        <v>0</v>
      </c>
      <c r="X112">
        <f>СВ!Y65</f>
        <v>0</v>
      </c>
      <c r="Y112">
        <f>СВ!Z65</f>
        <v>0</v>
      </c>
      <c r="Z112">
        <f>СВ!AA65</f>
        <v>0</v>
      </c>
      <c r="AA112">
        <f>СВ!AB65</f>
        <v>0</v>
      </c>
      <c r="AB112">
        <f>СВ!AC65</f>
        <v>0</v>
      </c>
      <c r="AC112">
        <f>СВ!AD65</f>
        <v>0</v>
      </c>
      <c r="AD112">
        <f>СВ!AE65</f>
        <v>0</v>
      </c>
      <c r="AE112">
        <f>СВ!AF65</f>
        <v>0</v>
      </c>
      <c r="AF112">
        <f>СВ!AG65</f>
        <v>0</v>
      </c>
      <c r="AG112">
        <f>СВ!AH65</f>
        <v>0</v>
      </c>
      <c r="AH112">
        <f>СВ!AI65</f>
        <v>0</v>
      </c>
      <c r="AI112">
        <f>СВ!AJ65</f>
        <v>0</v>
      </c>
      <c r="AJ112">
        <f>СВ!AK65</f>
        <v>0</v>
      </c>
      <c r="AK112">
        <f>СВ!AL65</f>
        <v>0</v>
      </c>
      <c r="AL112">
        <f>СВ!AM65</f>
        <v>0</v>
      </c>
      <c r="AM112">
        <f>СВ!AN65</f>
        <v>0</v>
      </c>
      <c r="AN112">
        <f>СВ!AO65</f>
        <v>0</v>
      </c>
      <c r="AO112">
        <f>СВ!AP65</f>
        <v>0</v>
      </c>
      <c r="AP112">
        <f>СВ!AQ65</f>
        <v>0</v>
      </c>
      <c r="AQ112">
        <f>СВ!AR65</f>
        <v>0</v>
      </c>
      <c r="AR112">
        <f>СВ!AS65</f>
        <v>0</v>
      </c>
      <c r="AS112">
        <f>СВ!AT65</f>
        <v>0</v>
      </c>
      <c r="AT112">
        <f>СВ!AU65</f>
        <v>0</v>
      </c>
      <c r="AU112">
        <f>СВ!AV65</f>
        <v>0</v>
      </c>
      <c r="AV112">
        <f>СВ!AW65</f>
        <v>0</v>
      </c>
      <c r="AW112">
        <f>СВ!AX65</f>
        <v>0</v>
      </c>
      <c r="AX112">
        <f>СВ!AY65</f>
        <v>0</v>
      </c>
      <c r="AY112">
        <f>СВ!AZ65</f>
        <v>0</v>
      </c>
      <c r="AZ112">
        <f>СВ!BA65</f>
        <v>0</v>
      </c>
      <c r="BA112">
        <f>СВ!BB65</f>
        <v>0</v>
      </c>
      <c r="BB112">
        <f>СВ!BC65</f>
        <v>0</v>
      </c>
      <c r="BC112">
        <f>СВ!BD65</f>
        <v>0</v>
      </c>
      <c r="BD112">
        <f>СВ!BE65</f>
        <v>0</v>
      </c>
      <c r="BE112">
        <f>СВ!BF65</f>
        <v>0</v>
      </c>
      <c r="BF112">
        <f>СВ!BG65</f>
        <v>0</v>
      </c>
      <c r="BG112">
        <f>СВ!BH65</f>
        <v>0</v>
      </c>
      <c r="BH112">
        <f>СВ!BI65</f>
        <v>0</v>
      </c>
      <c r="BI112">
        <f>СВ!BJ65</f>
        <v>0</v>
      </c>
      <c r="BJ112">
        <f>СВ!BK65</f>
        <v>0</v>
      </c>
      <c r="BK112">
        <f>СВ!BL65</f>
        <v>0</v>
      </c>
    </row>
    <row r="113" spans="1:64">
      <c r="A113" s="27">
        <f>СВ!B66</f>
        <v>39</v>
      </c>
      <c r="B113" s="28">
        <f>СВ!C66</f>
        <v>0.71874999999999978</v>
      </c>
      <c r="C113" s="29">
        <f>СВ!D66</f>
        <v>0.74999999999999978</v>
      </c>
      <c r="D113" t="e">
        <f ca="1">СВ!E66</f>
        <v>#NAME?</v>
      </c>
      <c r="E113">
        <f>СВ!F66</f>
        <v>1</v>
      </c>
      <c r="F113">
        <f>СВ!G66</f>
        <v>0</v>
      </c>
      <c r="G113">
        <f>СВ!H66</f>
        <v>1</v>
      </c>
      <c r="H113" t="e">
        <f ca="1">СВ!I66</f>
        <v>#NAME?</v>
      </c>
      <c r="I113">
        <f>СВ!J66</f>
        <v>1</v>
      </c>
      <c r="J113">
        <f>СВ!K66</f>
        <v>0</v>
      </c>
      <c r="K113">
        <f>СВ!L66</f>
        <v>0</v>
      </c>
      <c r="L113">
        <f>СВ!M66</f>
        <v>0</v>
      </c>
      <c r="M113">
        <f>СВ!N66</f>
        <v>0</v>
      </c>
      <c r="N113">
        <f>СВ!O66</f>
        <v>0</v>
      </c>
      <c r="O113">
        <f>СВ!P66</f>
        <v>0</v>
      </c>
      <c r="P113">
        <f>СВ!Q66</f>
        <v>0</v>
      </c>
      <c r="Q113">
        <f>СВ!R66</f>
        <v>0</v>
      </c>
      <c r="R113">
        <f>СВ!S66</f>
        <v>0</v>
      </c>
      <c r="S113">
        <f>СВ!T66</f>
        <v>0</v>
      </c>
      <c r="T113">
        <f>СВ!U66</f>
        <v>0</v>
      </c>
      <c r="U113">
        <f>СВ!V66</f>
        <v>0</v>
      </c>
      <c r="V113">
        <f>СВ!W66</f>
        <v>0</v>
      </c>
      <c r="W113">
        <f>СВ!X66</f>
        <v>0</v>
      </c>
      <c r="X113">
        <f>СВ!Y66</f>
        <v>0</v>
      </c>
      <c r="Y113">
        <f>СВ!Z66</f>
        <v>0</v>
      </c>
      <c r="Z113">
        <f>СВ!AA66</f>
        <v>0</v>
      </c>
      <c r="AA113">
        <f>СВ!AB66</f>
        <v>0</v>
      </c>
      <c r="AB113">
        <f>СВ!AC66</f>
        <v>0</v>
      </c>
      <c r="AC113">
        <f>СВ!AD66</f>
        <v>0</v>
      </c>
      <c r="AD113">
        <f>СВ!AE66</f>
        <v>0</v>
      </c>
      <c r="AE113">
        <f>СВ!AF66</f>
        <v>0</v>
      </c>
      <c r="AF113">
        <f>СВ!AG66</f>
        <v>0</v>
      </c>
      <c r="AG113">
        <f>СВ!AH66</f>
        <v>0</v>
      </c>
      <c r="AH113">
        <f>СВ!AI66</f>
        <v>0</v>
      </c>
      <c r="AI113">
        <f>СВ!AJ66</f>
        <v>0</v>
      </c>
      <c r="AJ113">
        <f>СВ!AK66</f>
        <v>0</v>
      </c>
      <c r="AK113">
        <f>СВ!AL66</f>
        <v>0</v>
      </c>
      <c r="AL113">
        <f>СВ!AM66</f>
        <v>0</v>
      </c>
      <c r="AM113">
        <f>СВ!AN66</f>
        <v>0</v>
      </c>
      <c r="AN113">
        <f>СВ!AO66</f>
        <v>0</v>
      </c>
      <c r="AO113">
        <f>СВ!AP66</f>
        <v>0</v>
      </c>
      <c r="AP113">
        <f>СВ!AQ66</f>
        <v>0</v>
      </c>
      <c r="AQ113">
        <f>СВ!AR66</f>
        <v>0</v>
      </c>
      <c r="AR113">
        <f>СВ!AS66</f>
        <v>0</v>
      </c>
      <c r="AS113">
        <f>СВ!AT66</f>
        <v>0</v>
      </c>
      <c r="AT113">
        <f>СВ!AU66</f>
        <v>0</v>
      </c>
      <c r="AU113">
        <f>СВ!AV66</f>
        <v>0</v>
      </c>
      <c r="AV113">
        <f>СВ!AW66</f>
        <v>0</v>
      </c>
      <c r="AW113">
        <f>СВ!AX66</f>
        <v>0</v>
      </c>
      <c r="AX113">
        <f>СВ!AY66</f>
        <v>0</v>
      </c>
      <c r="AY113">
        <f>СВ!AZ66</f>
        <v>0</v>
      </c>
      <c r="AZ113">
        <f>СВ!BA66</f>
        <v>0</v>
      </c>
      <c r="BA113">
        <f>СВ!BB66</f>
        <v>0</v>
      </c>
      <c r="BB113">
        <f>СВ!BC66</f>
        <v>0</v>
      </c>
      <c r="BC113">
        <f>СВ!BD66</f>
        <v>0</v>
      </c>
      <c r="BD113">
        <f>СВ!BE66</f>
        <v>0</v>
      </c>
      <c r="BE113">
        <f>СВ!BF66</f>
        <v>0</v>
      </c>
      <c r="BF113">
        <f>СВ!BG66</f>
        <v>0</v>
      </c>
      <c r="BG113">
        <f>СВ!BH66</f>
        <v>0</v>
      </c>
      <c r="BH113">
        <f>СВ!BI66</f>
        <v>0</v>
      </c>
      <c r="BI113">
        <f>СВ!BJ66</f>
        <v>0</v>
      </c>
      <c r="BJ113">
        <f>СВ!BK66</f>
        <v>0</v>
      </c>
      <c r="BK113">
        <f>СВ!BL66</f>
        <v>0</v>
      </c>
    </row>
    <row r="114" spans="1:64">
      <c r="A114" s="30">
        <f>СВ!B67</f>
        <v>40</v>
      </c>
      <c r="B114" s="31">
        <f>СВ!C67</f>
        <v>0.72916666666666652</v>
      </c>
      <c r="C114" s="32">
        <f>СВ!D67</f>
        <v>0.76041666666666641</v>
      </c>
      <c r="D114" t="e">
        <f ca="1">СВ!E67</f>
        <v>#NAME?</v>
      </c>
      <c r="E114">
        <f>СВ!F67</f>
        <v>0</v>
      </c>
      <c r="F114">
        <f>СВ!G67</f>
        <v>0</v>
      </c>
      <c r="G114">
        <f>СВ!H67</f>
        <v>0</v>
      </c>
      <c r="H114" t="e">
        <f ca="1">СВ!I67</f>
        <v>#NAME?</v>
      </c>
      <c r="I114">
        <f>СВ!J67</f>
        <v>0</v>
      </c>
      <c r="J114">
        <f>СВ!K67</f>
        <v>0</v>
      </c>
      <c r="K114">
        <f>СВ!L67</f>
        <v>0</v>
      </c>
      <c r="L114">
        <f>СВ!M67</f>
        <v>0</v>
      </c>
      <c r="M114">
        <f>СВ!N67</f>
        <v>0</v>
      </c>
      <c r="N114">
        <f>СВ!O67</f>
        <v>0</v>
      </c>
      <c r="O114">
        <f>СВ!P67</f>
        <v>0</v>
      </c>
      <c r="P114">
        <f>СВ!Q67</f>
        <v>0</v>
      </c>
      <c r="Q114">
        <f>СВ!R67</f>
        <v>0</v>
      </c>
      <c r="R114">
        <f>СВ!S67</f>
        <v>0</v>
      </c>
      <c r="S114">
        <f>СВ!T67</f>
        <v>0</v>
      </c>
      <c r="T114">
        <f>СВ!U67</f>
        <v>0</v>
      </c>
      <c r="U114">
        <f>СВ!V67</f>
        <v>0</v>
      </c>
      <c r="V114">
        <f>СВ!W67</f>
        <v>0</v>
      </c>
      <c r="W114">
        <f>СВ!X67</f>
        <v>0</v>
      </c>
      <c r="X114">
        <f>СВ!Y67</f>
        <v>0</v>
      </c>
      <c r="Y114">
        <f>СВ!Z67</f>
        <v>0</v>
      </c>
      <c r="Z114">
        <f>СВ!AA67</f>
        <v>0</v>
      </c>
      <c r="AA114">
        <f>СВ!AB67</f>
        <v>0</v>
      </c>
      <c r="AB114">
        <f>СВ!AC67</f>
        <v>0</v>
      </c>
      <c r="AC114">
        <f>СВ!AD67</f>
        <v>0</v>
      </c>
      <c r="AD114">
        <f>СВ!AE67</f>
        <v>0</v>
      </c>
      <c r="AE114">
        <f>СВ!AF67</f>
        <v>0</v>
      </c>
      <c r="AF114">
        <f>СВ!AG67</f>
        <v>0</v>
      </c>
      <c r="AG114">
        <f>СВ!AH67</f>
        <v>0</v>
      </c>
      <c r="AH114">
        <f>СВ!AI67</f>
        <v>0</v>
      </c>
      <c r="AI114">
        <f>СВ!AJ67</f>
        <v>0</v>
      </c>
      <c r="AJ114">
        <f>СВ!AK67</f>
        <v>0</v>
      </c>
      <c r="AK114">
        <f>СВ!AL67</f>
        <v>0</v>
      </c>
      <c r="AL114">
        <f>СВ!AM67</f>
        <v>0</v>
      </c>
      <c r="AM114">
        <f>СВ!AN67</f>
        <v>0</v>
      </c>
      <c r="AN114">
        <f>СВ!AO67</f>
        <v>0</v>
      </c>
      <c r="AO114">
        <f>СВ!AP67</f>
        <v>0</v>
      </c>
      <c r="AP114">
        <f>СВ!AQ67</f>
        <v>0</v>
      </c>
      <c r="AQ114">
        <f>СВ!AR67</f>
        <v>0</v>
      </c>
      <c r="AR114">
        <f>СВ!AS67</f>
        <v>0</v>
      </c>
      <c r="AS114">
        <f>СВ!AT67</f>
        <v>0</v>
      </c>
      <c r="AT114">
        <f>СВ!AU67</f>
        <v>0</v>
      </c>
      <c r="AU114">
        <f>СВ!AV67</f>
        <v>0</v>
      </c>
      <c r="AV114">
        <f>СВ!AW67</f>
        <v>0</v>
      </c>
      <c r="AW114">
        <f>СВ!AX67</f>
        <v>0</v>
      </c>
      <c r="AX114">
        <f>СВ!AY67</f>
        <v>0</v>
      </c>
      <c r="AY114">
        <f>СВ!AZ67</f>
        <v>0</v>
      </c>
      <c r="AZ114">
        <f>СВ!BA67</f>
        <v>0</v>
      </c>
      <c r="BA114">
        <f>СВ!BB67</f>
        <v>0</v>
      </c>
      <c r="BB114">
        <f>СВ!BC67</f>
        <v>0</v>
      </c>
      <c r="BC114">
        <f>СВ!BD67</f>
        <v>0</v>
      </c>
      <c r="BD114">
        <f>СВ!BE67</f>
        <v>0</v>
      </c>
      <c r="BE114">
        <f>СВ!BF67</f>
        <v>0</v>
      </c>
      <c r="BF114">
        <f>СВ!BG67</f>
        <v>0</v>
      </c>
      <c r="BG114">
        <f>СВ!BH67</f>
        <v>0</v>
      </c>
      <c r="BH114">
        <f>СВ!BI67</f>
        <v>0</v>
      </c>
      <c r="BI114">
        <f>СВ!BJ67</f>
        <v>0</v>
      </c>
      <c r="BJ114">
        <f>СВ!BK67</f>
        <v>0</v>
      </c>
      <c r="BK114">
        <f>СВ!BL67</f>
        <v>0</v>
      </c>
    </row>
    <row r="115" spans="1:64">
      <c r="A115" s="27">
        <f>СВ!B68</f>
        <v>41</v>
      </c>
      <c r="B115" s="28">
        <f>СВ!C68</f>
        <v>0.73958333333333315</v>
      </c>
      <c r="C115" s="29">
        <f>СВ!D68</f>
        <v>0.77083333333333315</v>
      </c>
      <c r="D115" t="e">
        <f ca="1">СВ!E68</f>
        <v>#NAME?</v>
      </c>
      <c r="E115">
        <f>СВ!F68</f>
        <v>0</v>
      </c>
      <c r="F115">
        <f>СВ!G68</f>
        <v>0</v>
      </c>
      <c r="G115">
        <f>СВ!H68</f>
        <v>0</v>
      </c>
      <c r="H115" t="e">
        <f ca="1">СВ!I68</f>
        <v>#NAME?</v>
      </c>
      <c r="I115">
        <f>СВ!J68</f>
        <v>0</v>
      </c>
      <c r="J115">
        <f>СВ!K68</f>
        <v>0</v>
      </c>
      <c r="K115">
        <f>СВ!L68</f>
        <v>0</v>
      </c>
      <c r="L115">
        <f>СВ!M68</f>
        <v>0</v>
      </c>
      <c r="M115">
        <f>СВ!N68</f>
        <v>0</v>
      </c>
      <c r="N115">
        <f>СВ!O68</f>
        <v>0</v>
      </c>
      <c r="O115">
        <f>СВ!P68</f>
        <v>0</v>
      </c>
      <c r="P115">
        <f>СВ!Q68</f>
        <v>0</v>
      </c>
      <c r="Q115">
        <f>СВ!R68</f>
        <v>0</v>
      </c>
      <c r="R115">
        <f>СВ!S68</f>
        <v>0</v>
      </c>
      <c r="S115">
        <f>СВ!T68</f>
        <v>0</v>
      </c>
      <c r="T115">
        <f>СВ!U68</f>
        <v>0</v>
      </c>
      <c r="U115">
        <f>СВ!V68</f>
        <v>0</v>
      </c>
      <c r="V115">
        <f>СВ!W68</f>
        <v>0</v>
      </c>
      <c r="W115">
        <f>СВ!X68</f>
        <v>0</v>
      </c>
      <c r="X115">
        <f>СВ!Y68</f>
        <v>0</v>
      </c>
      <c r="Y115">
        <f>СВ!Z68</f>
        <v>0</v>
      </c>
      <c r="Z115">
        <f>СВ!AA68</f>
        <v>0</v>
      </c>
      <c r="AA115">
        <f>СВ!AB68</f>
        <v>0</v>
      </c>
      <c r="AB115">
        <f>СВ!AC68</f>
        <v>0</v>
      </c>
      <c r="AC115">
        <f>СВ!AD68</f>
        <v>0</v>
      </c>
      <c r="AD115">
        <f>СВ!AE68</f>
        <v>0</v>
      </c>
      <c r="AE115">
        <f>СВ!AF68</f>
        <v>0</v>
      </c>
      <c r="AF115">
        <f>СВ!AG68</f>
        <v>0</v>
      </c>
      <c r="AG115">
        <f>СВ!AH68</f>
        <v>0</v>
      </c>
      <c r="AH115">
        <f>СВ!AI68</f>
        <v>0</v>
      </c>
      <c r="AI115">
        <f>СВ!AJ68</f>
        <v>0</v>
      </c>
      <c r="AJ115">
        <f>СВ!AK68</f>
        <v>0</v>
      </c>
      <c r="AK115">
        <f>СВ!AL68</f>
        <v>0</v>
      </c>
      <c r="AL115">
        <f>СВ!AM68</f>
        <v>0</v>
      </c>
      <c r="AM115">
        <f>СВ!AN68</f>
        <v>0</v>
      </c>
      <c r="AN115">
        <f>СВ!AO68</f>
        <v>0</v>
      </c>
      <c r="AO115">
        <f>СВ!AP68</f>
        <v>0</v>
      </c>
      <c r="AP115">
        <f>СВ!AQ68</f>
        <v>0</v>
      </c>
      <c r="AQ115">
        <f>СВ!AR68</f>
        <v>0</v>
      </c>
      <c r="AR115">
        <f>СВ!AS68</f>
        <v>0</v>
      </c>
      <c r="AS115">
        <f>СВ!AT68</f>
        <v>0</v>
      </c>
      <c r="AT115">
        <f>СВ!AU68</f>
        <v>0</v>
      </c>
      <c r="AU115">
        <f>СВ!AV68</f>
        <v>0</v>
      </c>
      <c r="AV115">
        <f>СВ!AW68</f>
        <v>0</v>
      </c>
      <c r="AW115">
        <f>СВ!AX68</f>
        <v>0</v>
      </c>
      <c r="AX115">
        <f>СВ!AY68</f>
        <v>0</v>
      </c>
      <c r="AY115">
        <f>СВ!AZ68</f>
        <v>0</v>
      </c>
      <c r="AZ115">
        <f>СВ!BA68</f>
        <v>0</v>
      </c>
      <c r="BA115">
        <f>СВ!BB68</f>
        <v>0</v>
      </c>
      <c r="BB115">
        <f>СВ!BC68</f>
        <v>0</v>
      </c>
      <c r="BC115">
        <f>СВ!BD68</f>
        <v>0</v>
      </c>
      <c r="BD115">
        <f>СВ!BE68</f>
        <v>0</v>
      </c>
      <c r="BE115">
        <f>СВ!BF68</f>
        <v>0</v>
      </c>
      <c r="BF115">
        <f>СВ!BG68</f>
        <v>0</v>
      </c>
      <c r="BG115">
        <f>СВ!BH68</f>
        <v>0</v>
      </c>
      <c r="BH115">
        <f>СВ!BI68</f>
        <v>0</v>
      </c>
      <c r="BI115">
        <f>СВ!BJ68</f>
        <v>0</v>
      </c>
      <c r="BJ115">
        <f>СВ!BK68</f>
        <v>0</v>
      </c>
      <c r="BK115">
        <f>СВ!BL68</f>
        <v>0</v>
      </c>
    </row>
    <row r="116" spans="1:64">
      <c r="A116" s="30">
        <f>СВ!B69</f>
        <v>42</v>
      </c>
      <c r="B116" s="31">
        <f>СВ!C69</f>
        <v>0.74999999999999978</v>
      </c>
      <c r="C116" s="32">
        <f>СВ!D69</f>
        <v>0.79166666666666641</v>
      </c>
      <c r="D116" t="e">
        <f ca="1">СВ!E69</f>
        <v>#NAME?</v>
      </c>
      <c r="E116">
        <f>СВ!F69</f>
        <v>0</v>
      </c>
      <c r="F116">
        <f>СВ!G69</f>
        <v>0</v>
      </c>
      <c r="G116">
        <f>СВ!H69</f>
        <v>0</v>
      </c>
      <c r="H116" t="e">
        <f ca="1">СВ!I69</f>
        <v>#NAME?</v>
      </c>
      <c r="I116">
        <f>СВ!J69</f>
        <v>0</v>
      </c>
      <c r="J116">
        <f>СВ!K69</f>
        <v>0</v>
      </c>
      <c r="K116">
        <f>СВ!L69</f>
        <v>0</v>
      </c>
      <c r="L116">
        <f>СВ!M69</f>
        <v>0</v>
      </c>
      <c r="M116">
        <f>СВ!N69</f>
        <v>0</v>
      </c>
      <c r="N116">
        <f>СВ!O69</f>
        <v>0</v>
      </c>
      <c r="O116">
        <f>СВ!P69</f>
        <v>0</v>
      </c>
      <c r="P116">
        <f>СВ!Q69</f>
        <v>0</v>
      </c>
      <c r="Q116">
        <f>СВ!R69</f>
        <v>0</v>
      </c>
      <c r="R116">
        <f>СВ!S69</f>
        <v>0</v>
      </c>
      <c r="S116">
        <f>СВ!T69</f>
        <v>0</v>
      </c>
      <c r="T116">
        <f>СВ!U69</f>
        <v>0</v>
      </c>
      <c r="U116">
        <f>СВ!V69</f>
        <v>0</v>
      </c>
      <c r="V116">
        <f>СВ!W69</f>
        <v>0</v>
      </c>
      <c r="W116">
        <f>СВ!X69</f>
        <v>0</v>
      </c>
      <c r="X116">
        <f>СВ!Y69</f>
        <v>0</v>
      </c>
      <c r="Y116">
        <f>СВ!Z69</f>
        <v>0</v>
      </c>
      <c r="Z116">
        <f>СВ!AA69</f>
        <v>0</v>
      </c>
      <c r="AA116">
        <f>СВ!AB69</f>
        <v>0</v>
      </c>
      <c r="AB116">
        <f>СВ!AC69</f>
        <v>0</v>
      </c>
      <c r="AC116">
        <f>СВ!AD69</f>
        <v>0</v>
      </c>
      <c r="AD116">
        <f>СВ!AE69</f>
        <v>0</v>
      </c>
      <c r="AE116">
        <f>СВ!AF69</f>
        <v>0</v>
      </c>
      <c r="AF116">
        <f>СВ!AG69</f>
        <v>0</v>
      </c>
      <c r="AG116">
        <f>СВ!AH69</f>
        <v>0</v>
      </c>
      <c r="AH116">
        <f>СВ!AI69</f>
        <v>0</v>
      </c>
      <c r="AI116">
        <f>СВ!AJ69</f>
        <v>0</v>
      </c>
      <c r="AJ116">
        <f>СВ!AK69</f>
        <v>0</v>
      </c>
      <c r="AK116">
        <f>СВ!AL69</f>
        <v>0</v>
      </c>
      <c r="AL116">
        <f>СВ!AM69</f>
        <v>0</v>
      </c>
      <c r="AM116">
        <f>СВ!AN69</f>
        <v>0</v>
      </c>
      <c r="AN116">
        <f>СВ!AO69</f>
        <v>0</v>
      </c>
      <c r="AO116">
        <f>СВ!AP69</f>
        <v>0</v>
      </c>
      <c r="AP116">
        <f>СВ!AQ69</f>
        <v>0</v>
      </c>
      <c r="AQ116">
        <f>СВ!AR69</f>
        <v>0</v>
      </c>
      <c r="AR116">
        <f>СВ!AS69</f>
        <v>0</v>
      </c>
      <c r="AS116">
        <f>СВ!AT69</f>
        <v>0</v>
      </c>
      <c r="AT116">
        <f>СВ!AU69</f>
        <v>0</v>
      </c>
      <c r="AU116">
        <f>СВ!AV69</f>
        <v>0</v>
      </c>
      <c r="AV116">
        <f>СВ!AW69</f>
        <v>0</v>
      </c>
      <c r="AW116">
        <f>СВ!AX69</f>
        <v>0</v>
      </c>
      <c r="AX116">
        <f>СВ!AY69</f>
        <v>0</v>
      </c>
      <c r="AY116">
        <f>СВ!AZ69</f>
        <v>0</v>
      </c>
      <c r="AZ116">
        <f>СВ!BA69</f>
        <v>0</v>
      </c>
      <c r="BA116">
        <f>СВ!BB69</f>
        <v>0</v>
      </c>
      <c r="BB116">
        <f>СВ!BC69</f>
        <v>0</v>
      </c>
      <c r="BC116">
        <f>СВ!BD69</f>
        <v>0</v>
      </c>
      <c r="BD116">
        <f>СВ!BE69</f>
        <v>0</v>
      </c>
      <c r="BE116">
        <f>СВ!BF69</f>
        <v>0</v>
      </c>
      <c r="BF116">
        <f>СВ!BG69</f>
        <v>0</v>
      </c>
      <c r="BG116">
        <f>СВ!BH69</f>
        <v>0</v>
      </c>
      <c r="BH116">
        <f>СВ!BI69</f>
        <v>0</v>
      </c>
      <c r="BI116">
        <f>СВ!BJ69</f>
        <v>0</v>
      </c>
      <c r="BJ116">
        <f>СВ!BK69</f>
        <v>0</v>
      </c>
      <c r="BK116">
        <f>СВ!BL69</f>
        <v>0</v>
      </c>
    </row>
    <row r="117" spans="1:64">
      <c r="A117" s="27">
        <f>СВ!B70</f>
        <v>43</v>
      </c>
      <c r="B117" s="28">
        <f>СВ!C70</f>
        <v>0.76041666666666641</v>
      </c>
      <c r="C117" s="29">
        <f>СВ!D70</f>
        <v>0.79166666666666641</v>
      </c>
      <c r="D117" t="e">
        <f ca="1">СВ!E70</f>
        <v>#NAME?</v>
      </c>
      <c r="E117">
        <f>СВ!F70</f>
        <v>0</v>
      </c>
      <c r="F117">
        <f>СВ!G70</f>
        <v>0</v>
      </c>
      <c r="G117">
        <f>СВ!H70</f>
        <v>0</v>
      </c>
      <c r="H117" t="e">
        <f ca="1">СВ!I70</f>
        <v>#NAME?</v>
      </c>
      <c r="I117">
        <f>СВ!J70</f>
        <v>0</v>
      </c>
      <c r="J117">
        <f>СВ!K70</f>
        <v>0</v>
      </c>
      <c r="K117">
        <f>СВ!L70</f>
        <v>0</v>
      </c>
      <c r="L117">
        <f>СВ!M70</f>
        <v>0</v>
      </c>
      <c r="M117">
        <f>СВ!N70</f>
        <v>0</v>
      </c>
      <c r="N117">
        <f>СВ!O70</f>
        <v>0</v>
      </c>
      <c r="O117">
        <f>СВ!P70</f>
        <v>0</v>
      </c>
      <c r="P117">
        <f>СВ!Q70</f>
        <v>0</v>
      </c>
      <c r="Q117">
        <f>СВ!R70</f>
        <v>0</v>
      </c>
      <c r="R117">
        <f>СВ!S70</f>
        <v>0</v>
      </c>
      <c r="S117">
        <f>СВ!T70</f>
        <v>0</v>
      </c>
      <c r="T117">
        <f>СВ!U70</f>
        <v>0</v>
      </c>
      <c r="U117">
        <f>СВ!V70</f>
        <v>0</v>
      </c>
      <c r="V117">
        <f>СВ!W70</f>
        <v>0</v>
      </c>
      <c r="W117">
        <f>СВ!X70</f>
        <v>0</v>
      </c>
      <c r="X117">
        <f>СВ!Y70</f>
        <v>0</v>
      </c>
      <c r="Y117">
        <f>СВ!Z70</f>
        <v>0</v>
      </c>
      <c r="Z117">
        <f>СВ!AA70</f>
        <v>0</v>
      </c>
      <c r="AA117">
        <f>СВ!AB70</f>
        <v>0</v>
      </c>
      <c r="AB117">
        <f>СВ!AC70</f>
        <v>0</v>
      </c>
      <c r="AC117">
        <f>СВ!AD70</f>
        <v>0</v>
      </c>
      <c r="AD117">
        <f>СВ!AE70</f>
        <v>0</v>
      </c>
      <c r="AE117">
        <f>СВ!AF70</f>
        <v>0</v>
      </c>
      <c r="AF117">
        <f>СВ!AG70</f>
        <v>0</v>
      </c>
      <c r="AG117">
        <f>СВ!AH70</f>
        <v>0</v>
      </c>
      <c r="AH117">
        <f>СВ!AI70</f>
        <v>0</v>
      </c>
      <c r="AI117">
        <f>СВ!AJ70</f>
        <v>0</v>
      </c>
      <c r="AJ117">
        <f>СВ!AK70</f>
        <v>0</v>
      </c>
      <c r="AK117">
        <f>СВ!AL70</f>
        <v>0</v>
      </c>
      <c r="AL117">
        <f>СВ!AM70</f>
        <v>0</v>
      </c>
      <c r="AM117">
        <f>СВ!AN70</f>
        <v>0</v>
      </c>
      <c r="AN117">
        <f>СВ!AO70</f>
        <v>0</v>
      </c>
      <c r="AO117">
        <f>СВ!AP70</f>
        <v>0</v>
      </c>
      <c r="AP117">
        <f>СВ!AQ70</f>
        <v>0</v>
      </c>
      <c r="AQ117">
        <f>СВ!AR70</f>
        <v>0</v>
      </c>
      <c r="AR117">
        <f>СВ!AS70</f>
        <v>0</v>
      </c>
      <c r="AS117">
        <f>СВ!AT70</f>
        <v>0</v>
      </c>
      <c r="AT117">
        <f>СВ!AU70</f>
        <v>0</v>
      </c>
      <c r="AU117">
        <f>СВ!AV70</f>
        <v>0</v>
      </c>
      <c r="AV117">
        <f>СВ!AW70</f>
        <v>0</v>
      </c>
      <c r="AW117">
        <f>СВ!AX70</f>
        <v>0</v>
      </c>
      <c r="AX117">
        <f>СВ!AY70</f>
        <v>0</v>
      </c>
      <c r="AY117">
        <f>СВ!AZ70</f>
        <v>0</v>
      </c>
      <c r="AZ117">
        <f>СВ!BA70</f>
        <v>0</v>
      </c>
      <c r="BA117">
        <f>СВ!BB70</f>
        <v>0</v>
      </c>
      <c r="BB117">
        <f>СВ!BC70</f>
        <v>0</v>
      </c>
      <c r="BC117">
        <f>СВ!BD70</f>
        <v>0</v>
      </c>
      <c r="BD117">
        <f>СВ!BE70</f>
        <v>0</v>
      </c>
      <c r="BE117">
        <f>СВ!BF70</f>
        <v>0</v>
      </c>
      <c r="BF117">
        <f>СВ!BG70</f>
        <v>0</v>
      </c>
      <c r="BG117">
        <f>СВ!BH70</f>
        <v>0</v>
      </c>
      <c r="BH117">
        <f>СВ!BI70</f>
        <v>0</v>
      </c>
      <c r="BI117">
        <f>СВ!BJ70</f>
        <v>0</v>
      </c>
      <c r="BJ117">
        <f>СВ!BK70</f>
        <v>0</v>
      </c>
      <c r="BK117">
        <f>СВ!BL70</f>
        <v>0</v>
      </c>
    </row>
    <row r="118" spans="1:64">
      <c r="A118" s="30">
        <f>СВ!B71</f>
        <v>44</v>
      </c>
      <c r="B118" s="31">
        <f>СВ!C71</f>
        <v>0.77083333333333315</v>
      </c>
      <c r="C118" s="32">
        <f>СВ!D71</f>
        <v>0.80208333333333304</v>
      </c>
      <c r="D118" t="e">
        <f ca="1">СВ!E71</f>
        <v>#NAME?</v>
      </c>
      <c r="E118">
        <f>СВ!F71</f>
        <v>0</v>
      </c>
      <c r="F118">
        <f>СВ!G71</f>
        <v>0</v>
      </c>
      <c r="G118">
        <f>СВ!H71</f>
        <v>0</v>
      </c>
      <c r="H118" t="e">
        <f ca="1">СВ!I71</f>
        <v>#NAME?</v>
      </c>
      <c r="I118">
        <f>СВ!J71</f>
        <v>0</v>
      </c>
      <c r="J118">
        <f>СВ!K71</f>
        <v>0</v>
      </c>
      <c r="K118">
        <f>СВ!L71</f>
        <v>0</v>
      </c>
      <c r="L118">
        <f>СВ!M71</f>
        <v>0</v>
      </c>
      <c r="M118">
        <f>СВ!N71</f>
        <v>0</v>
      </c>
      <c r="N118">
        <f>СВ!O71</f>
        <v>0</v>
      </c>
      <c r="O118">
        <f>СВ!P71</f>
        <v>0</v>
      </c>
      <c r="P118">
        <f>СВ!Q71</f>
        <v>0</v>
      </c>
      <c r="Q118">
        <f>СВ!R71</f>
        <v>0</v>
      </c>
      <c r="R118">
        <f>СВ!S71</f>
        <v>0</v>
      </c>
      <c r="S118">
        <f>СВ!T71</f>
        <v>0</v>
      </c>
      <c r="T118">
        <f>СВ!U71</f>
        <v>0</v>
      </c>
      <c r="U118">
        <f>СВ!V71</f>
        <v>0</v>
      </c>
      <c r="V118">
        <f>СВ!W71</f>
        <v>0</v>
      </c>
      <c r="W118">
        <f>СВ!X71</f>
        <v>0</v>
      </c>
      <c r="X118">
        <f>СВ!Y71</f>
        <v>0</v>
      </c>
      <c r="Y118">
        <f>СВ!Z71</f>
        <v>0</v>
      </c>
      <c r="Z118">
        <f>СВ!AA71</f>
        <v>0</v>
      </c>
      <c r="AA118">
        <f>СВ!AB71</f>
        <v>0</v>
      </c>
      <c r="AB118">
        <f>СВ!AC71</f>
        <v>0</v>
      </c>
      <c r="AC118">
        <f>СВ!AD71</f>
        <v>0</v>
      </c>
      <c r="AD118">
        <f>СВ!AE71</f>
        <v>0</v>
      </c>
      <c r="AE118">
        <f>СВ!AF71</f>
        <v>0</v>
      </c>
      <c r="AF118">
        <f>СВ!AG71</f>
        <v>0</v>
      </c>
      <c r="AG118">
        <f>СВ!AH71</f>
        <v>0</v>
      </c>
      <c r="AH118">
        <f>СВ!AI71</f>
        <v>0</v>
      </c>
      <c r="AI118">
        <f>СВ!AJ71</f>
        <v>0</v>
      </c>
      <c r="AJ118">
        <f>СВ!AK71</f>
        <v>0</v>
      </c>
      <c r="AK118">
        <f>СВ!AL71</f>
        <v>0</v>
      </c>
      <c r="AL118">
        <f>СВ!AM71</f>
        <v>0</v>
      </c>
      <c r="AM118">
        <f>СВ!AN71</f>
        <v>0</v>
      </c>
      <c r="AN118">
        <f>СВ!AO71</f>
        <v>0</v>
      </c>
      <c r="AO118">
        <f>СВ!AP71</f>
        <v>0</v>
      </c>
      <c r="AP118">
        <f>СВ!AQ71</f>
        <v>0</v>
      </c>
      <c r="AQ118">
        <f>СВ!AR71</f>
        <v>0</v>
      </c>
      <c r="AR118">
        <f>СВ!AS71</f>
        <v>0</v>
      </c>
      <c r="AS118">
        <f>СВ!AT71</f>
        <v>0</v>
      </c>
      <c r="AT118">
        <f>СВ!AU71</f>
        <v>0</v>
      </c>
      <c r="AU118">
        <f>СВ!AV71</f>
        <v>0</v>
      </c>
      <c r="AV118">
        <f>СВ!AW71</f>
        <v>0</v>
      </c>
      <c r="AW118">
        <f>СВ!AX71</f>
        <v>0</v>
      </c>
      <c r="AX118">
        <f>СВ!AY71</f>
        <v>0</v>
      </c>
      <c r="AY118">
        <f>СВ!AZ71</f>
        <v>0</v>
      </c>
      <c r="AZ118">
        <f>СВ!BA71</f>
        <v>0</v>
      </c>
      <c r="BA118">
        <f>СВ!BB71</f>
        <v>0</v>
      </c>
      <c r="BB118">
        <f>СВ!BC71</f>
        <v>0</v>
      </c>
      <c r="BC118">
        <f>СВ!BD71</f>
        <v>0</v>
      </c>
      <c r="BD118">
        <f>СВ!BE71</f>
        <v>0</v>
      </c>
      <c r="BE118">
        <f>СВ!BF71</f>
        <v>0</v>
      </c>
      <c r="BF118">
        <f>СВ!BG71</f>
        <v>0</v>
      </c>
      <c r="BG118">
        <f>СВ!BH71</f>
        <v>0</v>
      </c>
      <c r="BH118">
        <f>СВ!BI71</f>
        <v>0</v>
      </c>
      <c r="BI118">
        <f>СВ!BJ71</f>
        <v>0</v>
      </c>
      <c r="BJ118">
        <f>СВ!BK71</f>
        <v>0</v>
      </c>
      <c r="BK118">
        <f>СВ!BL71</f>
        <v>0</v>
      </c>
    </row>
    <row r="119" spans="1:64">
      <c r="A119" s="27">
        <f>СВ!B72</f>
        <v>45</v>
      </c>
      <c r="B119" s="28">
        <f>СВ!C72</f>
        <v>0.78124999999999978</v>
      </c>
      <c r="C119" s="29">
        <f>СВ!D72</f>
        <v>0.81249999999999978</v>
      </c>
      <c r="D119" t="e">
        <f ca="1">СВ!E72</f>
        <v>#NAME?</v>
      </c>
      <c r="E119">
        <f>СВ!F72</f>
        <v>0</v>
      </c>
      <c r="F119">
        <f>СВ!G72</f>
        <v>0</v>
      </c>
      <c r="G119">
        <f>СВ!H72</f>
        <v>0</v>
      </c>
      <c r="H119" t="e">
        <f ca="1">СВ!I72</f>
        <v>#NAME?</v>
      </c>
      <c r="I119">
        <f>СВ!J72</f>
        <v>0</v>
      </c>
      <c r="J119">
        <f>СВ!K72</f>
        <v>0</v>
      </c>
      <c r="K119">
        <f>СВ!L72</f>
        <v>0</v>
      </c>
      <c r="L119">
        <f>СВ!M72</f>
        <v>0</v>
      </c>
      <c r="M119">
        <f>СВ!N72</f>
        <v>0</v>
      </c>
      <c r="N119">
        <f>СВ!O72</f>
        <v>0</v>
      </c>
      <c r="O119">
        <f>СВ!P72</f>
        <v>0</v>
      </c>
      <c r="P119">
        <f>СВ!Q72</f>
        <v>0</v>
      </c>
      <c r="Q119">
        <f>СВ!R72</f>
        <v>0</v>
      </c>
      <c r="R119">
        <f>СВ!S72</f>
        <v>0</v>
      </c>
      <c r="S119">
        <f>СВ!T72</f>
        <v>0</v>
      </c>
      <c r="T119">
        <f>СВ!U72</f>
        <v>0</v>
      </c>
      <c r="U119">
        <f>СВ!V72</f>
        <v>0</v>
      </c>
      <c r="V119">
        <f>СВ!W72</f>
        <v>0</v>
      </c>
      <c r="W119">
        <f>СВ!X72</f>
        <v>0</v>
      </c>
      <c r="X119">
        <f>СВ!Y72</f>
        <v>0</v>
      </c>
      <c r="Y119">
        <f>СВ!Z72</f>
        <v>0</v>
      </c>
      <c r="Z119">
        <f>СВ!AA72</f>
        <v>0</v>
      </c>
      <c r="AA119">
        <f>СВ!AB72</f>
        <v>0</v>
      </c>
      <c r="AB119">
        <f>СВ!AC72</f>
        <v>0</v>
      </c>
      <c r="AC119">
        <f>СВ!AD72</f>
        <v>0</v>
      </c>
      <c r="AD119">
        <f>СВ!AE72</f>
        <v>0</v>
      </c>
      <c r="AE119">
        <f>СВ!AF72</f>
        <v>0</v>
      </c>
      <c r="AF119">
        <f>СВ!AG72</f>
        <v>0</v>
      </c>
      <c r="AG119">
        <f>СВ!AH72</f>
        <v>0</v>
      </c>
      <c r="AH119">
        <f>СВ!AI72</f>
        <v>0</v>
      </c>
      <c r="AI119">
        <f>СВ!AJ72</f>
        <v>0</v>
      </c>
      <c r="AJ119">
        <f>СВ!AK72</f>
        <v>0</v>
      </c>
      <c r="AK119">
        <f>СВ!AL72</f>
        <v>0</v>
      </c>
      <c r="AL119">
        <f>СВ!AM72</f>
        <v>0</v>
      </c>
      <c r="AM119">
        <f>СВ!AN72</f>
        <v>0</v>
      </c>
      <c r="AN119">
        <f>СВ!AO72</f>
        <v>0</v>
      </c>
      <c r="AO119">
        <f>СВ!AP72</f>
        <v>0</v>
      </c>
      <c r="AP119">
        <f>СВ!AQ72</f>
        <v>0</v>
      </c>
      <c r="AQ119">
        <f>СВ!AR72</f>
        <v>0</v>
      </c>
      <c r="AR119">
        <f>СВ!AS72</f>
        <v>0</v>
      </c>
      <c r="AS119">
        <f>СВ!AT72</f>
        <v>0</v>
      </c>
      <c r="AT119">
        <f>СВ!AU72</f>
        <v>0</v>
      </c>
      <c r="AU119">
        <f>СВ!AV72</f>
        <v>0</v>
      </c>
      <c r="AV119">
        <f>СВ!AW72</f>
        <v>0</v>
      </c>
      <c r="AW119">
        <f>СВ!AX72</f>
        <v>0</v>
      </c>
      <c r="AX119">
        <f>СВ!AY72</f>
        <v>0</v>
      </c>
      <c r="AY119">
        <f>СВ!AZ72</f>
        <v>0</v>
      </c>
      <c r="AZ119">
        <f>СВ!BA72</f>
        <v>0</v>
      </c>
      <c r="BA119">
        <f>СВ!BB72</f>
        <v>0</v>
      </c>
      <c r="BB119">
        <f>СВ!BC72</f>
        <v>0</v>
      </c>
      <c r="BC119">
        <f>СВ!BD72</f>
        <v>0</v>
      </c>
      <c r="BD119">
        <f>СВ!BE72</f>
        <v>0</v>
      </c>
      <c r="BE119">
        <f>СВ!BF72</f>
        <v>0</v>
      </c>
      <c r="BF119">
        <f>СВ!BG72</f>
        <v>0</v>
      </c>
      <c r="BG119">
        <f>СВ!BH72</f>
        <v>0</v>
      </c>
      <c r="BH119">
        <f>СВ!BI72</f>
        <v>0</v>
      </c>
      <c r="BI119">
        <f>СВ!BJ72</f>
        <v>0</v>
      </c>
      <c r="BJ119">
        <f>СВ!BK72</f>
        <v>0</v>
      </c>
      <c r="BK119">
        <f>СВ!BL72</f>
        <v>0</v>
      </c>
    </row>
    <row r="120" spans="1:64">
      <c r="A120" s="30">
        <f>СВ!B73</f>
        <v>46</v>
      </c>
      <c r="B120" s="31">
        <f>СВ!C73</f>
        <v>0.79166666666666641</v>
      </c>
      <c r="C120" s="32">
        <f>СВ!D73</f>
        <v>0.83333333333333304</v>
      </c>
      <c r="D120" t="e">
        <f ca="1">СВ!E73</f>
        <v>#NAME?</v>
      </c>
      <c r="E120">
        <f>СВ!F73</f>
        <v>0</v>
      </c>
      <c r="F120">
        <f>СВ!G73</f>
        <v>0</v>
      </c>
      <c r="G120">
        <f>СВ!H73</f>
        <v>0</v>
      </c>
      <c r="H120" t="e">
        <f ca="1">СВ!I73</f>
        <v>#NAME?</v>
      </c>
      <c r="I120">
        <f>СВ!J73</f>
        <v>0</v>
      </c>
      <c r="J120">
        <f>СВ!K73</f>
        <v>0</v>
      </c>
      <c r="K120">
        <f>СВ!L73</f>
        <v>0</v>
      </c>
      <c r="L120">
        <f>СВ!M73</f>
        <v>0</v>
      </c>
      <c r="M120">
        <f>СВ!N73</f>
        <v>0</v>
      </c>
      <c r="N120">
        <f>СВ!O73</f>
        <v>0</v>
      </c>
      <c r="O120">
        <f>СВ!P73</f>
        <v>0</v>
      </c>
      <c r="P120">
        <f>СВ!Q73</f>
        <v>0</v>
      </c>
      <c r="Q120">
        <f>СВ!R73</f>
        <v>0</v>
      </c>
      <c r="R120">
        <f>СВ!S73</f>
        <v>0</v>
      </c>
      <c r="S120">
        <f>СВ!T73</f>
        <v>0</v>
      </c>
      <c r="T120">
        <f>СВ!U73</f>
        <v>0</v>
      </c>
      <c r="U120">
        <f>СВ!V73</f>
        <v>0</v>
      </c>
      <c r="V120">
        <f>СВ!W73</f>
        <v>0</v>
      </c>
      <c r="W120">
        <f>СВ!X73</f>
        <v>0</v>
      </c>
      <c r="X120">
        <f>СВ!Y73</f>
        <v>0</v>
      </c>
      <c r="Y120">
        <f>СВ!Z73</f>
        <v>0</v>
      </c>
      <c r="Z120">
        <f>СВ!AA73</f>
        <v>0</v>
      </c>
      <c r="AA120">
        <f>СВ!AB73</f>
        <v>0</v>
      </c>
      <c r="AB120">
        <f>СВ!AC73</f>
        <v>0</v>
      </c>
      <c r="AC120">
        <f>СВ!AD73</f>
        <v>0</v>
      </c>
      <c r="AD120">
        <f>СВ!AE73</f>
        <v>0</v>
      </c>
      <c r="AE120">
        <f>СВ!AF73</f>
        <v>0</v>
      </c>
      <c r="AF120">
        <f>СВ!AG73</f>
        <v>0</v>
      </c>
      <c r="AG120">
        <f>СВ!AH73</f>
        <v>0</v>
      </c>
      <c r="AH120">
        <f>СВ!AI73</f>
        <v>0</v>
      </c>
      <c r="AI120">
        <f>СВ!AJ73</f>
        <v>0</v>
      </c>
      <c r="AJ120">
        <f>СВ!AK73</f>
        <v>0</v>
      </c>
      <c r="AK120">
        <f>СВ!AL73</f>
        <v>0</v>
      </c>
      <c r="AL120">
        <f>СВ!AM73</f>
        <v>0</v>
      </c>
      <c r="AM120">
        <f>СВ!AN73</f>
        <v>0</v>
      </c>
      <c r="AN120">
        <f>СВ!AO73</f>
        <v>0</v>
      </c>
      <c r="AO120">
        <f>СВ!AP73</f>
        <v>0</v>
      </c>
      <c r="AP120">
        <f>СВ!AQ73</f>
        <v>0</v>
      </c>
      <c r="AQ120">
        <f>СВ!AR73</f>
        <v>0</v>
      </c>
      <c r="AR120">
        <f>СВ!AS73</f>
        <v>0</v>
      </c>
      <c r="AS120">
        <f>СВ!AT73</f>
        <v>0</v>
      </c>
      <c r="AT120">
        <f>СВ!AU73</f>
        <v>0</v>
      </c>
      <c r="AU120">
        <f>СВ!AV73</f>
        <v>0</v>
      </c>
      <c r="AV120">
        <f>СВ!AW73</f>
        <v>0</v>
      </c>
      <c r="AW120">
        <f>СВ!AX73</f>
        <v>0</v>
      </c>
      <c r="AX120">
        <f>СВ!AY73</f>
        <v>0</v>
      </c>
      <c r="AY120">
        <f>СВ!AZ73</f>
        <v>0</v>
      </c>
      <c r="AZ120">
        <f>СВ!BA73</f>
        <v>0</v>
      </c>
      <c r="BA120">
        <f>СВ!BB73</f>
        <v>0</v>
      </c>
      <c r="BB120">
        <f>СВ!BC73</f>
        <v>0</v>
      </c>
      <c r="BC120">
        <f>СВ!BD73</f>
        <v>0</v>
      </c>
      <c r="BD120">
        <f>СВ!BE73</f>
        <v>0</v>
      </c>
      <c r="BE120">
        <f>СВ!BF73</f>
        <v>0</v>
      </c>
      <c r="BF120">
        <f>СВ!BG73</f>
        <v>0</v>
      </c>
      <c r="BG120">
        <f>СВ!BH73</f>
        <v>0</v>
      </c>
      <c r="BH120">
        <f>СВ!BI73</f>
        <v>0</v>
      </c>
      <c r="BI120">
        <f>СВ!BJ73</f>
        <v>0</v>
      </c>
      <c r="BJ120">
        <f>СВ!BK73</f>
        <v>0</v>
      </c>
      <c r="BK120">
        <f>СВ!BL73</f>
        <v>0</v>
      </c>
    </row>
    <row r="121" spans="1:64">
      <c r="A121" s="27">
        <f>СВ!B74</f>
        <v>47</v>
      </c>
      <c r="B121" s="28">
        <f>СВ!C74</f>
        <v>0.80208333333333304</v>
      </c>
      <c r="C121" s="29">
        <f>СВ!D74</f>
        <v>0.83333333333333304</v>
      </c>
      <c r="D121" t="e">
        <f ca="1">СВ!E74</f>
        <v>#NAME?</v>
      </c>
      <c r="E121">
        <f>СВ!F74</f>
        <v>0</v>
      </c>
      <c r="F121">
        <f>СВ!G74</f>
        <v>0</v>
      </c>
      <c r="G121">
        <f>СВ!H74</f>
        <v>0</v>
      </c>
      <c r="H121" t="e">
        <f ca="1">СВ!I74</f>
        <v>#NAME?</v>
      </c>
      <c r="I121">
        <f>СВ!J74</f>
        <v>0</v>
      </c>
      <c r="J121">
        <f>СВ!K74</f>
        <v>0</v>
      </c>
      <c r="K121">
        <f>СВ!L74</f>
        <v>0</v>
      </c>
      <c r="L121">
        <f>СВ!M74</f>
        <v>0</v>
      </c>
      <c r="M121">
        <f>СВ!N74</f>
        <v>0</v>
      </c>
      <c r="N121">
        <f>СВ!O74</f>
        <v>0</v>
      </c>
      <c r="O121">
        <f>СВ!P74</f>
        <v>0</v>
      </c>
      <c r="P121">
        <f>СВ!Q74</f>
        <v>0</v>
      </c>
      <c r="Q121">
        <f>СВ!R74</f>
        <v>0</v>
      </c>
      <c r="R121">
        <f>СВ!S74</f>
        <v>0</v>
      </c>
      <c r="S121">
        <f>СВ!T74</f>
        <v>0</v>
      </c>
      <c r="T121">
        <f>СВ!U74</f>
        <v>0</v>
      </c>
      <c r="U121">
        <f>СВ!V74</f>
        <v>0</v>
      </c>
      <c r="V121">
        <f>СВ!W74</f>
        <v>0</v>
      </c>
      <c r="W121">
        <f>СВ!X74</f>
        <v>0</v>
      </c>
      <c r="X121">
        <f>СВ!Y74</f>
        <v>0</v>
      </c>
      <c r="Y121">
        <f>СВ!Z74</f>
        <v>0</v>
      </c>
      <c r="Z121">
        <f>СВ!AA74</f>
        <v>0</v>
      </c>
      <c r="AA121">
        <f>СВ!AB74</f>
        <v>0</v>
      </c>
      <c r="AB121">
        <f>СВ!AC74</f>
        <v>0</v>
      </c>
      <c r="AC121">
        <f>СВ!AD74</f>
        <v>0</v>
      </c>
      <c r="AD121">
        <f>СВ!AE74</f>
        <v>0</v>
      </c>
      <c r="AE121">
        <f>СВ!AF74</f>
        <v>0</v>
      </c>
      <c r="AF121">
        <f>СВ!AG74</f>
        <v>0</v>
      </c>
      <c r="AG121">
        <f>СВ!AH74</f>
        <v>0</v>
      </c>
      <c r="AH121">
        <f>СВ!AI74</f>
        <v>0</v>
      </c>
      <c r="AI121">
        <f>СВ!AJ74</f>
        <v>0</v>
      </c>
      <c r="AJ121">
        <f>СВ!AK74</f>
        <v>0</v>
      </c>
      <c r="AK121">
        <f>СВ!AL74</f>
        <v>0</v>
      </c>
      <c r="AL121">
        <f>СВ!AM74</f>
        <v>0</v>
      </c>
      <c r="AM121">
        <f>СВ!AN74</f>
        <v>0</v>
      </c>
      <c r="AN121">
        <f>СВ!AO74</f>
        <v>0</v>
      </c>
      <c r="AO121">
        <f>СВ!AP74</f>
        <v>0</v>
      </c>
      <c r="AP121">
        <f>СВ!AQ74</f>
        <v>0</v>
      </c>
      <c r="AQ121">
        <f>СВ!AR74</f>
        <v>0</v>
      </c>
      <c r="AR121">
        <f>СВ!AS74</f>
        <v>0</v>
      </c>
      <c r="AS121">
        <f>СВ!AT74</f>
        <v>0</v>
      </c>
      <c r="AT121">
        <f>СВ!AU74</f>
        <v>0</v>
      </c>
      <c r="AU121">
        <f>СВ!AV74</f>
        <v>0</v>
      </c>
      <c r="AV121">
        <f>СВ!AW74</f>
        <v>0</v>
      </c>
      <c r="AW121">
        <f>СВ!AX74</f>
        <v>0</v>
      </c>
      <c r="AX121">
        <f>СВ!AY74</f>
        <v>0</v>
      </c>
      <c r="AY121">
        <f>СВ!AZ74</f>
        <v>0</v>
      </c>
      <c r="AZ121">
        <f>СВ!BA74</f>
        <v>0</v>
      </c>
      <c r="BA121">
        <f>СВ!BB74</f>
        <v>0</v>
      </c>
      <c r="BB121">
        <f>СВ!BC74</f>
        <v>0</v>
      </c>
      <c r="BC121">
        <f>СВ!BD74</f>
        <v>0</v>
      </c>
      <c r="BD121">
        <f>СВ!BE74</f>
        <v>0</v>
      </c>
      <c r="BE121">
        <f>СВ!BF74</f>
        <v>0</v>
      </c>
      <c r="BF121">
        <f>СВ!BG74</f>
        <v>0</v>
      </c>
      <c r="BG121">
        <f>СВ!BH74</f>
        <v>0</v>
      </c>
      <c r="BH121">
        <f>СВ!BI74</f>
        <v>0</v>
      </c>
      <c r="BI121">
        <f>СВ!BJ74</f>
        <v>0</v>
      </c>
      <c r="BJ121">
        <f>СВ!BK74</f>
        <v>0</v>
      </c>
      <c r="BK121">
        <f>СВ!BL74</f>
        <v>0</v>
      </c>
    </row>
    <row r="122" spans="1:64">
      <c r="A122" s="30">
        <f>СВ!B75</f>
        <v>48</v>
      </c>
      <c r="B122" s="31">
        <f>СВ!C75</f>
        <v>0.81249999999999978</v>
      </c>
      <c r="C122" s="32">
        <f>СВ!D75</f>
        <v>0.84374999999999967</v>
      </c>
      <c r="D122" t="e">
        <f ca="1">СВ!E75</f>
        <v>#NAME?</v>
      </c>
      <c r="E122">
        <f>СВ!F75</f>
        <v>0</v>
      </c>
      <c r="F122">
        <f>СВ!G75</f>
        <v>0</v>
      </c>
      <c r="G122">
        <f>СВ!H75</f>
        <v>0</v>
      </c>
      <c r="H122" t="e">
        <f ca="1">СВ!I75</f>
        <v>#NAME?</v>
      </c>
      <c r="I122">
        <f>СВ!J75</f>
        <v>0</v>
      </c>
      <c r="J122">
        <f>СВ!K75</f>
        <v>0</v>
      </c>
      <c r="K122">
        <f>СВ!L75</f>
        <v>0</v>
      </c>
      <c r="L122">
        <f>СВ!M75</f>
        <v>0</v>
      </c>
      <c r="M122">
        <f>СВ!N75</f>
        <v>0</v>
      </c>
      <c r="N122">
        <f>СВ!O75</f>
        <v>0</v>
      </c>
      <c r="O122">
        <f>СВ!P75</f>
        <v>0</v>
      </c>
      <c r="P122">
        <f>СВ!Q75</f>
        <v>0</v>
      </c>
      <c r="Q122">
        <f>СВ!R75</f>
        <v>0</v>
      </c>
      <c r="R122">
        <f>СВ!S75</f>
        <v>0</v>
      </c>
      <c r="S122">
        <f>СВ!T75</f>
        <v>0</v>
      </c>
      <c r="T122">
        <f>СВ!U75</f>
        <v>0</v>
      </c>
      <c r="U122">
        <f>СВ!V75</f>
        <v>0</v>
      </c>
      <c r="V122">
        <f>СВ!W75</f>
        <v>0</v>
      </c>
      <c r="W122">
        <f>СВ!X75</f>
        <v>0</v>
      </c>
      <c r="X122">
        <f>СВ!Y75</f>
        <v>0</v>
      </c>
      <c r="Y122">
        <f>СВ!Z75</f>
        <v>0</v>
      </c>
      <c r="Z122">
        <f>СВ!AA75</f>
        <v>0</v>
      </c>
      <c r="AA122">
        <f>СВ!AB75</f>
        <v>0</v>
      </c>
      <c r="AB122">
        <f>СВ!AC75</f>
        <v>0</v>
      </c>
      <c r="AC122">
        <f>СВ!AD75</f>
        <v>0</v>
      </c>
      <c r="AD122">
        <f>СВ!AE75</f>
        <v>0</v>
      </c>
      <c r="AE122">
        <f>СВ!AF75</f>
        <v>0</v>
      </c>
      <c r="AF122">
        <f>СВ!AG75</f>
        <v>0</v>
      </c>
      <c r="AG122">
        <f>СВ!AH75</f>
        <v>0</v>
      </c>
      <c r="AH122">
        <f>СВ!AI75</f>
        <v>0</v>
      </c>
      <c r="AI122">
        <f>СВ!AJ75</f>
        <v>0</v>
      </c>
      <c r="AJ122">
        <f>СВ!AK75</f>
        <v>0</v>
      </c>
      <c r="AK122">
        <f>СВ!AL75</f>
        <v>0</v>
      </c>
      <c r="AL122">
        <f>СВ!AM75</f>
        <v>0</v>
      </c>
      <c r="AM122">
        <f>СВ!AN75</f>
        <v>0</v>
      </c>
      <c r="AN122">
        <f>СВ!AO75</f>
        <v>0</v>
      </c>
      <c r="AO122">
        <f>СВ!AP75</f>
        <v>0</v>
      </c>
      <c r="AP122">
        <f>СВ!AQ75</f>
        <v>0</v>
      </c>
      <c r="AQ122">
        <f>СВ!AR75</f>
        <v>0</v>
      </c>
      <c r="AR122">
        <f>СВ!AS75</f>
        <v>0</v>
      </c>
      <c r="AS122">
        <f>СВ!AT75</f>
        <v>0</v>
      </c>
      <c r="AT122">
        <f>СВ!AU75</f>
        <v>0</v>
      </c>
      <c r="AU122">
        <f>СВ!AV75</f>
        <v>0</v>
      </c>
      <c r="AV122">
        <f>СВ!AW75</f>
        <v>0</v>
      </c>
      <c r="AW122">
        <f>СВ!AX75</f>
        <v>0</v>
      </c>
      <c r="AX122">
        <f>СВ!AY75</f>
        <v>0</v>
      </c>
      <c r="AY122">
        <f>СВ!AZ75</f>
        <v>0</v>
      </c>
      <c r="AZ122">
        <f>СВ!BA75</f>
        <v>0</v>
      </c>
      <c r="BA122">
        <f>СВ!BB75</f>
        <v>0</v>
      </c>
      <c r="BB122">
        <f>СВ!BC75</f>
        <v>0</v>
      </c>
      <c r="BC122">
        <f>СВ!BD75</f>
        <v>0</v>
      </c>
      <c r="BD122">
        <f>СВ!BE75</f>
        <v>0</v>
      </c>
      <c r="BE122">
        <f>СВ!BF75</f>
        <v>0</v>
      </c>
      <c r="BF122">
        <f>СВ!BG75</f>
        <v>0</v>
      </c>
      <c r="BG122">
        <f>СВ!BH75</f>
        <v>0</v>
      </c>
      <c r="BH122">
        <f>СВ!BI75</f>
        <v>0</v>
      </c>
      <c r="BI122">
        <f>СВ!BJ75</f>
        <v>0</v>
      </c>
      <c r="BJ122">
        <f>СВ!BK75</f>
        <v>0</v>
      </c>
      <c r="BK122">
        <f>СВ!BL75</f>
        <v>0</v>
      </c>
    </row>
    <row r="123" spans="1:64">
      <c r="A123" s="27">
        <f>СВ!B76</f>
        <v>49</v>
      </c>
      <c r="B123" s="28">
        <f>СВ!C76</f>
        <v>0.82291666666666641</v>
      </c>
      <c r="C123" s="29">
        <f>СВ!D76</f>
        <v>0.85416666666666641</v>
      </c>
      <c r="D123" t="e">
        <f ca="1">СВ!E76</f>
        <v>#NAME?</v>
      </c>
      <c r="E123">
        <f>СВ!F76</f>
        <v>0</v>
      </c>
      <c r="F123">
        <f>СВ!G76</f>
        <v>0</v>
      </c>
      <c r="G123">
        <f>СВ!H76</f>
        <v>0</v>
      </c>
      <c r="H123" t="e">
        <f ca="1">СВ!I76</f>
        <v>#NAME?</v>
      </c>
      <c r="I123">
        <f>СВ!J76</f>
        <v>0</v>
      </c>
      <c r="J123">
        <f>СВ!K76</f>
        <v>0</v>
      </c>
      <c r="K123">
        <f>СВ!L76</f>
        <v>0</v>
      </c>
      <c r="L123">
        <f>СВ!M76</f>
        <v>0</v>
      </c>
      <c r="M123">
        <f>СВ!N76</f>
        <v>0</v>
      </c>
      <c r="N123">
        <f>СВ!O76</f>
        <v>0</v>
      </c>
      <c r="O123">
        <f>СВ!P76</f>
        <v>0</v>
      </c>
      <c r="P123">
        <f>СВ!Q76</f>
        <v>0</v>
      </c>
      <c r="Q123">
        <f>СВ!R76</f>
        <v>0</v>
      </c>
      <c r="R123">
        <f>СВ!S76</f>
        <v>0</v>
      </c>
      <c r="S123">
        <f>СВ!T76</f>
        <v>0</v>
      </c>
      <c r="T123">
        <f>СВ!U76</f>
        <v>0</v>
      </c>
      <c r="U123">
        <f>СВ!V76</f>
        <v>0</v>
      </c>
      <c r="V123">
        <f>СВ!W76</f>
        <v>0</v>
      </c>
      <c r="W123">
        <f>СВ!X76</f>
        <v>0</v>
      </c>
      <c r="X123">
        <f>СВ!Y76</f>
        <v>0</v>
      </c>
      <c r="Y123">
        <f>СВ!Z76</f>
        <v>0</v>
      </c>
      <c r="Z123">
        <f>СВ!AA76</f>
        <v>0</v>
      </c>
      <c r="AA123">
        <f>СВ!AB76</f>
        <v>0</v>
      </c>
      <c r="AB123">
        <f>СВ!AC76</f>
        <v>0</v>
      </c>
      <c r="AC123">
        <f>СВ!AD76</f>
        <v>0</v>
      </c>
      <c r="AD123">
        <f>СВ!AE76</f>
        <v>0</v>
      </c>
      <c r="AE123">
        <f>СВ!AF76</f>
        <v>0</v>
      </c>
      <c r="AF123">
        <f>СВ!AG76</f>
        <v>0</v>
      </c>
      <c r="AG123">
        <f>СВ!AH76</f>
        <v>0</v>
      </c>
      <c r="AH123">
        <f>СВ!AI76</f>
        <v>0</v>
      </c>
      <c r="AI123">
        <f>СВ!AJ76</f>
        <v>0</v>
      </c>
      <c r="AJ123">
        <f>СВ!AK76</f>
        <v>0</v>
      </c>
      <c r="AK123">
        <f>СВ!AL76</f>
        <v>0</v>
      </c>
      <c r="AL123">
        <f>СВ!AM76</f>
        <v>0</v>
      </c>
      <c r="AM123">
        <f>СВ!AN76</f>
        <v>0</v>
      </c>
      <c r="AN123">
        <f>СВ!AO76</f>
        <v>0</v>
      </c>
      <c r="AO123">
        <f>СВ!AP76</f>
        <v>0</v>
      </c>
      <c r="AP123">
        <f>СВ!AQ76</f>
        <v>0</v>
      </c>
      <c r="AQ123">
        <f>СВ!AR76</f>
        <v>0</v>
      </c>
      <c r="AR123">
        <f>СВ!AS76</f>
        <v>0</v>
      </c>
      <c r="AS123">
        <f>СВ!AT76</f>
        <v>0</v>
      </c>
      <c r="AT123">
        <f>СВ!AU76</f>
        <v>0</v>
      </c>
      <c r="AU123">
        <f>СВ!AV76</f>
        <v>0</v>
      </c>
      <c r="AV123">
        <f>СВ!AW76</f>
        <v>0</v>
      </c>
      <c r="AW123">
        <f>СВ!AX76</f>
        <v>0</v>
      </c>
      <c r="AX123">
        <f>СВ!AY76</f>
        <v>0</v>
      </c>
      <c r="AY123">
        <f>СВ!AZ76</f>
        <v>0</v>
      </c>
      <c r="AZ123">
        <f>СВ!BA76</f>
        <v>0</v>
      </c>
      <c r="BA123">
        <f>СВ!BB76</f>
        <v>0</v>
      </c>
      <c r="BB123">
        <f>СВ!BC76</f>
        <v>0</v>
      </c>
      <c r="BC123">
        <f>СВ!BD76</f>
        <v>0</v>
      </c>
      <c r="BD123">
        <f>СВ!BE76</f>
        <v>0</v>
      </c>
      <c r="BE123">
        <f>СВ!BF76</f>
        <v>0</v>
      </c>
      <c r="BF123">
        <f>СВ!BG76</f>
        <v>0</v>
      </c>
      <c r="BG123">
        <f>СВ!BH76</f>
        <v>0</v>
      </c>
      <c r="BH123">
        <f>СВ!BI76</f>
        <v>0</v>
      </c>
      <c r="BI123">
        <f>СВ!BJ76</f>
        <v>0</v>
      </c>
      <c r="BJ123">
        <f>СВ!BK76</f>
        <v>0</v>
      </c>
      <c r="BK123">
        <f>СВ!BL76</f>
        <v>0</v>
      </c>
    </row>
    <row r="125" spans="1:64">
      <c r="A125" t="s">
        <v>173</v>
      </c>
    </row>
    <row r="126" spans="1:64">
      <c r="B126"/>
      <c r="C126"/>
      <c r="E126" t="s">
        <v>7</v>
      </c>
      <c r="F126" t="s">
        <v>51</v>
      </c>
      <c r="G126" t="s">
        <v>120</v>
      </c>
      <c r="H126" t="s">
        <v>121</v>
      </c>
      <c r="I126" t="s">
        <v>122</v>
      </c>
      <c r="J126" t="s">
        <v>123</v>
      </c>
      <c r="K126" t="s">
        <v>10</v>
      </c>
      <c r="L126" t="s">
        <v>124</v>
      </c>
      <c r="M126" t="s">
        <v>125</v>
      </c>
      <c r="N126" t="s">
        <v>126</v>
      </c>
      <c r="O126" t="s">
        <v>127</v>
      </c>
      <c r="P126" t="s">
        <v>128</v>
      </c>
      <c r="Q126" t="s">
        <v>14</v>
      </c>
      <c r="R126" t="s">
        <v>129</v>
      </c>
      <c r="S126" t="s">
        <v>130</v>
      </c>
      <c r="T126" t="s">
        <v>131</v>
      </c>
      <c r="U126" t="s">
        <v>132</v>
      </c>
      <c r="V126" t="s">
        <v>133</v>
      </c>
      <c r="W126" t="s">
        <v>17</v>
      </c>
      <c r="X126" t="s">
        <v>134</v>
      </c>
      <c r="Y126" t="s">
        <v>135</v>
      </c>
      <c r="Z126" t="s">
        <v>136</v>
      </c>
      <c r="AA126" t="s">
        <v>137</v>
      </c>
      <c r="AB126" t="s">
        <v>138</v>
      </c>
      <c r="AC126" t="s">
        <v>21</v>
      </c>
      <c r="AD126" t="s">
        <v>139</v>
      </c>
      <c r="AE126" t="s">
        <v>140</v>
      </c>
      <c r="AF126" t="s">
        <v>141</v>
      </c>
      <c r="AG126" t="s">
        <v>142</v>
      </c>
      <c r="AH126" t="s">
        <v>143</v>
      </c>
      <c r="AI126" t="s">
        <v>23</v>
      </c>
      <c r="AJ126" t="s">
        <v>144</v>
      </c>
      <c r="AK126" t="s">
        <v>145</v>
      </c>
      <c r="AL126" t="s">
        <v>146</v>
      </c>
      <c r="AM126" t="s">
        <v>147</v>
      </c>
      <c r="AN126" t="s">
        <v>148</v>
      </c>
      <c r="AO126" t="s">
        <v>26</v>
      </c>
      <c r="AP126" t="s">
        <v>149</v>
      </c>
      <c r="AQ126" t="s">
        <v>150</v>
      </c>
      <c r="AR126" t="s">
        <v>151</v>
      </c>
      <c r="AS126" t="s">
        <v>152</v>
      </c>
      <c r="AT126" t="s">
        <v>153</v>
      </c>
      <c r="AU126" t="s">
        <v>29</v>
      </c>
      <c r="AV126" t="s">
        <v>154</v>
      </c>
      <c r="AW126" t="s">
        <v>155</v>
      </c>
      <c r="AX126" t="s">
        <v>156</v>
      </c>
      <c r="AY126" t="s">
        <v>157</v>
      </c>
      <c r="AZ126" t="s">
        <v>158</v>
      </c>
      <c r="BA126" t="s">
        <v>33</v>
      </c>
      <c r="BB126" t="s">
        <v>159</v>
      </c>
      <c r="BC126" t="s">
        <v>160</v>
      </c>
      <c r="BD126" t="s">
        <v>161</v>
      </c>
      <c r="BE126" t="s">
        <v>162</v>
      </c>
      <c r="BF126" t="s">
        <v>163</v>
      </c>
      <c r="BG126" t="s">
        <v>35</v>
      </c>
      <c r="BH126" t="s">
        <v>164</v>
      </c>
      <c r="BI126" t="s">
        <v>165</v>
      </c>
      <c r="BJ126" t="s">
        <v>166</v>
      </c>
      <c r="BK126" t="s">
        <v>167</v>
      </c>
      <c r="BL126" t="s">
        <v>168</v>
      </c>
    </row>
    <row r="127" spans="1:64">
      <c r="B127"/>
      <c r="C127"/>
      <c r="E127" t="str">
        <f>DC!E4</f>
        <v>Понедельник</v>
      </c>
      <c r="F127" t="str">
        <f>DC!F4</f>
        <v>Вторник</v>
      </c>
      <c r="G127" t="str">
        <f>DC!G4</f>
        <v>Среда</v>
      </c>
      <c r="H127" t="str">
        <f>DC!H4</f>
        <v>Четверг</v>
      </c>
      <c r="I127" t="str">
        <f>DC!I4</f>
        <v>Пятница</v>
      </c>
      <c r="J127" t="str">
        <f>DC!J4</f>
        <v>Суббота</v>
      </c>
      <c r="K127" t="str">
        <f>DC!K4</f>
        <v>Понедельник</v>
      </c>
      <c r="L127" t="str">
        <f>DC!L4</f>
        <v>Вторник</v>
      </c>
      <c r="M127" t="str">
        <f>DC!M4</f>
        <v>Среда</v>
      </c>
      <c r="N127" t="str">
        <f>DC!N4</f>
        <v>Четверг</v>
      </c>
      <c r="O127" t="str">
        <f>DC!O4</f>
        <v>Пятница</v>
      </c>
      <c r="P127" t="str">
        <f>DC!P4</f>
        <v>Суббота</v>
      </c>
      <c r="Q127" t="str">
        <f>DC!Q4</f>
        <v>Понедельник</v>
      </c>
      <c r="R127" t="str">
        <f>DC!R4</f>
        <v>Вторник</v>
      </c>
      <c r="S127" t="str">
        <f>DC!S4</f>
        <v>Среда</v>
      </c>
      <c r="T127" t="str">
        <f>DC!T4</f>
        <v>Четверг</v>
      </c>
      <c r="U127" t="str">
        <f>DC!U4</f>
        <v>Пятница</v>
      </c>
      <c r="V127" t="str">
        <f>DC!V4</f>
        <v>Суббота</v>
      </c>
      <c r="W127" t="str">
        <f>DC!W4</f>
        <v>Понедельник</v>
      </c>
      <c r="X127" t="str">
        <f>DC!X4</f>
        <v>Вторник</v>
      </c>
      <c r="Y127" t="str">
        <f>DC!Y4</f>
        <v>Среда</v>
      </c>
      <c r="Z127" t="str">
        <f>DC!Z4</f>
        <v>Четверг</v>
      </c>
      <c r="AA127" t="str">
        <f>DC!AA4</f>
        <v>Пятница</v>
      </c>
      <c r="AB127" t="str">
        <f>DC!AB4</f>
        <v>Суббота</v>
      </c>
      <c r="AC127" t="str">
        <f>DC!AC4</f>
        <v>Понедельник</v>
      </c>
      <c r="AD127" t="str">
        <f>DC!AD4</f>
        <v>Вторник</v>
      </c>
      <c r="AE127" t="str">
        <f>DC!AE4</f>
        <v>Среда</v>
      </c>
      <c r="AF127" t="str">
        <f>DC!AF4</f>
        <v>Четверг</v>
      </c>
      <c r="AG127" t="str">
        <f>DC!AG4</f>
        <v>Пятница</v>
      </c>
      <c r="AH127" t="str">
        <f>DC!AH4</f>
        <v>Суббота</v>
      </c>
      <c r="AI127" t="str">
        <f>DC!AI4</f>
        <v>Понедельник</v>
      </c>
      <c r="AJ127" t="str">
        <f>DC!AJ4</f>
        <v>Вторник</v>
      </c>
      <c r="AK127" t="str">
        <f>DC!AK4</f>
        <v>Среда</v>
      </c>
      <c r="AL127" t="str">
        <f>DC!AL4</f>
        <v>Четверг</v>
      </c>
      <c r="AM127" t="str">
        <f>DC!AM4</f>
        <v>Пятница</v>
      </c>
      <c r="AN127" t="str">
        <f>DC!AN4</f>
        <v>Суббота</v>
      </c>
      <c r="AO127" t="str">
        <f>DC!AO4</f>
        <v>Понедельник</v>
      </c>
      <c r="AP127" t="str">
        <f>DC!AP4</f>
        <v>Вторник</v>
      </c>
      <c r="AQ127" t="str">
        <f>DC!AQ4</f>
        <v>Среда</v>
      </c>
      <c r="AR127" t="str">
        <f>DC!AR4</f>
        <v>Четверг</v>
      </c>
      <c r="AS127" t="str">
        <f>DC!AS4</f>
        <v>Пятница</v>
      </c>
      <c r="AT127" t="str">
        <f>DC!AT4</f>
        <v>Суббота</v>
      </c>
      <c r="AU127" t="str">
        <f>DC!AU4</f>
        <v>Понедельник</v>
      </c>
      <c r="AV127" t="str">
        <f>DC!AV4</f>
        <v>Вторник</v>
      </c>
      <c r="AW127" t="str">
        <f>DC!AW4</f>
        <v>Среда</v>
      </c>
      <c r="AX127" t="str">
        <f>DC!AX4</f>
        <v>Четверг</v>
      </c>
      <c r="AY127" t="str">
        <f>DC!AY4</f>
        <v>Пятница</v>
      </c>
      <c r="AZ127" t="str">
        <f>DC!AZ4</f>
        <v>Суббота</v>
      </c>
      <c r="BA127" t="str">
        <f>DC!BA4</f>
        <v>Понедельник</v>
      </c>
      <c r="BB127" t="str">
        <f>DC!BB4</f>
        <v>Вторник</v>
      </c>
      <c r="BC127" t="str">
        <f>DC!BC4</f>
        <v>Среда</v>
      </c>
      <c r="BD127" t="str">
        <f>DC!BD4</f>
        <v>Четверг</v>
      </c>
      <c r="BE127" t="str">
        <f>DC!BE4</f>
        <v>Пятница</v>
      </c>
      <c r="BF127" t="str">
        <f>DC!BF4</f>
        <v>Суббота</v>
      </c>
      <c r="BG127" t="str">
        <f>DC!BG4</f>
        <v>Понедельник</v>
      </c>
      <c r="BH127" t="str">
        <f>DC!BH4</f>
        <v>Вторник</v>
      </c>
      <c r="BI127" t="str">
        <f>DC!BI4</f>
        <v>Среда</v>
      </c>
      <c r="BJ127" t="str">
        <f>DC!BJ4</f>
        <v>Четверг</v>
      </c>
      <c r="BK127" t="str">
        <f>DC!BK4</f>
        <v>Пятница</v>
      </c>
      <c r="BL127" t="str">
        <f>DC!BL4</f>
        <v>Суббота</v>
      </c>
    </row>
    <row r="128" spans="1:64">
      <c r="A128">
        <f>DC!A5</f>
        <v>1</v>
      </c>
      <c r="B128" t="str">
        <f>DC!B5</f>
        <v>08:30-09:15</v>
      </c>
      <c r="C128">
        <f>DC!C5</f>
        <v>2</v>
      </c>
      <c r="D128" t="str">
        <f>DC!D5</f>
        <v>08:30-09:30</v>
      </c>
      <c r="E128">
        <f>DC!E5</f>
        <v>0</v>
      </c>
      <c r="F128">
        <f>DC!F5</f>
        <v>0</v>
      </c>
      <c r="G128">
        <f>DC!G5</f>
        <v>0</v>
      </c>
      <c r="H128">
        <f>DC!H5</f>
        <v>0</v>
      </c>
      <c r="I128">
        <f>DC!I5</f>
        <v>0</v>
      </c>
      <c r="J128">
        <f>DC!J5</f>
        <v>0</v>
      </c>
      <c r="K128">
        <f>DC!K5</f>
        <v>0</v>
      </c>
      <c r="L128">
        <f>DC!L5</f>
        <v>0</v>
      </c>
      <c r="M128">
        <f>DC!M5</f>
        <v>0</v>
      </c>
      <c r="N128">
        <f>DC!N5</f>
        <v>0</v>
      </c>
      <c r="O128">
        <f>DC!O5</f>
        <v>0</v>
      </c>
      <c r="P128">
        <f>DC!P5</f>
        <v>0</v>
      </c>
      <c r="Q128">
        <f>DC!Q5</f>
        <v>0</v>
      </c>
      <c r="R128">
        <f>DC!R5</f>
        <v>0</v>
      </c>
      <c r="S128">
        <f>DC!S5</f>
        <v>0</v>
      </c>
      <c r="T128">
        <f>DC!T5</f>
        <v>0</v>
      </c>
      <c r="U128">
        <f>DC!U5</f>
        <v>0</v>
      </c>
      <c r="V128">
        <f>DC!V5</f>
        <v>0</v>
      </c>
      <c r="W128">
        <f>DC!W5</f>
        <v>0</v>
      </c>
      <c r="X128">
        <f>DC!X5</f>
        <v>0</v>
      </c>
      <c r="Y128">
        <f>DC!Y5</f>
        <v>0</v>
      </c>
      <c r="Z128">
        <f>DC!Z5</f>
        <v>0</v>
      </c>
      <c r="AA128">
        <f>DC!AA5</f>
        <v>0</v>
      </c>
      <c r="AB128">
        <f>DC!AB5</f>
        <v>0</v>
      </c>
      <c r="AC128">
        <f>DC!AC5</f>
        <v>0</v>
      </c>
      <c r="AD128">
        <f>DC!AD5</f>
        <v>0</v>
      </c>
      <c r="AE128">
        <f>DC!AE5</f>
        <v>0</v>
      </c>
      <c r="AF128">
        <f>DC!AF5</f>
        <v>0</v>
      </c>
      <c r="AG128">
        <f>DC!AG5</f>
        <v>0</v>
      </c>
      <c r="AH128">
        <f>DC!AH5</f>
        <v>0</v>
      </c>
      <c r="AI128">
        <f>DC!AI5</f>
        <v>0</v>
      </c>
      <c r="AJ128">
        <f>DC!AJ5</f>
        <v>0</v>
      </c>
      <c r="AK128">
        <f>DC!AK5</f>
        <v>0</v>
      </c>
      <c r="AL128">
        <f>DC!AL5</f>
        <v>0</v>
      </c>
      <c r="AM128">
        <f>DC!AM5</f>
        <v>0</v>
      </c>
      <c r="AN128">
        <f>DC!AN5</f>
        <v>0</v>
      </c>
      <c r="AO128">
        <f>DC!AO5</f>
        <v>0</v>
      </c>
      <c r="AP128">
        <f>DC!AP5</f>
        <v>0</v>
      </c>
      <c r="AQ128">
        <f>DC!AQ5</f>
        <v>0</v>
      </c>
      <c r="AR128">
        <f>DC!AR5</f>
        <v>0</v>
      </c>
      <c r="AS128">
        <f>DC!AS5</f>
        <v>0</v>
      </c>
      <c r="AT128">
        <f>DC!AT5</f>
        <v>0</v>
      </c>
      <c r="AU128">
        <f>DC!AU5</f>
        <v>0</v>
      </c>
      <c r="AV128">
        <f>DC!AV5</f>
        <v>0</v>
      </c>
      <c r="AW128">
        <f>DC!AW5</f>
        <v>0</v>
      </c>
      <c r="AX128">
        <f>DC!AX5</f>
        <v>0</v>
      </c>
      <c r="AY128">
        <f>DC!AY5</f>
        <v>0</v>
      </c>
      <c r="AZ128">
        <f>DC!AZ5</f>
        <v>0</v>
      </c>
      <c r="BA128">
        <f>DC!BA5</f>
        <v>0</v>
      </c>
      <c r="BB128">
        <f>DC!BB5</f>
        <v>0</v>
      </c>
      <c r="BC128">
        <f>DC!BC5</f>
        <v>0</v>
      </c>
      <c r="BD128">
        <f>DC!BD5</f>
        <v>0</v>
      </c>
      <c r="BE128">
        <f>DC!BE5</f>
        <v>0</v>
      </c>
      <c r="BF128">
        <f>DC!BF5</f>
        <v>0</v>
      </c>
      <c r="BG128">
        <f>DC!BG5</f>
        <v>0</v>
      </c>
      <c r="BH128">
        <f>DC!BH5</f>
        <v>0</v>
      </c>
      <c r="BI128">
        <f>DC!BI5</f>
        <v>0</v>
      </c>
      <c r="BJ128">
        <f>DC!BJ5</f>
        <v>0</v>
      </c>
      <c r="BK128">
        <f>DC!BK5</f>
        <v>0</v>
      </c>
      <c r="BL128">
        <f>DC!BL5</f>
        <v>0</v>
      </c>
    </row>
    <row r="129" spans="1:64">
      <c r="A129">
        <f>DC!A6</f>
        <v>1</v>
      </c>
      <c r="B129" t="str">
        <f>DC!B6</f>
        <v>08:30-09:15</v>
      </c>
      <c r="C129">
        <f>DC!C6</f>
        <v>3</v>
      </c>
      <c r="D129" t="str">
        <f>DC!D6</f>
        <v>08:45-09:30</v>
      </c>
      <c r="E129">
        <f>DC!E6</f>
        <v>0</v>
      </c>
      <c r="F129">
        <f>DC!F6</f>
        <v>0</v>
      </c>
      <c r="G129">
        <f>DC!G6</f>
        <v>0</v>
      </c>
      <c r="H129">
        <f>DC!H6</f>
        <v>0</v>
      </c>
      <c r="I129">
        <f>DC!I6</f>
        <v>0</v>
      </c>
      <c r="J129">
        <f>DC!J6</f>
        <v>0</v>
      </c>
      <c r="K129">
        <f>DC!K6</f>
        <v>0</v>
      </c>
      <c r="L129">
        <f>DC!L6</f>
        <v>0</v>
      </c>
      <c r="M129">
        <f>DC!M6</f>
        <v>0</v>
      </c>
      <c r="N129">
        <f>DC!N6</f>
        <v>0</v>
      </c>
      <c r="O129">
        <f>DC!O6</f>
        <v>0</v>
      </c>
      <c r="P129">
        <f>DC!P6</f>
        <v>0</v>
      </c>
      <c r="Q129">
        <f>DC!Q6</f>
        <v>0</v>
      </c>
      <c r="R129">
        <f>DC!R6</f>
        <v>0</v>
      </c>
      <c r="S129">
        <f>DC!S6</f>
        <v>0</v>
      </c>
      <c r="T129">
        <f>DC!T6</f>
        <v>0</v>
      </c>
      <c r="U129">
        <f>DC!U6</f>
        <v>0</v>
      </c>
      <c r="V129">
        <f>DC!V6</f>
        <v>0</v>
      </c>
      <c r="W129">
        <f>DC!W6</f>
        <v>0</v>
      </c>
      <c r="X129">
        <f>DC!X6</f>
        <v>0</v>
      </c>
      <c r="Y129">
        <f>DC!Y6</f>
        <v>0</v>
      </c>
      <c r="Z129">
        <f>DC!Z6</f>
        <v>0</v>
      </c>
      <c r="AA129">
        <f>DC!AA6</f>
        <v>0</v>
      </c>
      <c r="AB129">
        <f>DC!AB6</f>
        <v>0</v>
      </c>
      <c r="AC129">
        <f>DC!AC6</f>
        <v>0</v>
      </c>
      <c r="AD129">
        <f>DC!AD6</f>
        <v>0</v>
      </c>
      <c r="AE129">
        <f>DC!AE6</f>
        <v>0</v>
      </c>
      <c r="AF129">
        <f>DC!AF6</f>
        <v>0</v>
      </c>
      <c r="AG129">
        <f>DC!AG6</f>
        <v>0</v>
      </c>
      <c r="AH129">
        <f>DC!AH6</f>
        <v>0</v>
      </c>
      <c r="AI129">
        <f>DC!AI6</f>
        <v>0</v>
      </c>
      <c r="AJ129">
        <f>DC!AJ6</f>
        <v>0</v>
      </c>
      <c r="AK129">
        <f>DC!AK6</f>
        <v>0</v>
      </c>
      <c r="AL129">
        <f>DC!AL6</f>
        <v>0</v>
      </c>
      <c r="AM129">
        <f>DC!AM6</f>
        <v>0</v>
      </c>
      <c r="AN129">
        <f>DC!AN6</f>
        <v>0</v>
      </c>
      <c r="AO129">
        <f>DC!AO6</f>
        <v>0</v>
      </c>
      <c r="AP129">
        <f>DC!AP6</f>
        <v>0</v>
      </c>
      <c r="AQ129">
        <f>DC!AQ6</f>
        <v>0</v>
      </c>
      <c r="AR129">
        <f>DC!AR6</f>
        <v>0</v>
      </c>
      <c r="AS129">
        <f>DC!AS6</f>
        <v>0</v>
      </c>
      <c r="AT129">
        <f>DC!AT6</f>
        <v>0</v>
      </c>
      <c r="AU129">
        <f>DC!AU6</f>
        <v>0</v>
      </c>
      <c r="AV129">
        <f>DC!AV6</f>
        <v>0</v>
      </c>
      <c r="AW129">
        <f>DC!AW6</f>
        <v>0</v>
      </c>
      <c r="AX129">
        <f>DC!AX6</f>
        <v>0</v>
      </c>
      <c r="AY129">
        <f>DC!AY6</f>
        <v>0</v>
      </c>
      <c r="AZ129">
        <f>DC!AZ6</f>
        <v>0</v>
      </c>
      <c r="BA129">
        <f>DC!BA6</f>
        <v>0</v>
      </c>
      <c r="BB129">
        <f>DC!BB6</f>
        <v>0</v>
      </c>
      <c r="BC129">
        <f>DC!BC6</f>
        <v>0</v>
      </c>
      <c r="BD129">
        <f>DC!BD6</f>
        <v>0</v>
      </c>
      <c r="BE129">
        <f>DC!BE6</f>
        <v>0</v>
      </c>
      <c r="BF129">
        <f>DC!BF6</f>
        <v>0</v>
      </c>
      <c r="BG129">
        <f>DC!BG6</f>
        <v>0</v>
      </c>
      <c r="BH129">
        <f>DC!BH6</f>
        <v>0</v>
      </c>
      <c r="BI129">
        <f>DC!BI6</f>
        <v>0</v>
      </c>
      <c r="BJ129">
        <f>DC!BJ6</f>
        <v>0</v>
      </c>
      <c r="BK129">
        <f>DC!BK6</f>
        <v>0</v>
      </c>
      <c r="BL129">
        <f>DC!BL6</f>
        <v>0</v>
      </c>
    </row>
    <row r="130" spans="1:64">
      <c r="A130">
        <f>DC!A7</f>
        <v>1</v>
      </c>
      <c r="B130" t="str">
        <f>DC!B7</f>
        <v>08:30-09:15</v>
      </c>
      <c r="C130">
        <f>DC!C7</f>
        <v>4</v>
      </c>
      <c r="D130" t="str">
        <f>DC!D7</f>
        <v>09:00-09:45</v>
      </c>
      <c r="E130">
        <f>DC!E7</f>
        <v>0</v>
      </c>
      <c r="F130">
        <f>DC!F7</f>
        <v>0</v>
      </c>
      <c r="G130">
        <f>DC!G7</f>
        <v>0</v>
      </c>
      <c r="H130">
        <f>DC!H7</f>
        <v>0</v>
      </c>
      <c r="I130">
        <f>DC!I7</f>
        <v>0</v>
      </c>
      <c r="J130">
        <f>DC!J7</f>
        <v>0</v>
      </c>
      <c r="K130">
        <f>DC!K7</f>
        <v>0</v>
      </c>
      <c r="L130">
        <f>DC!L7</f>
        <v>0</v>
      </c>
      <c r="M130">
        <f>DC!M7</f>
        <v>0</v>
      </c>
      <c r="N130">
        <f>DC!N7</f>
        <v>0</v>
      </c>
      <c r="O130">
        <f>DC!O7</f>
        <v>0</v>
      </c>
      <c r="P130">
        <f>DC!P7</f>
        <v>0</v>
      </c>
      <c r="Q130">
        <f>DC!Q7</f>
        <v>0</v>
      </c>
      <c r="R130">
        <f>DC!R7</f>
        <v>0</v>
      </c>
      <c r="S130">
        <f>DC!S7</f>
        <v>0</v>
      </c>
      <c r="T130">
        <f>DC!T7</f>
        <v>0</v>
      </c>
      <c r="U130">
        <f>DC!U7</f>
        <v>0</v>
      </c>
      <c r="V130">
        <f>DC!V7</f>
        <v>0</v>
      </c>
      <c r="W130">
        <f>DC!W7</f>
        <v>0</v>
      </c>
      <c r="X130">
        <f>DC!X7</f>
        <v>0</v>
      </c>
      <c r="Y130">
        <f>DC!Y7</f>
        <v>0</v>
      </c>
      <c r="Z130">
        <f>DC!Z7</f>
        <v>0</v>
      </c>
      <c r="AA130">
        <f>DC!AA7</f>
        <v>0</v>
      </c>
      <c r="AB130">
        <f>DC!AB7</f>
        <v>0</v>
      </c>
      <c r="AC130">
        <f>DC!AC7</f>
        <v>0</v>
      </c>
      <c r="AD130">
        <f>DC!AD7</f>
        <v>0</v>
      </c>
      <c r="AE130">
        <f>DC!AE7</f>
        <v>0</v>
      </c>
      <c r="AF130">
        <f>DC!AF7</f>
        <v>0</v>
      </c>
      <c r="AG130">
        <f>DC!AG7</f>
        <v>0</v>
      </c>
      <c r="AH130">
        <f>DC!AH7</f>
        <v>0</v>
      </c>
      <c r="AI130">
        <f>DC!AI7</f>
        <v>0</v>
      </c>
      <c r="AJ130">
        <f>DC!AJ7</f>
        <v>0</v>
      </c>
      <c r="AK130">
        <f>DC!AK7</f>
        <v>0</v>
      </c>
      <c r="AL130">
        <f>DC!AL7</f>
        <v>0</v>
      </c>
      <c r="AM130">
        <f>DC!AM7</f>
        <v>0</v>
      </c>
      <c r="AN130">
        <f>DC!AN7</f>
        <v>0</v>
      </c>
      <c r="AO130">
        <f>DC!AO7</f>
        <v>0</v>
      </c>
      <c r="AP130">
        <f>DC!AP7</f>
        <v>0</v>
      </c>
      <c r="AQ130">
        <f>DC!AQ7</f>
        <v>0</v>
      </c>
      <c r="AR130">
        <f>DC!AR7</f>
        <v>0</v>
      </c>
      <c r="AS130">
        <f>DC!AS7</f>
        <v>0</v>
      </c>
      <c r="AT130">
        <f>DC!AT7</f>
        <v>0</v>
      </c>
      <c r="AU130">
        <f>DC!AU7</f>
        <v>0</v>
      </c>
      <c r="AV130">
        <f>DC!AV7</f>
        <v>0</v>
      </c>
      <c r="AW130">
        <f>DC!AW7</f>
        <v>0</v>
      </c>
      <c r="AX130">
        <f>DC!AX7</f>
        <v>0</v>
      </c>
      <c r="AY130">
        <f>DC!AY7</f>
        <v>0</v>
      </c>
      <c r="AZ130">
        <f>DC!AZ7</f>
        <v>0</v>
      </c>
      <c r="BA130">
        <f>DC!BA7</f>
        <v>0</v>
      </c>
      <c r="BB130">
        <f>DC!BB7</f>
        <v>0</v>
      </c>
      <c r="BC130">
        <f>DC!BC7</f>
        <v>0</v>
      </c>
      <c r="BD130">
        <f>DC!BD7</f>
        <v>0</v>
      </c>
      <c r="BE130">
        <f>DC!BE7</f>
        <v>0</v>
      </c>
      <c r="BF130">
        <f>DC!BF7</f>
        <v>0</v>
      </c>
      <c r="BG130">
        <f>DC!BG7</f>
        <v>0</v>
      </c>
      <c r="BH130">
        <f>DC!BH7</f>
        <v>0</v>
      </c>
      <c r="BI130">
        <f>DC!BI7</f>
        <v>0</v>
      </c>
      <c r="BJ130">
        <f>DC!BJ7</f>
        <v>0</v>
      </c>
      <c r="BK130">
        <f>DC!BK7</f>
        <v>0</v>
      </c>
      <c r="BL130">
        <f>DC!BL7</f>
        <v>0</v>
      </c>
    </row>
    <row r="131" spans="1:64">
      <c r="A131">
        <f>DC!A8</f>
        <v>1</v>
      </c>
      <c r="B131" t="str">
        <f>DC!B8</f>
        <v>08:30-09:15</v>
      </c>
      <c r="C131">
        <f>DC!C8</f>
        <v>5</v>
      </c>
      <c r="D131" t="str">
        <f>DC!D8</f>
        <v>09:00-10:00</v>
      </c>
      <c r="E131">
        <f>DC!E8</f>
        <v>0</v>
      </c>
      <c r="F131">
        <f>DC!F8</f>
        <v>0</v>
      </c>
      <c r="G131">
        <f>DC!G8</f>
        <v>0</v>
      </c>
      <c r="H131">
        <f>DC!H8</f>
        <v>0</v>
      </c>
      <c r="I131">
        <f>DC!I8</f>
        <v>0</v>
      </c>
      <c r="J131">
        <f>DC!J8</f>
        <v>0</v>
      </c>
      <c r="K131">
        <f>DC!K8</f>
        <v>0</v>
      </c>
      <c r="L131">
        <f>DC!L8</f>
        <v>0</v>
      </c>
      <c r="M131">
        <f>DC!M8</f>
        <v>0</v>
      </c>
      <c r="N131">
        <f>DC!N8</f>
        <v>0</v>
      </c>
      <c r="O131">
        <f>DC!O8</f>
        <v>0</v>
      </c>
      <c r="P131">
        <f>DC!P8</f>
        <v>0</v>
      </c>
      <c r="Q131">
        <f>DC!Q8</f>
        <v>0</v>
      </c>
      <c r="R131">
        <f>DC!R8</f>
        <v>0</v>
      </c>
      <c r="S131">
        <f>DC!S8</f>
        <v>0</v>
      </c>
      <c r="T131">
        <f>DC!T8</f>
        <v>0</v>
      </c>
      <c r="U131">
        <f>DC!U8</f>
        <v>0</v>
      </c>
      <c r="V131">
        <f>DC!V8</f>
        <v>0</v>
      </c>
      <c r="W131">
        <f>DC!W8</f>
        <v>0</v>
      </c>
      <c r="X131">
        <f>DC!X8</f>
        <v>0</v>
      </c>
      <c r="Y131">
        <f>DC!Y8</f>
        <v>0</v>
      </c>
      <c r="Z131">
        <f>DC!Z8</f>
        <v>0</v>
      </c>
      <c r="AA131">
        <f>DC!AA8</f>
        <v>0</v>
      </c>
      <c r="AB131">
        <f>DC!AB8</f>
        <v>0</v>
      </c>
      <c r="AC131">
        <f>DC!AC8</f>
        <v>0</v>
      </c>
      <c r="AD131">
        <f>DC!AD8</f>
        <v>0</v>
      </c>
      <c r="AE131">
        <f>DC!AE8</f>
        <v>0</v>
      </c>
      <c r="AF131">
        <f>DC!AF8</f>
        <v>0</v>
      </c>
      <c r="AG131">
        <f>DC!AG8</f>
        <v>0</v>
      </c>
      <c r="AH131">
        <f>DC!AH8</f>
        <v>0</v>
      </c>
      <c r="AI131">
        <f>DC!AI8</f>
        <v>0</v>
      </c>
      <c r="AJ131">
        <f>DC!AJ8</f>
        <v>0</v>
      </c>
      <c r="AK131">
        <f>DC!AK8</f>
        <v>0</v>
      </c>
      <c r="AL131">
        <f>DC!AL8</f>
        <v>0</v>
      </c>
      <c r="AM131">
        <f>DC!AM8</f>
        <v>0</v>
      </c>
      <c r="AN131">
        <f>DC!AN8</f>
        <v>0</v>
      </c>
      <c r="AO131">
        <f>DC!AO8</f>
        <v>0</v>
      </c>
      <c r="AP131">
        <f>DC!AP8</f>
        <v>0</v>
      </c>
      <c r="AQ131">
        <f>DC!AQ8</f>
        <v>0</v>
      </c>
      <c r="AR131">
        <f>DC!AR8</f>
        <v>0</v>
      </c>
      <c r="AS131">
        <f>DC!AS8</f>
        <v>0</v>
      </c>
      <c r="AT131">
        <f>DC!AT8</f>
        <v>0</v>
      </c>
      <c r="AU131">
        <f>DC!AU8</f>
        <v>0</v>
      </c>
      <c r="AV131">
        <f>DC!AV8</f>
        <v>0</v>
      </c>
      <c r="AW131">
        <f>DC!AW8</f>
        <v>0</v>
      </c>
      <c r="AX131">
        <f>DC!AX8</f>
        <v>0</v>
      </c>
      <c r="AY131">
        <f>DC!AY8</f>
        <v>0</v>
      </c>
      <c r="AZ131">
        <f>DC!AZ8</f>
        <v>0</v>
      </c>
      <c r="BA131">
        <f>DC!BA8</f>
        <v>0</v>
      </c>
      <c r="BB131">
        <f>DC!BB8</f>
        <v>0</v>
      </c>
      <c r="BC131">
        <f>DC!BC8</f>
        <v>0</v>
      </c>
      <c r="BD131">
        <f>DC!BD8</f>
        <v>0</v>
      </c>
      <c r="BE131">
        <f>DC!BE8</f>
        <v>0</v>
      </c>
      <c r="BF131">
        <f>DC!BF8</f>
        <v>0</v>
      </c>
      <c r="BG131">
        <f>DC!BG8</f>
        <v>0</v>
      </c>
      <c r="BH131">
        <f>DC!BH8</f>
        <v>0</v>
      </c>
      <c r="BI131">
        <f>DC!BI8</f>
        <v>0</v>
      </c>
      <c r="BJ131">
        <f>DC!BJ8</f>
        <v>0</v>
      </c>
      <c r="BK131">
        <f>DC!BK8</f>
        <v>0</v>
      </c>
      <c r="BL131">
        <f>DC!BL8</f>
        <v>0</v>
      </c>
    </row>
    <row r="132" spans="1:64">
      <c r="A132">
        <f>DC!A9</f>
        <v>2</v>
      </c>
      <c r="B132" t="str">
        <f>DC!B9</f>
        <v>08:30-09:30</v>
      </c>
      <c r="C132">
        <f>DC!C9</f>
        <v>3</v>
      </c>
      <c r="D132" t="str">
        <f>DC!D9</f>
        <v>08:45-09:30</v>
      </c>
      <c r="E132">
        <f>DC!E9</f>
        <v>0</v>
      </c>
      <c r="F132">
        <f>DC!F9</f>
        <v>0</v>
      </c>
      <c r="G132">
        <f>DC!G9</f>
        <v>0</v>
      </c>
      <c r="H132">
        <f>DC!H9</f>
        <v>0</v>
      </c>
      <c r="I132">
        <f>DC!I9</f>
        <v>0</v>
      </c>
      <c r="J132">
        <f>DC!J9</f>
        <v>0</v>
      </c>
      <c r="K132">
        <f>DC!K9</f>
        <v>0</v>
      </c>
      <c r="L132">
        <f>DC!L9</f>
        <v>0</v>
      </c>
      <c r="M132">
        <f>DC!M9</f>
        <v>0</v>
      </c>
      <c r="N132">
        <f>DC!N9</f>
        <v>0</v>
      </c>
      <c r="O132">
        <f>DC!O9</f>
        <v>0</v>
      </c>
      <c r="P132">
        <f>DC!P9</f>
        <v>0</v>
      </c>
      <c r="Q132">
        <f>DC!Q9</f>
        <v>0</v>
      </c>
      <c r="R132">
        <f>DC!R9</f>
        <v>0</v>
      </c>
      <c r="S132">
        <f>DC!S9</f>
        <v>0</v>
      </c>
      <c r="T132">
        <f>DC!T9</f>
        <v>0</v>
      </c>
      <c r="U132">
        <f>DC!U9</f>
        <v>0</v>
      </c>
      <c r="V132">
        <f>DC!V9</f>
        <v>0</v>
      </c>
      <c r="W132">
        <f>DC!W9</f>
        <v>0</v>
      </c>
      <c r="X132">
        <f>DC!X9</f>
        <v>0</v>
      </c>
      <c r="Y132">
        <f>DC!Y9</f>
        <v>0</v>
      </c>
      <c r="Z132">
        <f>DC!Z9</f>
        <v>0</v>
      </c>
      <c r="AA132">
        <f>DC!AA9</f>
        <v>0</v>
      </c>
      <c r="AB132">
        <f>DC!AB9</f>
        <v>0</v>
      </c>
      <c r="AC132">
        <f>DC!AC9</f>
        <v>0</v>
      </c>
      <c r="AD132">
        <f>DC!AD9</f>
        <v>0</v>
      </c>
      <c r="AE132">
        <f>DC!AE9</f>
        <v>0</v>
      </c>
      <c r="AF132">
        <f>DC!AF9</f>
        <v>0</v>
      </c>
      <c r="AG132">
        <f>DC!AG9</f>
        <v>0</v>
      </c>
      <c r="AH132">
        <f>DC!AH9</f>
        <v>0</v>
      </c>
      <c r="AI132">
        <f>DC!AI9</f>
        <v>0</v>
      </c>
      <c r="AJ132">
        <f>DC!AJ9</f>
        <v>0</v>
      </c>
      <c r="AK132">
        <f>DC!AK9</f>
        <v>0</v>
      </c>
      <c r="AL132">
        <f>DC!AL9</f>
        <v>0</v>
      </c>
      <c r="AM132">
        <f>DC!AM9</f>
        <v>0</v>
      </c>
      <c r="AN132">
        <f>DC!AN9</f>
        <v>0</v>
      </c>
      <c r="AO132">
        <f>DC!AO9</f>
        <v>0</v>
      </c>
      <c r="AP132">
        <f>DC!AP9</f>
        <v>0</v>
      </c>
      <c r="AQ132">
        <f>DC!AQ9</f>
        <v>0</v>
      </c>
      <c r="AR132">
        <f>DC!AR9</f>
        <v>0</v>
      </c>
      <c r="AS132">
        <f>DC!AS9</f>
        <v>0</v>
      </c>
      <c r="AT132">
        <f>DC!AT9</f>
        <v>0</v>
      </c>
      <c r="AU132">
        <f>DC!AU9</f>
        <v>0</v>
      </c>
      <c r="AV132">
        <f>DC!AV9</f>
        <v>0</v>
      </c>
      <c r="AW132">
        <f>DC!AW9</f>
        <v>0</v>
      </c>
      <c r="AX132">
        <f>DC!AX9</f>
        <v>0</v>
      </c>
      <c r="AY132">
        <f>DC!AY9</f>
        <v>0</v>
      </c>
      <c r="AZ132">
        <f>DC!AZ9</f>
        <v>0</v>
      </c>
      <c r="BA132">
        <f>DC!BA9</f>
        <v>0</v>
      </c>
      <c r="BB132">
        <f>DC!BB9</f>
        <v>0</v>
      </c>
      <c r="BC132">
        <f>DC!BC9</f>
        <v>0</v>
      </c>
      <c r="BD132">
        <f>DC!BD9</f>
        <v>0</v>
      </c>
      <c r="BE132">
        <f>DC!BE9</f>
        <v>0</v>
      </c>
      <c r="BF132">
        <f>DC!BF9</f>
        <v>0</v>
      </c>
      <c r="BG132">
        <f>DC!BG9</f>
        <v>0</v>
      </c>
      <c r="BH132">
        <f>DC!BH9</f>
        <v>0</v>
      </c>
      <c r="BI132">
        <f>DC!BI9</f>
        <v>0</v>
      </c>
      <c r="BJ132">
        <f>DC!BJ9</f>
        <v>0</v>
      </c>
      <c r="BK132">
        <f>DC!BK9</f>
        <v>0</v>
      </c>
      <c r="BL132">
        <f>DC!BL9</f>
        <v>0</v>
      </c>
    </row>
    <row r="133" spans="1:64">
      <c r="A133">
        <f>DC!A10</f>
        <v>2</v>
      </c>
      <c r="B133" t="str">
        <f>DC!B10</f>
        <v>08:30-09:30</v>
      </c>
      <c r="C133">
        <f>DC!C10</f>
        <v>4</v>
      </c>
      <c r="D133" t="str">
        <f>DC!D10</f>
        <v>09:00-09:45</v>
      </c>
      <c r="E133">
        <f>DC!E10</f>
        <v>0</v>
      </c>
      <c r="F133">
        <f>DC!F10</f>
        <v>0</v>
      </c>
      <c r="G133">
        <f>DC!G10</f>
        <v>0</v>
      </c>
      <c r="H133">
        <f>DC!H10</f>
        <v>0</v>
      </c>
      <c r="I133">
        <f>DC!I10</f>
        <v>0</v>
      </c>
      <c r="J133">
        <f>DC!J10</f>
        <v>0</v>
      </c>
      <c r="K133">
        <f>DC!K10</f>
        <v>0</v>
      </c>
      <c r="L133">
        <f>DC!L10</f>
        <v>0</v>
      </c>
      <c r="M133">
        <f>DC!M10</f>
        <v>0</v>
      </c>
      <c r="N133">
        <f>DC!N10</f>
        <v>0</v>
      </c>
      <c r="O133">
        <f>DC!O10</f>
        <v>0</v>
      </c>
      <c r="P133">
        <f>DC!P10</f>
        <v>0</v>
      </c>
      <c r="Q133">
        <f>DC!Q10</f>
        <v>0</v>
      </c>
      <c r="R133">
        <f>DC!R10</f>
        <v>0</v>
      </c>
      <c r="S133">
        <f>DC!S10</f>
        <v>0</v>
      </c>
      <c r="T133">
        <f>DC!T10</f>
        <v>0</v>
      </c>
      <c r="U133">
        <f>DC!U10</f>
        <v>0</v>
      </c>
      <c r="V133">
        <f>DC!V10</f>
        <v>0</v>
      </c>
      <c r="W133">
        <f>DC!W10</f>
        <v>0</v>
      </c>
      <c r="X133">
        <f>DC!X10</f>
        <v>0</v>
      </c>
      <c r="Y133">
        <f>DC!Y10</f>
        <v>0</v>
      </c>
      <c r="Z133">
        <f>DC!Z10</f>
        <v>0</v>
      </c>
      <c r="AA133">
        <f>DC!AA10</f>
        <v>0</v>
      </c>
      <c r="AB133">
        <f>DC!AB10</f>
        <v>0</v>
      </c>
      <c r="AC133">
        <f>DC!AC10</f>
        <v>0</v>
      </c>
      <c r="AD133">
        <f>DC!AD10</f>
        <v>0</v>
      </c>
      <c r="AE133">
        <f>DC!AE10</f>
        <v>0</v>
      </c>
      <c r="AF133">
        <f>DC!AF10</f>
        <v>0</v>
      </c>
      <c r="AG133">
        <f>DC!AG10</f>
        <v>0</v>
      </c>
      <c r="AH133">
        <f>DC!AH10</f>
        <v>0</v>
      </c>
      <c r="AI133">
        <f>DC!AI10</f>
        <v>0</v>
      </c>
      <c r="AJ133">
        <f>DC!AJ10</f>
        <v>0</v>
      </c>
      <c r="AK133">
        <f>DC!AK10</f>
        <v>0</v>
      </c>
      <c r="AL133">
        <f>DC!AL10</f>
        <v>0</v>
      </c>
      <c r="AM133">
        <f>DC!AM10</f>
        <v>0</v>
      </c>
      <c r="AN133">
        <f>DC!AN10</f>
        <v>0</v>
      </c>
      <c r="AO133">
        <f>DC!AO10</f>
        <v>0</v>
      </c>
      <c r="AP133">
        <f>DC!AP10</f>
        <v>0</v>
      </c>
      <c r="AQ133">
        <f>DC!AQ10</f>
        <v>0</v>
      </c>
      <c r="AR133">
        <f>DC!AR10</f>
        <v>0</v>
      </c>
      <c r="AS133">
        <f>DC!AS10</f>
        <v>0</v>
      </c>
      <c r="AT133">
        <f>DC!AT10</f>
        <v>0</v>
      </c>
      <c r="AU133">
        <f>DC!AU10</f>
        <v>0</v>
      </c>
      <c r="AV133">
        <f>DC!AV10</f>
        <v>0</v>
      </c>
      <c r="AW133">
        <f>DC!AW10</f>
        <v>0</v>
      </c>
      <c r="AX133">
        <f>DC!AX10</f>
        <v>0</v>
      </c>
      <c r="AY133">
        <f>DC!AY10</f>
        <v>0</v>
      </c>
      <c r="AZ133">
        <f>DC!AZ10</f>
        <v>0</v>
      </c>
      <c r="BA133">
        <f>DC!BA10</f>
        <v>0</v>
      </c>
      <c r="BB133">
        <f>DC!BB10</f>
        <v>0</v>
      </c>
      <c r="BC133">
        <f>DC!BC10</f>
        <v>0</v>
      </c>
      <c r="BD133">
        <f>DC!BD10</f>
        <v>0</v>
      </c>
      <c r="BE133">
        <f>DC!BE10</f>
        <v>0</v>
      </c>
      <c r="BF133">
        <f>DC!BF10</f>
        <v>0</v>
      </c>
      <c r="BG133">
        <f>DC!BG10</f>
        <v>0</v>
      </c>
      <c r="BH133">
        <f>DC!BH10</f>
        <v>0</v>
      </c>
      <c r="BI133">
        <f>DC!BI10</f>
        <v>0</v>
      </c>
      <c r="BJ133">
        <f>DC!BJ10</f>
        <v>0</v>
      </c>
      <c r="BK133">
        <f>DC!BK10</f>
        <v>0</v>
      </c>
      <c r="BL133">
        <f>DC!BL10</f>
        <v>0</v>
      </c>
    </row>
    <row r="134" spans="1:64">
      <c r="A134">
        <f>DC!A11</f>
        <v>2</v>
      </c>
      <c r="B134" t="str">
        <f>DC!B11</f>
        <v>08:30-09:30</v>
      </c>
      <c r="C134">
        <f>DC!C11</f>
        <v>5</v>
      </c>
      <c r="D134" t="str">
        <f>DC!D11</f>
        <v>09:00-10:00</v>
      </c>
      <c r="E134">
        <f>DC!E11</f>
        <v>0</v>
      </c>
      <c r="F134">
        <f>DC!F11</f>
        <v>0</v>
      </c>
      <c r="G134">
        <f>DC!G11</f>
        <v>0</v>
      </c>
      <c r="H134">
        <f>DC!H11</f>
        <v>0</v>
      </c>
      <c r="I134">
        <f>DC!I11</f>
        <v>0</v>
      </c>
      <c r="J134">
        <f>DC!J11</f>
        <v>0</v>
      </c>
      <c r="K134">
        <f>DC!K11</f>
        <v>0</v>
      </c>
      <c r="L134">
        <f>DC!L11</f>
        <v>0</v>
      </c>
      <c r="M134">
        <f>DC!M11</f>
        <v>0</v>
      </c>
      <c r="N134">
        <f>DC!N11</f>
        <v>0</v>
      </c>
      <c r="O134">
        <f>DC!O11</f>
        <v>0</v>
      </c>
      <c r="P134">
        <f>DC!P11</f>
        <v>0</v>
      </c>
      <c r="Q134">
        <f>DC!Q11</f>
        <v>0</v>
      </c>
      <c r="R134">
        <f>DC!R11</f>
        <v>0</v>
      </c>
      <c r="S134">
        <f>DC!S11</f>
        <v>0</v>
      </c>
      <c r="T134">
        <f>DC!T11</f>
        <v>0</v>
      </c>
      <c r="U134">
        <f>DC!U11</f>
        <v>0</v>
      </c>
      <c r="V134">
        <f>DC!V11</f>
        <v>0</v>
      </c>
      <c r="W134">
        <f>DC!W11</f>
        <v>0</v>
      </c>
      <c r="X134">
        <f>DC!X11</f>
        <v>0</v>
      </c>
      <c r="Y134">
        <f>DC!Y11</f>
        <v>0</v>
      </c>
      <c r="Z134">
        <f>DC!Z11</f>
        <v>0</v>
      </c>
      <c r="AA134">
        <f>DC!AA11</f>
        <v>0</v>
      </c>
      <c r="AB134">
        <f>DC!AB11</f>
        <v>0</v>
      </c>
      <c r="AC134">
        <f>DC!AC11</f>
        <v>0</v>
      </c>
      <c r="AD134">
        <f>DC!AD11</f>
        <v>0</v>
      </c>
      <c r="AE134">
        <f>DC!AE11</f>
        <v>0</v>
      </c>
      <c r="AF134">
        <f>DC!AF11</f>
        <v>0</v>
      </c>
      <c r="AG134">
        <f>DC!AG11</f>
        <v>0</v>
      </c>
      <c r="AH134">
        <f>DC!AH11</f>
        <v>0</v>
      </c>
      <c r="AI134">
        <f>DC!AI11</f>
        <v>0</v>
      </c>
      <c r="AJ134">
        <f>DC!AJ11</f>
        <v>0</v>
      </c>
      <c r="AK134">
        <f>DC!AK11</f>
        <v>0</v>
      </c>
      <c r="AL134">
        <f>DC!AL11</f>
        <v>0</v>
      </c>
      <c r="AM134">
        <f>DC!AM11</f>
        <v>0</v>
      </c>
      <c r="AN134">
        <f>DC!AN11</f>
        <v>0</v>
      </c>
      <c r="AO134">
        <f>DC!AO11</f>
        <v>0</v>
      </c>
      <c r="AP134">
        <f>DC!AP11</f>
        <v>0</v>
      </c>
      <c r="AQ134">
        <f>DC!AQ11</f>
        <v>0</v>
      </c>
      <c r="AR134">
        <f>DC!AR11</f>
        <v>0</v>
      </c>
      <c r="AS134">
        <f>DC!AS11</f>
        <v>0</v>
      </c>
      <c r="AT134">
        <f>DC!AT11</f>
        <v>0</v>
      </c>
      <c r="AU134">
        <f>DC!AU11</f>
        <v>0</v>
      </c>
      <c r="AV134">
        <f>DC!AV11</f>
        <v>0</v>
      </c>
      <c r="AW134">
        <f>DC!AW11</f>
        <v>0</v>
      </c>
      <c r="AX134">
        <f>DC!AX11</f>
        <v>0</v>
      </c>
      <c r="AY134">
        <f>DC!AY11</f>
        <v>0</v>
      </c>
      <c r="AZ134">
        <f>DC!AZ11</f>
        <v>0</v>
      </c>
      <c r="BA134">
        <f>DC!BA11</f>
        <v>0</v>
      </c>
      <c r="BB134">
        <f>DC!BB11</f>
        <v>0</v>
      </c>
      <c r="BC134">
        <f>DC!BC11</f>
        <v>0</v>
      </c>
      <c r="BD134">
        <f>DC!BD11</f>
        <v>0</v>
      </c>
      <c r="BE134">
        <f>DC!BE11</f>
        <v>0</v>
      </c>
      <c r="BF134">
        <f>DC!BF11</f>
        <v>0</v>
      </c>
      <c r="BG134">
        <f>DC!BG11</f>
        <v>0</v>
      </c>
      <c r="BH134">
        <f>DC!BH11</f>
        <v>0</v>
      </c>
      <c r="BI134">
        <f>DC!BI11</f>
        <v>0</v>
      </c>
      <c r="BJ134">
        <f>DC!BJ11</f>
        <v>0</v>
      </c>
      <c r="BK134">
        <f>DC!BK11</f>
        <v>0</v>
      </c>
      <c r="BL134">
        <f>DC!BL11</f>
        <v>0</v>
      </c>
    </row>
    <row r="135" spans="1:64">
      <c r="A135">
        <f>DC!A12</f>
        <v>2</v>
      </c>
      <c r="B135" t="str">
        <f>DC!B12</f>
        <v>08:30-09:30</v>
      </c>
      <c r="C135">
        <f>DC!C12</f>
        <v>6</v>
      </c>
      <c r="D135" t="str">
        <f>DC!D12</f>
        <v>09:15-10:00</v>
      </c>
      <c r="E135">
        <f>DC!E12</f>
        <v>0</v>
      </c>
      <c r="F135">
        <f>DC!F12</f>
        <v>0</v>
      </c>
      <c r="G135">
        <f>DC!G12</f>
        <v>0</v>
      </c>
      <c r="H135">
        <f>DC!H12</f>
        <v>0</v>
      </c>
      <c r="I135">
        <f>DC!I12</f>
        <v>0</v>
      </c>
      <c r="J135">
        <f>DC!J12</f>
        <v>0</v>
      </c>
      <c r="K135">
        <f>DC!K12</f>
        <v>0</v>
      </c>
      <c r="L135">
        <f>DC!L12</f>
        <v>0</v>
      </c>
      <c r="M135">
        <f>DC!M12</f>
        <v>0</v>
      </c>
      <c r="N135">
        <f>DC!N12</f>
        <v>0</v>
      </c>
      <c r="O135">
        <f>DC!O12</f>
        <v>0</v>
      </c>
      <c r="P135">
        <f>DC!P12</f>
        <v>0</v>
      </c>
      <c r="Q135">
        <f>DC!Q12</f>
        <v>0</v>
      </c>
      <c r="R135">
        <f>DC!R12</f>
        <v>0</v>
      </c>
      <c r="S135">
        <f>DC!S12</f>
        <v>0</v>
      </c>
      <c r="T135">
        <f>DC!T12</f>
        <v>0</v>
      </c>
      <c r="U135">
        <f>DC!U12</f>
        <v>0</v>
      </c>
      <c r="V135">
        <f>DC!V12</f>
        <v>0</v>
      </c>
      <c r="W135">
        <f>DC!W12</f>
        <v>0</v>
      </c>
      <c r="X135">
        <f>DC!X12</f>
        <v>0</v>
      </c>
      <c r="Y135">
        <f>DC!Y12</f>
        <v>0</v>
      </c>
      <c r="Z135">
        <f>DC!Z12</f>
        <v>0</v>
      </c>
      <c r="AA135">
        <f>DC!AA12</f>
        <v>0</v>
      </c>
      <c r="AB135">
        <f>DC!AB12</f>
        <v>0</v>
      </c>
      <c r="AC135">
        <f>DC!AC12</f>
        <v>0</v>
      </c>
      <c r="AD135">
        <f>DC!AD12</f>
        <v>0</v>
      </c>
      <c r="AE135">
        <f>DC!AE12</f>
        <v>0</v>
      </c>
      <c r="AF135">
        <f>DC!AF12</f>
        <v>0</v>
      </c>
      <c r="AG135">
        <f>DC!AG12</f>
        <v>0</v>
      </c>
      <c r="AH135">
        <f>DC!AH12</f>
        <v>0</v>
      </c>
      <c r="AI135">
        <f>DC!AI12</f>
        <v>0</v>
      </c>
      <c r="AJ135">
        <f>DC!AJ12</f>
        <v>0</v>
      </c>
      <c r="AK135">
        <f>DC!AK12</f>
        <v>0</v>
      </c>
      <c r="AL135">
        <f>DC!AL12</f>
        <v>0</v>
      </c>
      <c r="AM135">
        <f>DC!AM12</f>
        <v>0</v>
      </c>
      <c r="AN135">
        <f>DC!AN12</f>
        <v>0</v>
      </c>
      <c r="AO135">
        <f>DC!AO12</f>
        <v>0</v>
      </c>
      <c r="AP135">
        <f>DC!AP12</f>
        <v>0</v>
      </c>
      <c r="AQ135">
        <f>DC!AQ12</f>
        <v>0</v>
      </c>
      <c r="AR135">
        <f>DC!AR12</f>
        <v>0</v>
      </c>
      <c r="AS135">
        <f>DC!AS12</f>
        <v>0</v>
      </c>
      <c r="AT135">
        <f>DC!AT12</f>
        <v>0</v>
      </c>
      <c r="AU135">
        <f>DC!AU12</f>
        <v>0</v>
      </c>
      <c r="AV135">
        <f>DC!AV12</f>
        <v>0</v>
      </c>
      <c r="AW135">
        <f>DC!AW12</f>
        <v>0</v>
      </c>
      <c r="AX135">
        <f>DC!AX12</f>
        <v>0</v>
      </c>
      <c r="AY135">
        <f>DC!AY12</f>
        <v>0</v>
      </c>
      <c r="AZ135">
        <f>DC!AZ12</f>
        <v>0</v>
      </c>
      <c r="BA135">
        <f>DC!BA12</f>
        <v>0</v>
      </c>
      <c r="BB135">
        <f>DC!BB12</f>
        <v>0</v>
      </c>
      <c r="BC135">
        <f>DC!BC12</f>
        <v>0</v>
      </c>
      <c r="BD135">
        <f>DC!BD12</f>
        <v>0</v>
      </c>
      <c r="BE135">
        <f>DC!BE12</f>
        <v>0</v>
      </c>
      <c r="BF135">
        <f>DC!BF12</f>
        <v>0</v>
      </c>
      <c r="BG135">
        <f>DC!BG12</f>
        <v>0</v>
      </c>
      <c r="BH135">
        <f>DC!BH12</f>
        <v>0</v>
      </c>
      <c r="BI135">
        <f>DC!BI12</f>
        <v>0</v>
      </c>
      <c r="BJ135">
        <f>DC!BJ12</f>
        <v>0</v>
      </c>
      <c r="BK135">
        <f>DC!BK12</f>
        <v>0</v>
      </c>
      <c r="BL135">
        <f>DC!BL12</f>
        <v>0</v>
      </c>
    </row>
    <row r="136" spans="1:64">
      <c r="A136">
        <f>DC!A13</f>
        <v>3</v>
      </c>
      <c r="B136" t="str">
        <f>DC!B13</f>
        <v>08:45-09:30</v>
      </c>
      <c r="C136">
        <f>DC!C13</f>
        <v>4</v>
      </c>
      <c r="D136" t="str">
        <f>DC!D13</f>
        <v>09:00-09:45</v>
      </c>
      <c r="E136">
        <f>DC!E13</f>
        <v>0</v>
      </c>
      <c r="F136">
        <f>DC!F13</f>
        <v>0</v>
      </c>
      <c r="G136">
        <f>DC!G13</f>
        <v>0</v>
      </c>
      <c r="H136">
        <f>DC!H13</f>
        <v>0</v>
      </c>
      <c r="I136">
        <f>DC!I13</f>
        <v>0</v>
      </c>
      <c r="J136">
        <f>DC!J13</f>
        <v>0</v>
      </c>
      <c r="K136">
        <f>DC!K13</f>
        <v>0</v>
      </c>
      <c r="L136">
        <f>DC!L13</f>
        <v>0</v>
      </c>
      <c r="M136">
        <f>DC!M13</f>
        <v>0</v>
      </c>
      <c r="N136">
        <f>DC!N13</f>
        <v>0</v>
      </c>
      <c r="O136">
        <f>DC!O13</f>
        <v>0</v>
      </c>
      <c r="P136">
        <f>DC!P13</f>
        <v>0</v>
      </c>
      <c r="Q136">
        <f>DC!Q13</f>
        <v>0</v>
      </c>
      <c r="R136">
        <f>DC!R13</f>
        <v>0</v>
      </c>
      <c r="S136">
        <f>DC!S13</f>
        <v>0</v>
      </c>
      <c r="T136">
        <f>DC!T13</f>
        <v>0</v>
      </c>
      <c r="U136">
        <f>DC!U13</f>
        <v>0</v>
      </c>
      <c r="V136">
        <f>DC!V13</f>
        <v>0</v>
      </c>
      <c r="W136">
        <f>DC!W13</f>
        <v>0</v>
      </c>
      <c r="X136">
        <f>DC!X13</f>
        <v>0</v>
      </c>
      <c r="Y136">
        <f>DC!Y13</f>
        <v>0</v>
      </c>
      <c r="Z136">
        <f>DC!Z13</f>
        <v>0</v>
      </c>
      <c r="AA136">
        <f>DC!AA13</f>
        <v>0</v>
      </c>
      <c r="AB136">
        <f>DC!AB13</f>
        <v>0</v>
      </c>
      <c r="AC136">
        <f>DC!AC13</f>
        <v>0</v>
      </c>
      <c r="AD136">
        <f>DC!AD13</f>
        <v>0</v>
      </c>
      <c r="AE136">
        <f>DC!AE13</f>
        <v>0</v>
      </c>
      <c r="AF136">
        <f>DC!AF13</f>
        <v>0</v>
      </c>
      <c r="AG136">
        <f>DC!AG13</f>
        <v>0</v>
      </c>
      <c r="AH136">
        <f>DC!AH13</f>
        <v>0</v>
      </c>
      <c r="AI136">
        <f>DC!AI13</f>
        <v>0</v>
      </c>
      <c r="AJ136">
        <f>DC!AJ13</f>
        <v>0</v>
      </c>
      <c r="AK136">
        <f>DC!AK13</f>
        <v>0</v>
      </c>
      <c r="AL136">
        <f>DC!AL13</f>
        <v>0</v>
      </c>
      <c r="AM136">
        <f>DC!AM13</f>
        <v>0</v>
      </c>
      <c r="AN136">
        <f>DC!AN13</f>
        <v>0</v>
      </c>
      <c r="AO136">
        <f>DC!AO13</f>
        <v>0</v>
      </c>
      <c r="AP136">
        <f>DC!AP13</f>
        <v>0</v>
      </c>
      <c r="AQ136">
        <f>DC!AQ13</f>
        <v>0</v>
      </c>
      <c r="AR136">
        <f>DC!AR13</f>
        <v>0</v>
      </c>
      <c r="AS136">
        <f>DC!AS13</f>
        <v>0</v>
      </c>
      <c r="AT136">
        <f>DC!AT13</f>
        <v>0</v>
      </c>
      <c r="AU136">
        <f>DC!AU13</f>
        <v>0</v>
      </c>
      <c r="AV136">
        <f>DC!AV13</f>
        <v>0</v>
      </c>
      <c r="AW136">
        <f>DC!AW13</f>
        <v>0</v>
      </c>
      <c r="AX136">
        <f>DC!AX13</f>
        <v>0</v>
      </c>
      <c r="AY136">
        <f>DC!AY13</f>
        <v>0</v>
      </c>
      <c r="AZ136">
        <f>DC!AZ13</f>
        <v>0</v>
      </c>
      <c r="BA136">
        <f>DC!BA13</f>
        <v>0</v>
      </c>
      <c r="BB136">
        <f>DC!BB13</f>
        <v>0</v>
      </c>
      <c r="BC136">
        <f>DC!BC13</f>
        <v>0</v>
      </c>
      <c r="BD136">
        <f>DC!BD13</f>
        <v>0</v>
      </c>
      <c r="BE136">
        <f>DC!BE13</f>
        <v>0</v>
      </c>
      <c r="BF136">
        <f>DC!BF13</f>
        <v>0</v>
      </c>
      <c r="BG136">
        <f>DC!BG13</f>
        <v>0</v>
      </c>
      <c r="BH136">
        <f>DC!BH13</f>
        <v>0</v>
      </c>
      <c r="BI136">
        <f>DC!BI13</f>
        <v>0</v>
      </c>
      <c r="BJ136">
        <f>DC!BJ13</f>
        <v>0</v>
      </c>
      <c r="BK136">
        <f>DC!BK13</f>
        <v>0</v>
      </c>
      <c r="BL136">
        <f>DC!BL13</f>
        <v>0</v>
      </c>
    </row>
    <row r="137" spans="1:64">
      <c r="A137">
        <f>DC!A14</f>
        <v>3</v>
      </c>
      <c r="B137" t="str">
        <f>DC!B14</f>
        <v>08:45-09:30</v>
      </c>
      <c r="C137">
        <f>DC!C14</f>
        <v>5</v>
      </c>
      <c r="D137" t="str">
        <f>DC!D14</f>
        <v>09:00-10:00</v>
      </c>
      <c r="E137">
        <f>DC!E14</f>
        <v>0</v>
      </c>
      <c r="F137">
        <f>DC!F14</f>
        <v>0</v>
      </c>
      <c r="G137">
        <f>DC!G14</f>
        <v>0</v>
      </c>
      <c r="H137">
        <f>DC!H14</f>
        <v>0</v>
      </c>
      <c r="I137">
        <f>DC!I14</f>
        <v>0</v>
      </c>
      <c r="J137">
        <f>DC!J14</f>
        <v>0</v>
      </c>
      <c r="K137">
        <f>DC!K14</f>
        <v>0</v>
      </c>
      <c r="L137">
        <f>DC!L14</f>
        <v>0</v>
      </c>
      <c r="M137">
        <f>DC!M14</f>
        <v>0</v>
      </c>
      <c r="N137">
        <f>DC!N14</f>
        <v>0</v>
      </c>
      <c r="O137">
        <f>DC!O14</f>
        <v>0</v>
      </c>
      <c r="P137">
        <f>DC!P14</f>
        <v>0</v>
      </c>
      <c r="Q137">
        <f>DC!Q14</f>
        <v>0</v>
      </c>
      <c r="R137">
        <f>DC!R14</f>
        <v>0</v>
      </c>
      <c r="S137">
        <f>DC!S14</f>
        <v>0</v>
      </c>
      <c r="T137">
        <f>DC!T14</f>
        <v>0</v>
      </c>
      <c r="U137">
        <f>DC!U14</f>
        <v>0</v>
      </c>
      <c r="V137">
        <f>DC!V14</f>
        <v>0</v>
      </c>
      <c r="W137">
        <f>DC!W14</f>
        <v>0</v>
      </c>
      <c r="X137">
        <f>DC!X14</f>
        <v>0</v>
      </c>
      <c r="Y137">
        <f>DC!Y14</f>
        <v>0</v>
      </c>
      <c r="Z137">
        <f>DC!Z14</f>
        <v>0</v>
      </c>
      <c r="AA137">
        <f>DC!AA14</f>
        <v>0</v>
      </c>
      <c r="AB137">
        <f>DC!AB14</f>
        <v>0</v>
      </c>
      <c r="AC137">
        <f>DC!AC14</f>
        <v>0</v>
      </c>
      <c r="AD137">
        <f>DC!AD14</f>
        <v>0</v>
      </c>
      <c r="AE137">
        <f>DC!AE14</f>
        <v>0</v>
      </c>
      <c r="AF137">
        <f>DC!AF14</f>
        <v>0</v>
      </c>
      <c r="AG137">
        <f>DC!AG14</f>
        <v>0</v>
      </c>
      <c r="AH137">
        <f>DC!AH14</f>
        <v>0</v>
      </c>
      <c r="AI137">
        <f>DC!AI14</f>
        <v>0</v>
      </c>
      <c r="AJ137">
        <f>DC!AJ14</f>
        <v>0</v>
      </c>
      <c r="AK137">
        <f>DC!AK14</f>
        <v>0</v>
      </c>
      <c r="AL137">
        <f>DC!AL14</f>
        <v>0</v>
      </c>
      <c r="AM137">
        <f>DC!AM14</f>
        <v>0</v>
      </c>
      <c r="AN137">
        <f>DC!AN14</f>
        <v>0</v>
      </c>
      <c r="AO137">
        <f>DC!AO14</f>
        <v>0</v>
      </c>
      <c r="AP137">
        <f>DC!AP14</f>
        <v>0</v>
      </c>
      <c r="AQ137">
        <f>DC!AQ14</f>
        <v>0</v>
      </c>
      <c r="AR137">
        <f>DC!AR14</f>
        <v>0</v>
      </c>
      <c r="AS137">
        <f>DC!AS14</f>
        <v>0</v>
      </c>
      <c r="AT137">
        <f>DC!AT14</f>
        <v>0</v>
      </c>
      <c r="AU137">
        <f>DC!AU14</f>
        <v>0</v>
      </c>
      <c r="AV137">
        <f>DC!AV14</f>
        <v>0</v>
      </c>
      <c r="AW137">
        <f>DC!AW14</f>
        <v>0</v>
      </c>
      <c r="AX137">
        <f>DC!AX14</f>
        <v>0</v>
      </c>
      <c r="AY137">
        <f>DC!AY14</f>
        <v>0</v>
      </c>
      <c r="AZ137">
        <f>DC!AZ14</f>
        <v>0</v>
      </c>
      <c r="BA137">
        <f>DC!BA14</f>
        <v>0</v>
      </c>
      <c r="BB137">
        <f>DC!BB14</f>
        <v>0</v>
      </c>
      <c r="BC137">
        <f>DC!BC14</f>
        <v>0</v>
      </c>
      <c r="BD137">
        <f>DC!BD14</f>
        <v>0</v>
      </c>
      <c r="BE137">
        <f>DC!BE14</f>
        <v>0</v>
      </c>
      <c r="BF137">
        <f>DC!BF14</f>
        <v>0</v>
      </c>
      <c r="BG137">
        <f>DC!BG14</f>
        <v>0</v>
      </c>
      <c r="BH137">
        <f>DC!BH14</f>
        <v>0</v>
      </c>
      <c r="BI137">
        <f>DC!BI14</f>
        <v>0</v>
      </c>
      <c r="BJ137">
        <f>DC!BJ14</f>
        <v>0</v>
      </c>
      <c r="BK137">
        <f>DC!BK14</f>
        <v>0</v>
      </c>
      <c r="BL137">
        <f>DC!BL14</f>
        <v>0</v>
      </c>
    </row>
    <row r="138" spans="1:64">
      <c r="A138">
        <f>DC!A15</f>
        <v>3</v>
      </c>
      <c r="B138" t="str">
        <f>DC!B15</f>
        <v>08:45-09:30</v>
      </c>
      <c r="C138">
        <f>DC!C15</f>
        <v>6</v>
      </c>
      <c r="D138" t="str">
        <f>DC!D15</f>
        <v>09:15-10:00</v>
      </c>
      <c r="E138">
        <f>DC!E15</f>
        <v>0</v>
      </c>
      <c r="F138">
        <f>DC!F15</f>
        <v>0</v>
      </c>
      <c r="G138">
        <f>DC!G15</f>
        <v>0</v>
      </c>
      <c r="H138">
        <f>DC!H15</f>
        <v>0</v>
      </c>
      <c r="I138">
        <f>DC!I15</f>
        <v>0</v>
      </c>
      <c r="J138">
        <f>DC!J15</f>
        <v>0</v>
      </c>
      <c r="K138">
        <f>DC!K15</f>
        <v>0</v>
      </c>
      <c r="L138">
        <f>DC!L15</f>
        <v>0</v>
      </c>
      <c r="M138">
        <f>DC!M15</f>
        <v>0</v>
      </c>
      <c r="N138">
        <f>DC!N15</f>
        <v>0</v>
      </c>
      <c r="O138">
        <f>DC!O15</f>
        <v>0</v>
      </c>
      <c r="P138">
        <f>DC!P15</f>
        <v>0</v>
      </c>
      <c r="Q138">
        <f>DC!Q15</f>
        <v>0</v>
      </c>
      <c r="R138">
        <f>DC!R15</f>
        <v>0</v>
      </c>
      <c r="S138">
        <f>DC!S15</f>
        <v>0</v>
      </c>
      <c r="T138">
        <f>DC!T15</f>
        <v>0</v>
      </c>
      <c r="U138">
        <f>DC!U15</f>
        <v>0</v>
      </c>
      <c r="V138">
        <f>DC!V15</f>
        <v>0</v>
      </c>
      <c r="W138">
        <f>DC!W15</f>
        <v>0</v>
      </c>
      <c r="X138">
        <f>DC!X15</f>
        <v>0</v>
      </c>
      <c r="Y138">
        <f>DC!Y15</f>
        <v>0</v>
      </c>
      <c r="Z138">
        <f>DC!Z15</f>
        <v>0</v>
      </c>
      <c r="AA138">
        <f>DC!AA15</f>
        <v>0</v>
      </c>
      <c r="AB138">
        <f>DC!AB15</f>
        <v>0</v>
      </c>
      <c r="AC138">
        <f>DC!AC15</f>
        <v>0</v>
      </c>
      <c r="AD138">
        <f>DC!AD15</f>
        <v>0</v>
      </c>
      <c r="AE138">
        <f>DC!AE15</f>
        <v>0</v>
      </c>
      <c r="AF138">
        <f>DC!AF15</f>
        <v>0</v>
      </c>
      <c r="AG138">
        <f>DC!AG15</f>
        <v>0</v>
      </c>
      <c r="AH138">
        <f>DC!AH15</f>
        <v>0</v>
      </c>
      <c r="AI138">
        <f>DC!AI15</f>
        <v>0</v>
      </c>
      <c r="AJ138">
        <f>DC!AJ15</f>
        <v>0</v>
      </c>
      <c r="AK138">
        <f>DC!AK15</f>
        <v>0</v>
      </c>
      <c r="AL138">
        <f>DC!AL15</f>
        <v>0</v>
      </c>
      <c r="AM138">
        <f>DC!AM15</f>
        <v>0</v>
      </c>
      <c r="AN138">
        <f>DC!AN15</f>
        <v>0</v>
      </c>
      <c r="AO138">
        <f>DC!AO15</f>
        <v>0</v>
      </c>
      <c r="AP138">
        <f>DC!AP15</f>
        <v>0</v>
      </c>
      <c r="AQ138">
        <f>DC!AQ15</f>
        <v>0</v>
      </c>
      <c r="AR138">
        <f>DC!AR15</f>
        <v>0</v>
      </c>
      <c r="AS138">
        <f>DC!AS15</f>
        <v>0</v>
      </c>
      <c r="AT138">
        <f>DC!AT15</f>
        <v>0</v>
      </c>
      <c r="AU138">
        <f>DC!AU15</f>
        <v>0</v>
      </c>
      <c r="AV138">
        <f>DC!AV15</f>
        <v>0</v>
      </c>
      <c r="AW138">
        <f>DC!AW15</f>
        <v>0</v>
      </c>
      <c r="AX138">
        <f>DC!AX15</f>
        <v>0</v>
      </c>
      <c r="AY138">
        <f>DC!AY15</f>
        <v>0</v>
      </c>
      <c r="AZ138">
        <f>DC!AZ15</f>
        <v>0</v>
      </c>
      <c r="BA138">
        <f>DC!BA15</f>
        <v>0</v>
      </c>
      <c r="BB138">
        <f>DC!BB15</f>
        <v>0</v>
      </c>
      <c r="BC138">
        <f>DC!BC15</f>
        <v>0</v>
      </c>
      <c r="BD138">
        <f>DC!BD15</f>
        <v>0</v>
      </c>
      <c r="BE138">
        <f>DC!BE15</f>
        <v>0</v>
      </c>
      <c r="BF138">
        <f>DC!BF15</f>
        <v>0</v>
      </c>
      <c r="BG138">
        <f>DC!BG15</f>
        <v>0</v>
      </c>
      <c r="BH138">
        <f>DC!BH15</f>
        <v>0</v>
      </c>
      <c r="BI138">
        <f>DC!BI15</f>
        <v>0</v>
      </c>
      <c r="BJ138">
        <f>DC!BJ15</f>
        <v>0</v>
      </c>
      <c r="BK138">
        <f>DC!BK15</f>
        <v>0</v>
      </c>
      <c r="BL138">
        <f>DC!BL15</f>
        <v>0</v>
      </c>
    </row>
    <row r="139" spans="1:64">
      <c r="A139">
        <f>DC!A16</f>
        <v>4</v>
      </c>
      <c r="B139" t="str">
        <f>DC!B16</f>
        <v>09:00-09:45</v>
      </c>
      <c r="C139">
        <f>DC!C16</f>
        <v>5</v>
      </c>
      <c r="D139" t="str">
        <f>DC!D16</f>
        <v>09:00-10:00</v>
      </c>
      <c r="E139">
        <f>DC!E16</f>
        <v>0</v>
      </c>
      <c r="F139">
        <f>DC!F16</f>
        <v>0</v>
      </c>
      <c r="G139">
        <f>DC!G16</f>
        <v>0</v>
      </c>
      <c r="H139">
        <f>DC!H16</f>
        <v>0</v>
      </c>
      <c r="I139">
        <f>DC!I16</f>
        <v>0</v>
      </c>
      <c r="J139">
        <f>DC!J16</f>
        <v>0</v>
      </c>
      <c r="K139">
        <f>DC!K16</f>
        <v>0</v>
      </c>
      <c r="L139">
        <f>DC!L16</f>
        <v>0</v>
      </c>
      <c r="M139">
        <f>DC!M16</f>
        <v>0</v>
      </c>
      <c r="N139">
        <f>DC!N16</f>
        <v>0</v>
      </c>
      <c r="O139">
        <f>DC!O16</f>
        <v>0</v>
      </c>
      <c r="P139">
        <f>DC!P16</f>
        <v>0</v>
      </c>
      <c r="Q139">
        <f>DC!Q16</f>
        <v>0</v>
      </c>
      <c r="R139">
        <f>DC!R16</f>
        <v>0</v>
      </c>
      <c r="S139">
        <f>DC!S16</f>
        <v>0</v>
      </c>
      <c r="T139">
        <f>DC!T16</f>
        <v>0</v>
      </c>
      <c r="U139">
        <f>DC!U16</f>
        <v>0</v>
      </c>
      <c r="V139">
        <f>DC!V16</f>
        <v>0</v>
      </c>
      <c r="W139">
        <f>DC!W16</f>
        <v>0</v>
      </c>
      <c r="X139">
        <f>DC!X16</f>
        <v>0</v>
      </c>
      <c r="Y139">
        <f>DC!Y16</f>
        <v>0</v>
      </c>
      <c r="Z139">
        <f>DC!Z16</f>
        <v>0</v>
      </c>
      <c r="AA139">
        <f>DC!AA16</f>
        <v>0</v>
      </c>
      <c r="AB139">
        <f>DC!AB16</f>
        <v>0</v>
      </c>
      <c r="AC139">
        <f>DC!AC16</f>
        <v>0</v>
      </c>
      <c r="AD139">
        <f>DC!AD16</f>
        <v>0</v>
      </c>
      <c r="AE139">
        <f>DC!AE16</f>
        <v>0</v>
      </c>
      <c r="AF139">
        <f>DC!AF16</f>
        <v>0</v>
      </c>
      <c r="AG139">
        <f>DC!AG16</f>
        <v>0</v>
      </c>
      <c r="AH139">
        <f>DC!AH16</f>
        <v>0</v>
      </c>
      <c r="AI139">
        <f>DC!AI16</f>
        <v>0</v>
      </c>
      <c r="AJ139">
        <f>DC!AJ16</f>
        <v>0</v>
      </c>
      <c r="AK139">
        <f>DC!AK16</f>
        <v>0</v>
      </c>
      <c r="AL139">
        <f>DC!AL16</f>
        <v>0</v>
      </c>
      <c r="AM139">
        <f>DC!AM16</f>
        <v>0</v>
      </c>
      <c r="AN139">
        <f>DC!AN16</f>
        <v>0</v>
      </c>
      <c r="AO139">
        <f>DC!AO16</f>
        <v>0</v>
      </c>
      <c r="AP139">
        <f>DC!AP16</f>
        <v>0</v>
      </c>
      <c r="AQ139">
        <f>DC!AQ16</f>
        <v>0</v>
      </c>
      <c r="AR139">
        <f>DC!AR16</f>
        <v>0</v>
      </c>
      <c r="AS139">
        <f>DC!AS16</f>
        <v>0</v>
      </c>
      <c r="AT139">
        <f>DC!AT16</f>
        <v>0</v>
      </c>
      <c r="AU139">
        <f>DC!AU16</f>
        <v>0</v>
      </c>
      <c r="AV139">
        <f>DC!AV16</f>
        <v>0</v>
      </c>
      <c r="AW139">
        <f>DC!AW16</f>
        <v>0</v>
      </c>
      <c r="AX139">
        <f>DC!AX16</f>
        <v>0</v>
      </c>
      <c r="AY139">
        <f>DC!AY16</f>
        <v>0</v>
      </c>
      <c r="AZ139">
        <f>DC!AZ16</f>
        <v>0</v>
      </c>
      <c r="BA139">
        <f>DC!BA16</f>
        <v>0</v>
      </c>
      <c r="BB139">
        <f>DC!BB16</f>
        <v>0</v>
      </c>
      <c r="BC139">
        <f>DC!BC16</f>
        <v>0</v>
      </c>
      <c r="BD139">
        <f>DC!BD16</f>
        <v>0</v>
      </c>
      <c r="BE139">
        <f>DC!BE16</f>
        <v>0</v>
      </c>
      <c r="BF139">
        <f>DC!BF16</f>
        <v>0</v>
      </c>
      <c r="BG139">
        <f>DC!BG16</f>
        <v>0</v>
      </c>
      <c r="BH139">
        <f>DC!BH16</f>
        <v>0</v>
      </c>
      <c r="BI139">
        <f>DC!BI16</f>
        <v>0</v>
      </c>
      <c r="BJ139">
        <f>DC!BJ16</f>
        <v>0</v>
      </c>
      <c r="BK139">
        <f>DC!BK16</f>
        <v>0</v>
      </c>
      <c r="BL139">
        <f>DC!BL16</f>
        <v>0</v>
      </c>
    </row>
    <row r="140" spans="1:64">
      <c r="A140">
        <f>DC!A17</f>
        <v>4</v>
      </c>
      <c r="B140" t="str">
        <f>DC!B17</f>
        <v>09:00-09:45</v>
      </c>
      <c r="C140">
        <f>DC!C17</f>
        <v>6</v>
      </c>
      <c r="D140" t="str">
        <f>DC!D17</f>
        <v>09:15-10:00</v>
      </c>
      <c r="E140">
        <f>DC!E17</f>
        <v>0</v>
      </c>
      <c r="F140">
        <f>DC!F17</f>
        <v>0</v>
      </c>
      <c r="G140">
        <f>DC!G17</f>
        <v>0</v>
      </c>
      <c r="H140">
        <f>DC!H17</f>
        <v>0</v>
      </c>
      <c r="I140">
        <f>DC!I17</f>
        <v>0</v>
      </c>
      <c r="J140">
        <f>DC!J17</f>
        <v>0</v>
      </c>
      <c r="K140">
        <f>DC!K17</f>
        <v>0</v>
      </c>
      <c r="L140">
        <f>DC!L17</f>
        <v>0</v>
      </c>
      <c r="M140">
        <f>DC!M17</f>
        <v>0</v>
      </c>
      <c r="N140">
        <f>DC!N17</f>
        <v>0</v>
      </c>
      <c r="O140">
        <f>DC!O17</f>
        <v>0</v>
      </c>
      <c r="P140">
        <f>DC!P17</f>
        <v>0</v>
      </c>
      <c r="Q140">
        <f>DC!Q17</f>
        <v>0</v>
      </c>
      <c r="R140">
        <f>DC!R17</f>
        <v>0</v>
      </c>
      <c r="S140">
        <f>DC!S17</f>
        <v>0</v>
      </c>
      <c r="T140">
        <f>DC!T17</f>
        <v>0</v>
      </c>
      <c r="U140">
        <f>DC!U17</f>
        <v>0</v>
      </c>
      <c r="V140">
        <f>DC!V17</f>
        <v>0</v>
      </c>
      <c r="W140">
        <f>DC!W17</f>
        <v>0</v>
      </c>
      <c r="X140">
        <f>DC!X17</f>
        <v>0</v>
      </c>
      <c r="Y140">
        <f>DC!Y17</f>
        <v>0</v>
      </c>
      <c r="Z140">
        <f>DC!Z17</f>
        <v>0</v>
      </c>
      <c r="AA140">
        <f>DC!AA17</f>
        <v>0</v>
      </c>
      <c r="AB140">
        <f>DC!AB17</f>
        <v>0</v>
      </c>
      <c r="AC140">
        <f>DC!AC17</f>
        <v>0</v>
      </c>
      <c r="AD140">
        <f>DC!AD17</f>
        <v>0</v>
      </c>
      <c r="AE140">
        <f>DC!AE17</f>
        <v>0</v>
      </c>
      <c r="AF140">
        <f>DC!AF17</f>
        <v>0</v>
      </c>
      <c r="AG140">
        <f>DC!AG17</f>
        <v>0</v>
      </c>
      <c r="AH140">
        <f>DC!AH17</f>
        <v>0</v>
      </c>
      <c r="AI140">
        <f>DC!AI17</f>
        <v>0</v>
      </c>
      <c r="AJ140">
        <f>DC!AJ17</f>
        <v>0</v>
      </c>
      <c r="AK140">
        <f>DC!AK17</f>
        <v>0</v>
      </c>
      <c r="AL140">
        <f>DC!AL17</f>
        <v>0</v>
      </c>
      <c r="AM140">
        <f>DC!AM17</f>
        <v>0</v>
      </c>
      <c r="AN140">
        <f>DC!AN17</f>
        <v>0</v>
      </c>
      <c r="AO140">
        <f>DC!AO17</f>
        <v>0</v>
      </c>
      <c r="AP140">
        <f>DC!AP17</f>
        <v>0</v>
      </c>
      <c r="AQ140">
        <f>DC!AQ17</f>
        <v>0</v>
      </c>
      <c r="AR140">
        <f>DC!AR17</f>
        <v>0</v>
      </c>
      <c r="AS140">
        <f>DC!AS17</f>
        <v>0</v>
      </c>
      <c r="AT140">
        <f>DC!AT17</f>
        <v>0</v>
      </c>
      <c r="AU140">
        <f>DC!AU17</f>
        <v>0</v>
      </c>
      <c r="AV140">
        <f>DC!AV17</f>
        <v>0</v>
      </c>
      <c r="AW140">
        <f>DC!AW17</f>
        <v>0</v>
      </c>
      <c r="AX140">
        <f>DC!AX17</f>
        <v>0</v>
      </c>
      <c r="AY140">
        <f>DC!AY17</f>
        <v>0</v>
      </c>
      <c r="AZ140">
        <f>DC!AZ17</f>
        <v>0</v>
      </c>
      <c r="BA140">
        <f>DC!BA17</f>
        <v>0</v>
      </c>
      <c r="BB140">
        <f>DC!BB17</f>
        <v>0</v>
      </c>
      <c r="BC140">
        <f>DC!BC17</f>
        <v>0</v>
      </c>
      <c r="BD140">
        <f>DC!BD17</f>
        <v>0</v>
      </c>
      <c r="BE140">
        <f>DC!BE17</f>
        <v>0</v>
      </c>
      <c r="BF140">
        <f>DC!BF17</f>
        <v>0</v>
      </c>
      <c r="BG140">
        <f>DC!BG17</f>
        <v>0</v>
      </c>
      <c r="BH140">
        <f>DC!BH17</f>
        <v>0</v>
      </c>
      <c r="BI140">
        <f>DC!BI17</f>
        <v>0</v>
      </c>
      <c r="BJ140">
        <f>DC!BJ17</f>
        <v>0</v>
      </c>
      <c r="BK140">
        <f>DC!BK17</f>
        <v>0</v>
      </c>
      <c r="BL140">
        <f>DC!BL17</f>
        <v>0</v>
      </c>
    </row>
    <row r="141" spans="1:64">
      <c r="A141">
        <f>DC!A18</f>
        <v>4</v>
      </c>
      <c r="B141" t="str">
        <f>DC!B18</f>
        <v>09:00-09:45</v>
      </c>
      <c r="C141">
        <f>DC!C18</f>
        <v>7</v>
      </c>
      <c r="D141" t="str">
        <f>DC!D18</f>
        <v>09:30-10:15</v>
      </c>
      <c r="E141">
        <f>DC!E18</f>
        <v>0</v>
      </c>
      <c r="F141">
        <f>DC!F18</f>
        <v>0</v>
      </c>
      <c r="G141">
        <f>DC!G18</f>
        <v>0</v>
      </c>
      <c r="H141">
        <f>DC!H18</f>
        <v>0</v>
      </c>
      <c r="I141">
        <f>DC!I18</f>
        <v>0</v>
      </c>
      <c r="J141">
        <f>DC!J18</f>
        <v>0</v>
      </c>
      <c r="K141">
        <f>DC!K18</f>
        <v>0</v>
      </c>
      <c r="L141">
        <f>DC!L18</f>
        <v>0</v>
      </c>
      <c r="M141">
        <f>DC!M18</f>
        <v>0</v>
      </c>
      <c r="N141">
        <f>DC!N18</f>
        <v>0</v>
      </c>
      <c r="O141">
        <f>DC!O18</f>
        <v>0</v>
      </c>
      <c r="P141">
        <f>DC!P18</f>
        <v>0</v>
      </c>
      <c r="Q141">
        <f>DC!Q18</f>
        <v>0</v>
      </c>
      <c r="R141">
        <f>DC!R18</f>
        <v>0</v>
      </c>
      <c r="S141">
        <f>DC!S18</f>
        <v>0</v>
      </c>
      <c r="T141">
        <f>DC!T18</f>
        <v>0</v>
      </c>
      <c r="U141">
        <f>DC!U18</f>
        <v>0</v>
      </c>
      <c r="V141">
        <f>DC!V18</f>
        <v>0</v>
      </c>
      <c r="W141">
        <f>DC!W18</f>
        <v>0</v>
      </c>
      <c r="X141">
        <f>DC!X18</f>
        <v>0</v>
      </c>
      <c r="Y141">
        <f>DC!Y18</f>
        <v>0</v>
      </c>
      <c r="Z141">
        <f>DC!Z18</f>
        <v>0</v>
      </c>
      <c r="AA141">
        <f>DC!AA18</f>
        <v>0</v>
      </c>
      <c r="AB141">
        <f>DC!AB18</f>
        <v>0</v>
      </c>
      <c r="AC141">
        <f>DC!AC18</f>
        <v>0</v>
      </c>
      <c r="AD141">
        <f>DC!AD18</f>
        <v>0</v>
      </c>
      <c r="AE141">
        <f>DC!AE18</f>
        <v>0</v>
      </c>
      <c r="AF141">
        <f>DC!AF18</f>
        <v>0</v>
      </c>
      <c r="AG141">
        <f>DC!AG18</f>
        <v>0</v>
      </c>
      <c r="AH141">
        <f>DC!AH18</f>
        <v>0</v>
      </c>
      <c r="AI141">
        <f>DC!AI18</f>
        <v>0</v>
      </c>
      <c r="AJ141">
        <f>DC!AJ18</f>
        <v>0</v>
      </c>
      <c r="AK141">
        <f>DC!AK18</f>
        <v>0</v>
      </c>
      <c r="AL141">
        <f>DC!AL18</f>
        <v>0</v>
      </c>
      <c r="AM141">
        <f>DC!AM18</f>
        <v>0</v>
      </c>
      <c r="AN141">
        <f>DC!AN18</f>
        <v>0</v>
      </c>
      <c r="AO141">
        <f>DC!AO18</f>
        <v>0</v>
      </c>
      <c r="AP141">
        <f>DC!AP18</f>
        <v>0</v>
      </c>
      <c r="AQ141">
        <f>DC!AQ18</f>
        <v>0</v>
      </c>
      <c r="AR141">
        <f>DC!AR18</f>
        <v>0</v>
      </c>
      <c r="AS141">
        <f>DC!AS18</f>
        <v>0</v>
      </c>
      <c r="AT141">
        <f>DC!AT18</f>
        <v>0</v>
      </c>
      <c r="AU141">
        <f>DC!AU18</f>
        <v>0</v>
      </c>
      <c r="AV141">
        <f>DC!AV18</f>
        <v>0</v>
      </c>
      <c r="AW141">
        <f>DC!AW18</f>
        <v>0</v>
      </c>
      <c r="AX141">
        <f>DC!AX18</f>
        <v>0</v>
      </c>
      <c r="AY141">
        <f>DC!AY18</f>
        <v>0</v>
      </c>
      <c r="AZ141">
        <f>DC!AZ18</f>
        <v>0</v>
      </c>
      <c r="BA141">
        <f>DC!BA18</f>
        <v>0</v>
      </c>
      <c r="BB141">
        <f>DC!BB18</f>
        <v>0</v>
      </c>
      <c r="BC141">
        <f>DC!BC18</f>
        <v>0</v>
      </c>
      <c r="BD141">
        <f>DC!BD18</f>
        <v>0</v>
      </c>
      <c r="BE141">
        <f>DC!BE18</f>
        <v>0</v>
      </c>
      <c r="BF141">
        <f>DC!BF18</f>
        <v>0</v>
      </c>
      <c r="BG141">
        <f>DC!BG18</f>
        <v>0</v>
      </c>
      <c r="BH141">
        <f>DC!BH18</f>
        <v>0</v>
      </c>
      <c r="BI141">
        <f>DC!BI18</f>
        <v>0</v>
      </c>
      <c r="BJ141">
        <f>DC!BJ18</f>
        <v>0</v>
      </c>
      <c r="BK141">
        <f>DC!BK18</f>
        <v>0</v>
      </c>
      <c r="BL141">
        <f>DC!BL18</f>
        <v>0</v>
      </c>
    </row>
    <row r="142" spans="1:64">
      <c r="A142">
        <f>DC!A19</f>
        <v>5</v>
      </c>
      <c r="B142" t="str">
        <f>DC!B19</f>
        <v>09:00-10:00</v>
      </c>
      <c r="C142">
        <f>DC!C19</f>
        <v>6</v>
      </c>
      <c r="D142" t="str">
        <f>DC!D19</f>
        <v>09:15-10:00</v>
      </c>
      <c r="E142">
        <f>DC!E19</f>
        <v>0</v>
      </c>
      <c r="F142">
        <f>DC!F19</f>
        <v>0</v>
      </c>
      <c r="G142">
        <f>DC!G19</f>
        <v>0</v>
      </c>
      <c r="H142">
        <f>DC!H19</f>
        <v>0</v>
      </c>
      <c r="I142">
        <f>DC!I19</f>
        <v>0</v>
      </c>
      <c r="J142">
        <f>DC!J19</f>
        <v>0</v>
      </c>
      <c r="K142">
        <f>DC!K19</f>
        <v>0</v>
      </c>
      <c r="L142">
        <f>DC!L19</f>
        <v>0</v>
      </c>
      <c r="M142">
        <f>DC!M19</f>
        <v>0</v>
      </c>
      <c r="N142">
        <f>DC!N19</f>
        <v>0</v>
      </c>
      <c r="O142">
        <f>DC!O19</f>
        <v>0</v>
      </c>
      <c r="P142">
        <f>DC!P19</f>
        <v>0</v>
      </c>
      <c r="Q142">
        <f>DC!Q19</f>
        <v>0</v>
      </c>
      <c r="R142">
        <f>DC!R19</f>
        <v>0</v>
      </c>
      <c r="S142">
        <f>DC!S19</f>
        <v>0</v>
      </c>
      <c r="T142">
        <f>DC!T19</f>
        <v>0</v>
      </c>
      <c r="U142">
        <f>DC!U19</f>
        <v>0</v>
      </c>
      <c r="V142">
        <f>DC!V19</f>
        <v>0</v>
      </c>
      <c r="W142">
        <f>DC!W19</f>
        <v>0</v>
      </c>
      <c r="X142">
        <f>DC!X19</f>
        <v>0</v>
      </c>
      <c r="Y142">
        <f>DC!Y19</f>
        <v>0</v>
      </c>
      <c r="Z142">
        <f>DC!Z19</f>
        <v>0</v>
      </c>
      <c r="AA142">
        <f>DC!AA19</f>
        <v>0</v>
      </c>
      <c r="AB142">
        <f>DC!AB19</f>
        <v>0</v>
      </c>
      <c r="AC142">
        <f>DC!AC19</f>
        <v>0</v>
      </c>
      <c r="AD142">
        <f>DC!AD19</f>
        <v>0</v>
      </c>
      <c r="AE142">
        <f>DC!AE19</f>
        <v>0</v>
      </c>
      <c r="AF142">
        <f>DC!AF19</f>
        <v>0</v>
      </c>
      <c r="AG142">
        <f>DC!AG19</f>
        <v>0</v>
      </c>
      <c r="AH142">
        <f>DC!AH19</f>
        <v>0</v>
      </c>
      <c r="AI142">
        <f>DC!AI19</f>
        <v>0</v>
      </c>
      <c r="AJ142">
        <f>DC!AJ19</f>
        <v>0</v>
      </c>
      <c r="AK142">
        <f>DC!AK19</f>
        <v>0</v>
      </c>
      <c r="AL142">
        <f>DC!AL19</f>
        <v>0</v>
      </c>
      <c r="AM142">
        <f>DC!AM19</f>
        <v>0</v>
      </c>
      <c r="AN142">
        <f>DC!AN19</f>
        <v>0</v>
      </c>
      <c r="AO142">
        <f>DC!AO19</f>
        <v>0</v>
      </c>
      <c r="AP142">
        <f>DC!AP19</f>
        <v>0</v>
      </c>
      <c r="AQ142">
        <f>DC!AQ19</f>
        <v>0</v>
      </c>
      <c r="AR142">
        <f>DC!AR19</f>
        <v>0</v>
      </c>
      <c r="AS142">
        <f>DC!AS19</f>
        <v>0</v>
      </c>
      <c r="AT142">
        <f>DC!AT19</f>
        <v>0</v>
      </c>
      <c r="AU142">
        <f>DC!AU19</f>
        <v>0</v>
      </c>
      <c r="AV142">
        <f>DC!AV19</f>
        <v>0</v>
      </c>
      <c r="AW142">
        <f>DC!AW19</f>
        <v>0</v>
      </c>
      <c r="AX142">
        <f>DC!AX19</f>
        <v>0</v>
      </c>
      <c r="AY142">
        <f>DC!AY19</f>
        <v>0</v>
      </c>
      <c r="AZ142">
        <f>DC!AZ19</f>
        <v>0</v>
      </c>
      <c r="BA142">
        <f>DC!BA19</f>
        <v>0</v>
      </c>
      <c r="BB142">
        <f>DC!BB19</f>
        <v>0</v>
      </c>
      <c r="BC142">
        <f>DC!BC19</f>
        <v>0</v>
      </c>
      <c r="BD142">
        <f>DC!BD19</f>
        <v>0</v>
      </c>
      <c r="BE142">
        <f>DC!BE19</f>
        <v>0</v>
      </c>
      <c r="BF142">
        <f>DC!BF19</f>
        <v>0</v>
      </c>
      <c r="BG142">
        <f>DC!BG19</f>
        <v>0</v>
      </c>
      <c r="BH142">
        <f>DC!BH19</f>
        <v>0</v>
      </c>
      <c r="BI142">
        <f>DC!BI19</f>
        <v>0</v>
      </c>
      <c r="BJ142">
        <f>DC!BJ19</f>
        <v>0</v>
      </c>
      <c r="BK142">
        <f>DC!BK19</f>
        <v>0</v>
      </c>
      <c r="BL142">
        <f>DC!BL19</f>
        <v>0</v>
      </c>
    </row>
    <row r="143" spans="1:64">
      <c r="A143">
        <f>DC!A20</f>
        <v>5</v>
      </c>
      <c r="B143" t="str">
        <f>DC!B20</f>
        <v>09:00-10:00</v>
      </c>
      <c r="C143">
        <f>DC!C20</f>
        <v>7</v>
      </c>
      <c r="D143" t="str">
        <f>DC!D20</f>
        <v>09:30-10:15</v>
      </c>
      <c r="E143">
        <f>DC!E20</f>
        <v>0</v>
      </c>
      <c r="F143">
        <f>DC!F20</f>
        <v>0</v>
      </c>
      <c r="G143">
        <f>DC!G20</f>
        <v>0</v>
      </c>
      <c r="H143">
        <f>DC!H20</f>
        <v>0</v>
      </c>
      <c r="I143">
        <f>DC!I20</f>
        <v>0</v>
      </c>
      <c r="J143">
        <f>DC!J20</f>
        <v>0</v>
      </c>
      <c r="K143">
        <f>DC!K20</f>
        <v>0</v>
      </c>
      <c r="L143">
        <f>DC!L20</f>
        <v>0</v>
      </c>
      <c r="M143">
        <f>DC!M20</f>
        <v>0</v>
      </c>
      <c r="N143">
        <f>DC!N20</f>
        <v>0</v>
      </c>
      <c r="O143">
        <f>DC!O20</f>
        <v>0</v>
      </c>
      <c r="P143">
        <f>DC!P20</f>
        <v>0</v>
      </c>
      <c r="Q143">
        <f>DC!Q20</f>
        <v>0</v>
      </c>
      <c r="R143">
        <f>DC!R20</f>
        <v>0</v>
      </c>
      <c r="S143">
        <f>DC!S20</f>
        <v>0</v>
      </c>
      <c r="T143">
        <f>DC!T20</f>
        <v>0</v>
      </c>
      <c r="U143">
        <f>DC!U20</f>
        <v>0</v>
      </c>
      <c r="V143">
        <f>DC!V20</f>
        <v>0</v>
      </c>
      <c r="W143">
        <f>DC!W20</f>
        <v>0</v>
      </c>
      <c r="X143">
        <f>DC!X20</f>
        <v>0</v>
      </c>
      <c r="Y143">
        <f>DC!Y20</f>
        <v>0</v>
      </c>
      <c r="Z143">
        <f>DC!Z20</f>
        <v>0</v>
      </c>
      <c r="AA143">
        <f>DC!AA20</f>
        <v>0</v>
      </c>
      <c r="AB143">
        <f>DC!AB20</f>
        <v>0</v>
      </c>
      <c r="AC143">
        <f>DC!AC20</f>
        <v>0</v>
      </c>
      <c r="AD143">
        <f>DC!AD20</f>
        <v>0</v>
      </c>
      <c r="AE143">
        <f>DC!AE20</f>
        <v>0</v>
      </c>
      <c r="AF143">
        <f>DC!AF20</f>
        <v>0</v>
      </c>
      <c r="AG143">
        <f>DC!AG20</f>
        <v>0</v>
      </c>
      <c r="AH143">
        <f>DC!AH20</f>
        <v>0</v>
      </c>
      <c r="AI143">
        <f>DC!AI20</f>
        <v>0</v>
      </c>
      <c r="AJ143">
        <f>DC!AJ20</f>
        <v>0</v>
      </c>
      <c r="AK143">
        <f>DC!AK20</f>
        <v>0</v>
      </c>
      <c r="AL143">
        <f>DC!AL20</f>
        <v>0</v>
      </c>
      <c r="AM143">
        <f>DC!AM20</f>
        <v>0</v>
      </c>
      <c r="AN143">
        <f>DC!AN20</f>
        <v>0</v>
      </c>
      <c r="AO143">
        <f>DC!AO20</f>
        <v>0</v>
      </c>
      <c r="AP143">
        <f>DC!AP20</f>
        <v>0</v>
      </c>
      <c r="AQ143">
        <f>DC!AQ20</f>
        <v>0</v>
      </c>
      <c r="AR143">
        <f>DC!AR20</f>
        <v>0</v>
      </c>
      <c r="AS143">
        <f>DC!AS20</f>
        <v>0</v>
      </c>
      <c r="AT143">
        <f>DC!AT20</f>
        <v>0</v>
      </c>
      <c r="AU143">
        <f>DC!AU20</f>
        <v>0</v>
      </c>
      <c r="AV143">
        <f>DC!AV20</f>
        <v>0</v>
      </c>
      <c r="AW143">
        <f>DC!AW20</f>
        <v>0</v>
      </c>
      <c r="AX143">
        <f>DC!AX20</f>
        <v>0</v>
      </c>
      <c r="AY143">
        <f>DC!AY20</f>
        <v>0</v>
      </c>
      <c r="AZ143">
        <f>DC!AZ20</f>
        <v>0</v>
      </c>
      <c r="BA143">
        <f>DC!BA20</f>
        <v>0</v>
      </c>
      <c r="BB143">
        <f>DC!BB20</f>
        <v>0</v>
      </c>
      <c r="BC143">
        <f>DC!BC20</f>
        <v>0</v>
      </c>
      <c r="BD143">
        <f>DC!BD20</f>
        <v>0</v>
      </c>
      <c r="BE143">
        <f>DC!BE20</f>
        <v>0</v>
      </c>
      <c r="BF143">
        <f>DC!BF20</f>
        <v>0</v>
      </c>
      <c r="BG143">
        <f>DC!BG20</f>
        <v>0</v>
      </c>
      <c r="BH143">
        <f>DC!BH20</f>
        <v>0</v>
      </c>
      <c r="BI143">
        <f>DC!BI20</f>
        <v>0</v>
      </c>
      <c r="BJ143">
        <f>DC!BJ20</f>
        <v>0</v>
      </c>
      <c r="BK143">
        <f>DC!BK20</f>
        <v>0</v>
      </c>
      <c r="BL143">
        <f>DC!BL20</f>
        <v>0</v>
      </c>
    </row>
    <row r="144" spans="1:64">
      <c r="A144">
        <f>DC!A21</f>
        <v>5</v>
      </c>
      <c r="B144" t="str">
        <f>DC!B21</f>
        <v>09:00-10:00</v>
      </c>
      <c r="C144">
        <f>DC!C21</f>
        <v>8</v>
      </c>
      <c r="D144" t="str">
        <f>DC!D21</f>
        <v>09:45-10:30</v>
      </c>
      <c r="E144">
        <f>DC!E21</f>
        <v>0</v>
      </c>
      <c r="F144">
        <f>DC!F21</f>
        <v>0</v>
      </c>
      <c r="G144">
        <f>DC!G21</f>
        <v>0</v>
      </c>
      <c r="H144">
        <f>DC!H21</f>
        <v>0</v>
      </c>
      <c r="I144">
        <f>DC!I21</f>
        <v>0</v>
      </c>
      <c r="J144">
        <f>DC!J21</f>
        <v>0</v>
      </c>
      <c r="K144">
        <f>DC!K21</f>
        <v>0</v>
      </c>
      <c r="L144">
        <f>DC!L21</f>
        <v>0</v>
      </c>
      <c r="M144">
        <f>DC!M21</f>
        <v>0</v>
      </c>
      <c r="N144">
        <f>DC!N21</f>
        <v>0</v>
      </c>
      <c r="O144">
        <f>DC!O21</f>
        <v>0</v>
      </c>
      <c r="P144">
        <f>DC!P21</f>
        <v>0</v>
      </c>
      <c r="Q144">
        <f>DC!Q21</f>
        <v>0</v>
      </c>
      <c r="R144">
        <f>DC!R21</f>
        <v>0</v>
      </c>
      <c r="S144">
        <f>DC!S21</f>
        <v>0</v>
      </c>
      <c r="T144">
        <f>DC!T21</f>
        <v>0</v>
      </c>
      <c r="U144">
        <f>DC!U21</f>
        <v>0</v>
      </c>
      <c r="V144">
        <f>DC!V21</f>
        <v>0</v>
      </c>
      <c r="W144">
        <f>DC!W21</f>
        <v>0</v>
      </c>
      <c r="X144">
        <f>DC!X21</f>
        <v>0</v>
      </c>
      <c r="Y144">
        <f>DC!Y21</f>
        <v>0</v>
      </c>
      <c r="Z144">
        <f>DC!Z21</f>
        <v>0</v>
      </c>
      <c r="AA144">
        <f>DC!AA21</f>
        <v>0</v>
      </c>
      <c r="AB144">
        <f>DC!AB21</f>
        <v>0</v>
      </c>
      <c r="AC144">
        <f>DC!AC21</f>
        <v>0</v>
      </c>
      <c r="AD144">
        <f>DC!AD21</f>
        <v>0</v>
      </c>
      <c r="AE144">
        <f>DC!AE21</f>
        <v>0</v>
      </c>
      <c r="AF144">
        <f>DC!AF21</f>
        <v>0</v>
      </c>
      <c r="AG144">
        <f>DC!AG21</f>
        <v>0</v>
      </c>
      <c r="AH144">
        <f>DC!AH21</f>
        <v>0</v>
      </c>
      <c r="AI144">
        <f>DC!AI21</f>
        <v>0</v>
      </c>
      <c r="AJ144">
        <f>DC!AJ21</f>
        <v>0</v>
      </c>
      <c r="AK144">
        <f>DC!AK21</f>
        <v>0</v>
      </c>
      <c r="AL144">
        <f>DC!AL21</f>
        <v>0</v>
      </c>
      <c r="AM144">
        <f>DC!AM21</f>
        <v>0</v>
      </c>
      <c r="AN144">
        <f>DC!AN21</f>
        <v>0</v>
      </c>
      <c r="AO144">
        <f>DC!AO21</f>
        <v>0</v>
      </c>
      <c r="AP144">
        <f>DC!AP21</f>
        <v>0</v>
      </c>
      <c r="AQ144">
        <f>DC!AQ21</f>
        <v>0</v>
      </c>
      <c r="AR144">
        <f>DC!AR21</f>
        <v>0</v>
      </c>
      <c r="AS144">
        <f>DC!AS21</f>
        <v>0</v>
      </c>
      <c r="AT144">
        <f>DC!AT21</f>
        <v>0</v>
      </c>
      <c r="AU144">
        <f>DC!AU21</f>
        <v>0</v>
      </c>
      <c r="AV144">
        <f>DC!AV21</f>
        <v>0</v>
      </c>
      <c r="AW144">
        <f>DC!AW21</f>
        <v>0</v>
      </c>
      <c r="AX144">
        <f>DC!AX21</f>
        <v>0</v>
      </c>
      <c r="AY144">
        <f>DC!AY21</f>
        <v>0</v>
      </c>
      <c r="AZ144">
        <f>DC!AZ21</f>
        <v>0</v>
      </c>
      <c r="BA144">
        <f>DC!BA21</f>
        <v>0</v>
      </c>
      <c r="BB144">
        <f>DC!BB21</f>
        <v>0</v>
      </c>
      <c r="BC144">
        <f>DC!BC21</f>
        <v>0</v>
      </c>
      <c r="BD144">
        <f>DC!BD21</f>
        <v>0</v>
      </c>
      <c r="BE144">
        <f>DC!BE21</f>
        <v>0</v>
      </c>
      <c r="BF144">
        <f>DC!BF21</f>
        <v>0</v>
      </c>
      <c r="BG144">
        <f>DC!BG21</f>
        <v>0</v>
      </c>
      <c r="BH144">
        <f>DC!BH21</f>
        <v>0</v>
      </c>
      <c r="BI144">
        <f>DC!BI21</f>
        <v>0</v>
      </c>
      <c r="BJ144">
        <f>DC!BJ21</f>
        <v>0</v>
      </c>
      <c r="BK144">
        <f>DC!BK21</f>
        <v>0</v>
      </c>
      <c r="BL144">
        <f>DC!BL21</f>
        <v>0</v>
      </c>
    </row>
    <row r="145" spans="1:64">
      <c r="A145">
        <f>DC!A22</f>
        <v>6</v>
      </c>
      <c r="B145" t="str">
        <f>DC!B22</f>
        <v>09:15-10:00</v>
      </c>
      <c r="C145">
        <f>DC!C22</f>
        <v>7</v>
      </c>
      <c r="D145" t="str">
        <f>DC!D22</f>
        <v>09:30-10:15</v>
      </c>
      <c r="E145">
        <f>DC!E22</f>
        <v>0</v>
      </c>
      <c r="F145">
        <f>DC!F22</f>
        <v>0</v>
      </c>
      <c r="G145">
        <f>DC!G22</f>
        <v>0</v>
      </c>
      <c r="H145">
        <f>DC!H22</f>
        <v>0</v>
      </c>
      <c r="I145">
        <f>DC!I22</f>
        <v>0</v>
      </c>
      <c r="J145">
        <f>DC!J22</f>
        <v>0</v>
      </c>
      <c r="K145">
        <f>DC!K22</f>
        <v>0</v>
      </c>
      <c r="L145">
        <f>DC!L22</f>
        <v>0</v>
      </c>
      <c r="M145">
        <f>DC!M22</f>
        <v>0</v>
      </c>
      <c r="N145">
        <f>DC!N22</f>
        <v>0</v>
      </c>
      <c r="O145">
        <f>DC!O22</f>
        <v>0</v>
      </c>
      <c r="P145">
        <f>DC!P22</f>
        <v>0</v>
      </c>
      <c r="Q145">
        <f>DC!Q22</f>
        <v>0</v>
      </c>
      <c r="R145">
        <f>DC!R22</f>
        <v>0</v>
      </c>
      <c r="S145">
        <f>DC!S22</f>
        <v>0</v>
      </c>
      <c r="T145">
        <f>DC!T22</f>
        <v>0</v>
      </c>
      <c r="U145">
        <f>DC!U22</f>
        <v>0</v>
      </c>
      <c r="V145">
        <f>DC!V22</f>
        <v>0</v>
      </c>
      <c r="W145">
        <f>DC!W22</f>
        <v>0</v>
      </c>
      <c r="X145">
        <f>DC!X22</f>
        <v>0</v>
      </c>
      <c r="Y145">
        <f>DC!Y22</f>
        <v>0</v>
      </c>
      <c r="Z145">
        <f>DC!Z22</f>
        <v>0</v>
      </c>
      <c r="AA145">
        <f>DC!AA22</f>
        <v>0</v>
      </c>
      <c r="AB145">
        <f>DC!AB22</f>
        <v>0</v>
      </c>
      <c r="AC145">
        <f>DC!AC22</f>
        <v>0</v>
      </c>
      <c r="AD145">
        <f>DC!AD22</f>
        <v>0</v>
      </c>
      <c r="AE145">
        <f>DC!AE22</f>
        <v>0</v>
      </c>
      <c r="AF145">
        <f>DC!AF22</f>
        <v>0</v>
      </c>
      <c r="AG145">
        <f>DC!AG22</f>
        <v>0</v>
      </c>
      <c r="AH145">
        <f>DC!AH22</f>
        <v>0</v>
      </c>
      <c r="AI145">
        <f>DC!AI22</f>
        <v>0</v>
      </c>
      <c r="AJ145">
        <f>DC!AJ22</f>
        <v>0</v>
      </c>
      <c r="AK145">
        <f>DC!AK22</f>
        <v>0</v>
      </c>
      <c r="AL145">
        <f>DC!AL22</f>
        <v>0</v>
      </c>
      <c r="AM145">
        <f>DC!AM22</f>
        <v>0</v>
      </c>
      <c r="AN145">
        <f>DC!AN22</f>
        <v>0</v>
      </c>
      <c r="AO145">
        <f>DC!AO22</f>
        <v>0</v>
      </c>
      <c r="AP145">
        <f>DC!AP22</f>
        <v>0</v>
      </c>
      <c r="AQ145">
        <f>DC!AQ22</f>
        <v>0</v>
      </c>
      <c r="AR145">
        <f>DC!AR22</f>
        <v>0</v>
      </c>
      <c r="AS145">
        <f>DC!AS22</f>
        <v>0</v>
      </c>
      <c r="AT145">
        <f>DC!AT22</f>
        <v>0</v>
      </c>
      <c r="AU145">
        <f>DC!AU22</f>
        <v>0</v>
      </c>
      <c r="AV145">
        <f>DC!AV22</f>
        <v>0</v>
      </c>
      <c r="AW145">
        <f>DC!AW22</f>
        <v>0</v>
      </c>
      <c r="AX145">
        <f>DC!AX22</f>
        <v>0</v>
      </c>
      <c r="AY145">
        <f>DC!AY22</f>
        <v>0</v>
      </c>
      <c r="AZ145">
        <f>DC!AZ22</f>
        <v>0</v>
      </c>
      <c r="BA145">
        <f>DC!BA22</f>
        <v>0</v>
      </c>
      <c r="BB145">
        <f>DC!BB22</f>
        <v>0</v>
      </c>
      <c r="BC145">
        <f>DC!BC22</f>
        <v>0</v>
      </c>
      <c r="BD145">
        <f>DC!BD22</f>
        <v>0</v>
      </c>
      <c r="BE145">
        <f>DC!BE22</f>
        <v>0</v>
      </c>
      <c r="BF145">
        <f>DC!BF22</f>
        <v>0</v>
      </c>
      <c r="BG145">
        <f>DC!BG22</f>
        <v>0</v>
      </c>
      <c r="BH145">
        <f>DC!BH22</f>
        <v>0</v>
      </c>
      <c r="BI145">
        <f>DC!BI22</f>
        <v>0</v>
      </c>
      <c r="BJ145">
        <f>DC!BJ22</f>
        <v>0</v>
      </c>
      <c r="BK145">
        <f>DC!BK22</f>
        <v>0</v>
      </c>
      <c r="BL145">
        <f>DC!BL22</f>
        <v>0</v>
      </c>
    </row>
    <row r="146" spans="1:64">
      <c r="A146">
        <f>DC!A23</f>
        <v>6</v>
      </c>
      <c r="B146" t="str">
        <f>DC!B23</f>
        <v>09:15-10:00</v>
      </c>
      <c r="C146">
        <f>DC!C23</f>
        <v>8</v>
      </c>
      <c r="D146" t="str">
        <f>DC!D23</f>
        <v>09:45-10:30</v>
      </c>
      <c r="E146">
        <f>DC!E23</f>
        <v>0</v>
      </c>
      <c r="F146">
        <f>DC!F23</f>
        <v>0</v>
      </c>
      <c r="G146">
        <f>DC!G23</f>
        <v>0</v>
      </c>
      <c r="H146">
        <f>DC!H23</f>
        <v>0</v>
      </c>
      <c r="I146">
        <f>DC!I23</f>
        <v>0</v>
      </c>
      <c r="J146">
        <f>DC!J23</f>
        <v>0</v>
      </c>
      <c r="K146">
        <f>DC!K23</f>
        <v>0</v>
      </c>
      <c r="L146">
        <f>DC!L23</f>
        <v>0</v>
      </c>
      <c r="M146">
        <f>DC!M23</f>
        <v>0</v>
      </c>
      <c r="N146">
        <f>DC!N23</f>
        <v>0</v>
      </c>
      <c r="O146">
        <f>DC!O23</f>
        <v>0</v>
      </c>
      <c r="P146">
        <f>DC!P23</f>
        <v>0</v>
      </c>
      <c r="Q146">
        <f>DC!Q23</f>
        <v>0</v>
      </c>
      <c r="R146">
        <f>DC!R23</f>
        <v>0</v>
      </c>
      <c r="S146">
        <f>DC!S23</f>
        <v>0</v>
      </c>
      <c r="T146">
        <f>DC!T23</f>
        <v>0</v>
      </c>
      <c r="U146">
        <f>DC!U23</f>
        <v>0</v>
      </c>
      <c r="V146">
        <f>DC!V23</f>
        <v>0</v>
      </c>
      <c r="W146">
        <f>DC!W23</f>
        <v>0</v>
      </c>
      <c r="X146">
        <f>DC!X23</f>
        <v>0</v>
      </c>
      <c r="Y146">
        <f>DC!Y23</f>
        <v>0</v>
      </c>
      <c r="Z146">
        <f>DC!Z23</f>
        <v>0</v>
      </c>
      <c r="AA146">
        <f>DC!AA23</f>
        <v>0</v>
      </c>
      <c r="AB146">
        <f>DC!AB23</f>
        <v>0</v>
      </c>
      <c r="AC146">
        <f>DC!AC23</f>
        <v>0</v>
      </c>
      <c r="AD146">
        <f>DC!AD23</f>
        <v>0</v>
      </c>
      <c r="AE146">
        <f>DC!AE23</f>
        <v>0</v>
      </c>
      <c r="AF146">
        <f>DC!AF23</f>
        <v>0</v>
      </c>
      <c r="AG146">
        <f>DC!AG23</f>
        <v>0</v>
      </c>
      <c r="AH146">
        <f>DC!AH23</f>
        <v>0</v>
      </c>
      <c r="AI146">
        <f>DC!AI23</f>
        <v>0</v>
      </c>
      <c r="AJ146">
        <f>DC!AJ23</f>
        <v>0</v>
      </c>
      <c r="AK146">
        <f>DC!AK23</f>
        <v>0</v>
      </c>
      <c r="AL146">
        <f>DC!AL23</f>
        <v>0</v>
      </c>
      <c r="AM146">
        <f>DC!AM23</f>
        <v>0</v>
      </c>
      <c r="AN146">
        <f>DC!AN23</f>
        <v>0</v>
      </c>
      <c r="AO146">
        <f>DC!AO23</f>
        <v>0</v>
      </c>
      <c r="AP146">
        <f>DC!AP23</f>
        <v>0</v>
      </c>
      <c r="AQ146">
        <f>DC!AQ23</f>
        <v>0</v>
      </c>
      <c r="AR146">
        <f>DC!AR23</f>
        <v>0</v>
      </c>
      <c r="AS146">
        <f>DC!AS23</f>
        <v>0</v>
      </c>
      <c r="AT146">
        <f>DC!AT23</f>
        <v>0</v>
      </c>
      <c r="AU146">
        <f>DC!AU23</f>
        <v>0</v>
      </c>
      <c r="AV146">
        <f>DC!AV23</f>
        <v>0</v>
      </c>
      <c r="AW146">
        <f>DC!AW23</f>
        <v>0</v>
      </c>
      <c r="AX146">
        <f>DC!AX23</f>
        <v>0</v>
      </c>
      <c r="AY146">
        <f>DC!AY23</f>
        <v>0</v>
      </c>
      <c r="AZ146">
        <f>DC!AZ23</f>
        <v>0</v>
      </c>
      <c r="BA146">
        <f>DC!BA23</f>
        <v>0</v>
      </c>
      <c r="BB146">
        <f>DC!BB23</f>
        <v>0</v>
      </c>
      <c r="BC146">
        <f>DC!BC23</f>
        <v>0</v>
      </c>
      <c r="BD146">
        <f>DC!BD23</f>
        <v>0</v>
      </c>
      <c r="BE146">
        <f>DC!BE23</f>
        <v>0</v>
      </c>
      <c r="BF146">
        <f>DC!BF23</f>
        <v>0</v>
      </c>
      <c r="BG146">
        <f>DC!BG23</f>
        <v>0</v>
      </c>
      <c r="BH146">
        <f>DC!BH23</f>
        <v>0</v>
      </c>
      <c r="BI146">
        <f>DC!BI23</f>
        <v>0</v>
      </c>
      <c r="BJ146">
        <f>DC!BJ23</f>
        <v>0</v>
      </c>
      <c r="BK146">
        <f>DC!BK23</f>
        <v>0</v>
      </c>
      <c r="BL146">
        <f>DC!BL23</f>
        <v>0</v>
      </c>
    </row>
    <row r="147" spans="1:64">
      <c r="A147">
        <f>DC!A24</f>
        <v>7</v>
      </c>
      <c r="B147" t="str">
        <f>DC!B24</f>
        <v>09:30-10:15</v>
      </c>
      <c r="C147">
        <f>DC!C24</f>
        <v>8</v>
      </c>
      <c r="D147" t="str">
        <f>DC!D24</f>
        <v>09:45-10:30</v>
      </c>
      <c r="E147">
        <f>DC!E24</f>
        <v>0</v>
      </c>
      <c r="F147">
        <f>DC!F24</f>
        <v>0</v>
      </c>
      <c r="G147">
        <f>DC!G24</f>
        <v>0</v>
      </c>
      <c r="H147">
        <f>DC!H24</f>
        <v>0</v>
      </c>
      <c r="I147">
        <f>DC!I24</f>
        <v>0</v>
      </c>
      <c r="J147">
        <f>DC!J24</f>
        <v>0</v>
      </c>
      <c r="K147">
        <f>DC!K24</f>
        <v>0</v>
      </c>
      <c r="L147">
        <f>DC!L24</f>
        <v>0</v>
      </c>
      <c r="M147">
        <f>DC!M24</f>
        <v>0</v>
      </c>
      <c r="N147">
        <f>DC!N24</f>
        <v>0</v>
      </c>
      <c r="O147">
        <f>DC!O24</f>
        <v>0</v>
      </c>
      <c r="P147">
        <f>DC!P24</f>
        <v>0</v>
      </c>
      <c r="Q147">
        <f>DC!Q24</f>
        <v>0</v>
      </c>
      <c r="R147">
        <f>DC!R24</f>
        <v>0</v>
      </c>
      <c r="S147">
        <f>DC!S24</f>
        <v>0</v>
      </c>
      <c r="T147">
        <f>DC!T24</f>
        <v>0</v>
      </c>
      <c r="U147">
        <f>DC!U24</f>
        <v>0</v>
      </c>
      <c r="V147">
        <f>DC!V24</f>
        <v>0</v>
      </c>
      <c r="W147">
        <f>DC!W24</f>
        <v>0</v>
      </c>
      <c r="X147">
        <f>DC!X24</f>
        <v>0</v>
      </c>
      <c r="Y147">
        <f>DC!Y24</f>
        <v>0</v>
      </c>
      <c r="Z147">
        <f>DC!Z24</f>
        <v>0</v>
      </c>
      <c r="AA147">
        <f>DC!AA24</f>
        <v>0</v>
      </c>
      <c r="AB147">
        <f>DC!AB24</f>
        <v>0</v>
      </c>
      <c r="AC147">
        <f>DC!AC24</f>
        <v>0</v>
      </c>
      <c r="AD147">
        <f>DC!AD24</f>
        <v>0</v>
      </c>
      <c r="AE147">
        <f>DC!AE24</f>
        <v>0</v>
      </c>
      <c r="AF147">
        <f>DC!AF24</f>
        <v>0</v>
      </c>
      <c r="AG147">
        <f>DC!AG24</f>
        <v>0</v>
      </c>
      <c r="AH147">
        <f>DC!AH24</f>
        <v>0</v>
      </c>
      <c r="AI147">
        <f>DC!AI24</f>
        <v>0</v>
      </c>
      <c r="AJ147">
        <f>DC!AJ24</f>
        <v>0</v>
      </c>
      <c r="AK147">
        <f>DC!AK24</f>
        <v>0</v>
      </c>
      <c r="AL147">
        <f>DC!AL24</f>
        <v>0</v>
      </c>
      <c r="AM147">
        <f>DC!AM24</f>
        <v>0</v>
      </c>
      <c r="AN147">
        <f>DC!AN24</f>
        <v>0</v>
      </c>
      <c r="AO147">
        <f>DC!AO24</f>
        <v>0</v>
      </c>
      <c r="AP147">
        <f>DC!AP24</f>
        <v>0</v>
      </c>
      <c r="AQ147">
        <f>DC!AQ24</f>
        <v>0</v>
      </c>
      <c r="AR147">
        <f>DC!AR24</f>
        <v>0</v>
      </c>
      <c r="AS147">
        <f>DC!AS24</f>
        <v>0</v>
      </c>
      <c r="AT147">
        <f>DC!AT24</f>
        <v>0</v>
      </c>
      <c r="AU147">
        <f>DC!AU24</f>
        <v>0</v>
      </c>
      <c r="AV147">
        <f>DC!AV24</f>
        <v>0</v>
      </c>
      <c r="AW147">
        <f>DC!AW24</f>
        <v>0</v>
      </c>
      <c r="AX147">
        <f>DC!AX24</f>
        <v>0</v>
      </c>
      <c r="AY147">
        <f>DC!AY24</f>
        <v>0</v>
      </c>
      <c r="AZ147">
        <f>DC!AZ24</f>
        <v>0</v>
      </c>
      <c r="BA147">
        <f>DC!BA24</f>
        <v>0</v>
      </c>
      <c r="BB147">
        <f>DC!BB24</f>
        <v>0</v>
      </c>
      <c r="BC147">
        <f>DC!BC24</f>
        <v>0</v>
      </c>
      <c r="BD147">
        <f>DC!BD24</f>
        <v>0</v>
      </c>
      <c r="BE147">
        <f>DC!BE24</f>
        <v>0</v>
      </c>
      <c r="BF147">
        <f>DC!BF24</f>
        <v>0</v>
      </c>
      <c r="BG147">
        <f>DC!BG24</f>
        <v>0</v>
      </c>
      <c r="BH147">
        <f>DC!BH24</f>
        <v>0</v>
      </c>
      <c r="BI147">
        <f>DC!BI24</f>
        <v>0</v>
      </c>
      <c r="BJ147">
        <f>DC!BJ24</f>
        <v>0</v>
      </c>
      <c r="BK147">
        <f>DC!BK24</f>
        <v>0</v>
      </c>
      <c r="BL147">
        <f>DC!BL24</f>
        <v>0</v>
      </c>
    </row>
    <row r="148" spans="1:64">
      <c r="A148">
        <f>DC!A25</f>
        <v>7</v>
      </c>
      <c r="B148" t="str">
        <f>DC!B25</f>
        <v>09:30-10:15</v>
      </c>
      <c r="C148">
        <f>DC!C25</f>
        <v>9</v>
      </c>
      <c r="D148" t="str">
        <f>DC!D25</f>
        <v>10:00-10:45</v>
      </c>
      <c r="E148">
        <f>DC!E25</f>
        <v>0</v>
      </c>
      <c r="F148">
        <f>DC!F25</f>
        <v>0</v>
      </c>
      <c r="G148">
        <f>DC!G25</f>
        <v>0</v>
      </c>
      <c r="H148">
        <f>DC!H25</f>
        <v>0</v>
      </c>
      <c r="I148">
        <f>DC!I25</f>
        <v>0</v>
      </c>
      <c r="J148">
        <f>DC!J25</f>
        <v>0</v>
      </c>
      <c r="K148">
        <f>DC!K25</f>
        <v>0</v>
      </c>
      <c r="L148">
        <f>DC!L25</f>
        <v>0</v>
      </c>
      <c r="M148">
        <f>DC!M25</f>
        <v>0</v>
      </c>
      <c r="N148">
        <f>DC!N25</f>
        <v>0</v>
      </c>
      <c r="O148">
        <f>DC!O25</f>
        <v>0</v>
      </c>
      <c r="P148">
        <f>DC!P25</f>
        <v>0</v>
      </c>
      <c r="Q148">
        <f>DC!Q25</f>
        <v>0</v>
      </c>
      <c r="R148">
        <f>DC!R25</f>
        <v>0</v>
      </c>
      <c r="S148">
        <f>DC!S25</f>
        <v>0</v>
      </c>
      <c r="T148">
        <f>DC!T25</f>
        <v>0</v>
      </c>
      <c r="U148">
        <f>DC!U25</f>
        <v>0</v>
      </c>
      <c r="V148">
        <f>DC!V25</f>
        <v>0</v>
      </c>
      <c r="W148">
        <f>DC!W25</f>
        <v>0</v>
      </c>
      <c r="X148">
        <f>DC!X25</f>
        <v>0</v>
      </c>
      <c r="Y148">
        <f>DC!Y25</f>
        <v>0</v>
      </c>
      <c r="Z148">
        <f>DC!Z25</f>
        <v>0</v>
      </c>
      <c r="AA148">
        <f>DC!AA25</f>
        <v>0</v>
      </c>
      <c r="AB148">
        <f>DC!AB25</f>
        <v>0</v>
      </c>
      <c r="AC148">
        <f>DC!AC25</f>
        <v>0</v>
      </c>
      <c r="AD148">
        <f>DC!AD25</f>
        <v>0</v>
      </c>
      <c r="AE148">
        <f>DC!AE25</f>
        <v>0</v>
      </c>
      <c r="AF148">
        <f>DC!AF25</f>
        <v>0</v>
      </c>
      <c r="AG148">
        <f>DC!AG25</f>
        <v>0</v>
      </c>
      <c r="AH148">
        <f>DC!AH25</f>
        <v>0</v>
      </c>
      <c r="AI148">
        <f>DC!AI25</f>
        <v>0</v>
      </c>
      <c r="AJ148">
        <f>DC!AJ25</f>
        <v>0</v>
      </c>
      <c r="AK148">
        <f>DC!AK25</f>
        <v>0</v>
      </c>
      <c r="AL148">
        <f>DC!AL25</f>
        <v>0</v>
      </c>
      <c r="AM148">
        <f>DC!AM25</f>
        <v>0</v>
      </c>
      <c r="AN148">
        <f>DC!AN25</f>
        <v>0</v>
      </c>
      <c r="AO148">
        <f>DC!AO25</f>
        <v>0</v>
      </c>
      <c r="AP148">
        <f>DC!AP25</f>
        <v>0</v>
      </c>
      <c r="AQ148">
        <f>DC!AQ25</f>
        <v>0</v>
      </c>
      <c r="AR148">
        <f>DC!AR25</f>
        <v>0</v>
      </c>
      <c r="AS148">
        <f>DC!AS25</f>
        <v>0</v>
      </c>
      <c r="AT148">
        <f>DC!AT25</f>
        <v>0</v>
      </c>
      <c r="AU148">
        <f>DC!AU25</f>
        <v>0</v>
      </c>
      <c r="AV148">
        <f>DC!AV25</f>
        <v>0</v>
      </c>
      <c r="AW148">
        <f>DC!AW25</f>
        <v>0</v>
      </c>
      <c r="AX148">
        <f>DC!AX25</f>
        <v>0</v>
      </c>
      <c r="AY148">
        <f>DC!AY25</f>
        <v>0</v>
      </c>
      <c r="AZ148">
        <f>DC!AZ25</f>
        <v>0</v>
      </c>
      <c r="BA148">
        <f>DC!BA25</f>
        <v>0</v>
      </c>
      <c r="BB148">
        <f>DC!BB25</f>
        <v>0</v>
      </c>
      <c r="BC148">
        <f>DC!BC25</f>
        <v>0</v>
      </c>
      <c r="BD148">
        <f>DC!BD25</f>
        <v>0</v>
      </c>
      <c r="BE148">
        <f>DC!BE25</f>
        <v>0</v>
      </c>
      <c r="BF148">
        <f>DC!BF25</f>
        <v>0</v>
      </c>
      <c r="BG148">
        <f>DC!BG25</f>
        <v>0</v>
      </c>
      <c r="BH148">
        <f>DC!BH25</f>
        <v>0</v>
      </c>
      <c r="BI148">
        <f>DC!BI25</f>
        <v>0</v>
      </c>
      <c r="BJ148">
        <f>DC!BJ25</f>
        <v>0</v>
      </c>
      <c r="BK148">
        <f>DC!BK25</f>
        <v>0</v>
      </c>
      <c r="BL148">
        <f>DC!BL25</f>
        <v>0</v>
      </c>
    </row>
    <row r="149" spans="1:64">
      <c r="A149">
        <f>DC!A26</f>
        <v>7</v>
      </c>
      <c r="B149" t="str">
        <f>DC!B26</f>
        <v>09:30-10:15</v>
      </c>
      <c r="C149">
        <f>DC!C26</f>
        <v>10</v>
      </c>
      <c r="D149" t="str">
        <f>DC!D26</f>
        <v>10:00-11:00</v>
      </c>
      <c r="E149">
        <f>DC!E26</f>
        <v>0</v>
      </c>
      <c r="F149">
        <f>DC!F26</f>
        <v>0</v>
      </c>
      <c r="G149">
        <f>DC!G26</f>
        <v>0</v>
      </c>
      <c r="H149">
        <f>DC!H26</f>
        <v>0</v>
      </c>
      <c r="I149">
        <f>DC!I26</f>
        <v>0</v>
      </c>
      <c r="J149">
        <f>DC!J26</f>
        <v>0</v>
      </c>
      <c r="K149">
        <f>DC!K26</f>
        <v>0</v>
      </c>
      <c r="L149">
        <f>DC!L26</f>
        <v>0</v>
      </c>
      <c r="M149">
        <f>DC!M26</f>
        <v>0</v>
      </c>
      <c r="N149">
        <f>DC!N26</f>
        <v>0</v>
      </c>
      <c r="O149">
        <f>DC!O26</f>
        <v>0</v>
      </c>
      <c r="P149">
        <f>DC!P26</f>
        <v>0</v>
      </c>
      <c r="Q149">
        <f>DC!Q26</f>
        <v>0</v>
      </c>
      <c r="R149">
        <f>DC!R26</f>
        <v>0</v>
      </c>
      <c r="S149">
        <f>DC!S26</f>
        <v>0</v>
      </c>
      <c r="T149">
        <f>DC!T26</f>
        <v>0</v>
      </c>
      <c r="U149">
        <f>DC!U26</f>
        <v>0</v>
      </c>
      <c r="V149">
        <f>DC!V26</f>
        <v>0</v>
      </c>
      <c r="W149">
        <f>DC!W26</f>
        <v>0</v>
      </c>
      <c r="X149">
        <f>DC!X26</f>
        <v>0</v>
      </c>
      <c r="Y149">
        <f>DC!Y26</f>
        <v>0</v>
      </c>
      <c r="Z149">
        <f>DC!Z26</f>
        <v>0</v>
      </c>
      <c r="AA149">
        <f>DC!AA26</f>
        <v>0</v>
      </c>
      <c r="AB149">
        <f>DC!AB26</f>
        <v>0</v>
      </c>
      <c r="AC149">
        <f>DC!AC26</f>
        <v>0</v>
      </c>
      <c r="AD149">
        <f>DC!AD26</f>
        <v>0</v>
      </c>
      <c r="AE149">
        <f>DC!AE26</f>
        <v>0</v>
      </c>
      <c r="AF149">
        <f>DC!AF26</f>
        <v>0</v>
      </c>
      <c r="AG149">
        <f>DC!AG26</f>
        <v>0</v>
      </c>
      <c r="AH149">
        <f>DC!AH26</f>
        <v>0</v>
      </c>
      <c r="AI149">
        <f>DC!AI26</f>
        <v>0</v>
      </c>
      <c r="AJ149">
        <f>DC!AJ26</f>
        <v>0</v>
      </c>
      <c r="AK149">
        <f>DC!AK26</f>
        <v>0</v>
      </c>
      <c r="AL149">
        <f>DC!AL26</f>
        <v>0</v>
      </c>
      <c r="AM149">
        <f>DC!AM26</f>
        <v>0</v>
      </c>
      <c r="AN149">
        <f>DC!AN26</f>
        <v>0</v>
      </c>
      <c r="AO149">
        <f>DC!AO26</f>
        <v>0</v>
      </c>
      <c r="AP149">
        <f>DC!AP26</f>
        <v>0</v>
      </c>
      <c r="AQ149">
        <f>DC!AQ26</f>
        <v>0</v>
      </c>
      <c r="AR149">
        <f>DC!AR26</f>
        <v>0</v>
      </c>
      <c r="AS149">
        <f>DC!AS26</f>
        <v>0</v>
      </c>
      <c r="AT149">
        <f>DC!AT26</f>
        <v>0</v>
      </c>
      <c r="AU149">
        <f>DC!AU26</f>
        <v>0</v>
      </c>
      <c r="AV149">
        <f>DC!AV26</f>
        <v>0</v>
      </c>
      <c r="AW149">
        <f>DC!AW26</f>
        <v>0</v>
      </c>
      <c r="AX149">
        <f>DC!AX26</f>
        <v>0</v>
      </c>
      <c r="AY149">
        <f>DC!AY26</f>
        <v>0</v>
      </c>
      <c r="AZ149">
        <f>DC!AZ26</f>
        <v>0</v>
      </c>
      <c r="BA149">
        <f>DC!BA26</f>
        <v>0</v>
      </c>
      <c r="BB149">
        <f>DC!BB26</f>
        <v>0</v>
      </c>
      <c r="BC149">
        <f>DC!BC26</f>
        <v>0</v>
      </c>
      <c r="BD149">
        <f>DC!BD26</f>
        <v>0</v>
      </c>
      <c r="BE149">
        <f>DC!BE26</f>
        <v>0</v>
      </c>
      <c r="BF149">
        <f>DC!BF26</f>
        <v>0</v>
      </c>
      <c r="BG149">
        <f>DC!BG26</f>
        <v>0</v>
      </c>
      <c r="BH149">
        <f>DC!BH26</f>
        <v>0</v>
      </c>
      <c r="BI149">
        <f>DC!BI26</f>
        <v>0</v>
      </c>
      <c r="BJ149">
        <f>DC!BJ26</f>
        <v>0</v>
      </c>
      <c r="BK149">
        <f>DC!BK26</f>
        <v>0</v>
      </c>
      <c r="BL149">
        <f>DC!BL26</f>
        <v>0</v>
      </c>
    </row>
    <row r="150" spans="1:64">
      <c r="A150">
        <f>DC!A27</f>
        <v>8</v>
      </c>
      <c r="B150" t="str">
        <f>DC!B27</f>
        <v>09:45-10:30</v>
      </c>
      <c r="C150">
        <f>DC!C27</f>
        <v>9</v>
      </c>
      <c r="D150" t="str">
        <f>DC!D27</f>
        <v>10:00-10:45</v>
      </c>
      <c r="E150">
        <f>DC!E27</f>
        <v>0</v>
      </c>
      <c r="F150">
        <f>DC!F27</f>
        <v>0</v>
      </c>
      <c r="G150">
        <f>DC!G27</f>
        <v>0</v>
      </c>
      <c r="H150">
        <f>DC!H27</f>
        <v>0</v>
      </c>
      <c r="I150">
        <f>DC!I27</f>
        <v>0</v>
      </c>
      <c r="J150">
        <f>DC!J27</f>
        <v>0</v>
      </c>
      <c r="K150">
        <f>DC!K27</f>
        <v>0</v>
      </c>
      <c r="L150">
        <f>DC!L27</f>
        <v>0</v>
      </c>
      <c r="M150">
        <f>DC!M27</f>
        <v>0</v>
      </c>
      <c r="N150">
        <f>DC!N27</f>
        <v>0</v>
      </c>
      <c r="O150">
        <f>DC!O27</f>
        <v>0</v>
      </c>
      <c r="P150">
        <f>DC!P27</f>
        <v>0</v>
      </c>
      <c r="Q150">
        <f>DC!Q27</f>
        <v>0</v>
      </c>
      <c r="R150">
        <f>DC!R27</f>
        <v>0</v>
      </c>
      <c r="S150">
        <f>DC!S27</f>
        <v>0</v>
      </c>
      <c r="T150">
        <f>DC!T27</f>
        <v>0</v>
      </c>
      <c r="U150">
        <f>DC!U27</f>
        <v>0</v>
      </c>
      <c r="V150">
        <f>DC!V27</f>
        <v>0</v>
      </c>
      <c r="W150">
        <f>DC!W27</f>
        <v>0</v>
      </c>
      <c r="X150">
        <f>DC!X27</f>
        <v>0</v>
      </c>
      <c r="Y150">
        <f>DC!Y27</f>
        <v>0</v>
      </c>
      <c r="Z150">
        <f>DC!Z27</f>
        <v>0</v>
      </c>
      <c r="AA150">
        <f>DC!AA27</f>
        <v>0</v>
      </c>
      <c r="AB150">
        <f>DC!AB27</f>
        <v>0</v>
      </c>
      <c r="AC150">
        <f>DC!AC27</f>
        <v>0</v>
      </c>
      <c r="AD150">
        <f>DC!AD27</f>
        <v>0</v>
      </c>
      <c r="AE150">
        <f>DC!AE27</f>
        <v>0</v>
      </c>
      <c r="AF150">
        <f>DC!AF27</f>
        <v>0</v>
      </c>
      <c r="AG150">
        <f>DC!AG27</f>
        <v>0</v>
      </c>
      <c r="AH150">
        <f>DC!AH27</f>
        <v>0</v>
      </c>
      <c r="AI150">
        <f>DC!AI27</f>
        <v>0</v>
      </c>
      <c r="AJ150">
        <f>DC!AJ27</f>
        <v>0</v>
      </c>
      <c r="AK150">
        <f>DC!AK27</f>
        <v>0</v>
      </c>
      <c r="AL150">
        <f>DC!AL27</f>
        <v>0</v>
      </c>
      <c r="AM150">
        <f>DC!AM27</f>
        <v>0</v>
      </c>
      <c r="AN150">
        <f>DC!AN27</f>
        <v>0</v>
      </c>
      <c r="AO150">
        <f>DC!AO27</f>
        <v>0</v>
      </c>
      <c r="AP150">
        <f>DC!AP27</f>
        <v>0</v>
      </c>
      <c r="AQ150">
        <f>DC!AQ27</f>
        <v>0</v>
      </c>
      <c r="AR150">
        <f>DC!AR27</f>
        <v>0</v>
      </c>
      <c r="AS150">
        <f>DC!AS27</f>
        <v>0</v>
      </c>
      <c r="AT150">
        <f>DC!AT27</f>
        <v>0</v>
      </c>
      <c r="AU150">
        <f>DC!AU27</f>
        <v>0</v>
      </c>
      <c r="AV150">
        <f>DC!AV27</f>
        <v>0</v>
      </c>
      <c r="AW150">
        <f>DC!AW27</f>
        <v>0</v>
      </c>
      <c r="AX150">
        <f>DC!AX27</f>
        <v>0</v>
      </c>
      <c r="AY150">
        <f>DC!AY27</f>
        <v>0</v>
      </c>
      <c r="AZ150">
        <f>DC!AZ27</f>
        <v>0</v>
      </c>
      <c r="BA150">
        <f>DC!BA27</f>
        <v>0</v>
      </c>
      <c r="BB150">
        <f>DC!BB27</f>
        <v>0</v>
      </c>
      <c r="BC150">
        <f>DC!BC27</f>
        <v>0</v>
      </c>
      <c r="BD150">
        <f>DC!BD27</f>
        <v>0</v>
      </c>
      <c r="BE150">
        <f>DC!BE27</f>
        <v>0</v>
      </c>
      <c r="BF150">
        <f>DC!BF27</f>
        <v>0</v>
      </c>
      <c r="BG150">
        <f>DC!BG27</f>
        <v>0</v>
      </c>
      <c r="BH150">
        <f>DC!BH27</f>
        <v>0</v>
      </c>
      <c r="BI150">
        <f>DC!BI27</f>
        <v>0</v>
      </c>
      <c r="BJ150">
        <f>DC!BJ27</f>
        <v>0</v>
      </c>
      <c r="BK150">
        <f>DC!BK27</f>
        <v>0</v>
      </c>
      <c r="BL150">
        <f>DC!BL27</f>
        <v>0</v>
      </c>
    </row>
    <row r="151" spans="1:64">
      <c r="A151">
        <f>DC!A28</f>
        <v>8</v>
      </c>
      <c r="B151" t="str">
        <f>DC!B28</f>
        <v>09:45-10:30</v>
      </c>
      <c r="C151">
        <f>DC!C28</f>
        <v>10</v>
      </c>
      <c r="D151" t="str">
        <f>DC!D28</f>
        <v>10:00-11:00</v>
      </c>
      <c r="E151">
        <f>DC!E28</f>
        <v>0</v>
      </c>
      <c r="F151">
        <f>DC!F28</f>
        <v>0</v>
      </c>
      <c r="G151">
        <f>DC!G28</f>
        <v>0</v>
      </c>
      <c r="H151">
        <f>DC!H28</f>
        <v>0</v>
      </c>
      <c r="I151">
        <f>DC!I28</f>
        <v>0</v>
      </c>
      <c r="J151">
        <f>DC!J28</f>
        <v>0</v>
      </c>
      <c r="K151">
        <f>DC!K28</f>
        <v>0</v>
      </c>
      <c r="L151">
        <f>DC!L28</f>
        <v>0</v>
      </c>
      <c r="M151">
        <f>DC!M28</f>
        <v>0</v>
      </c>
      <c r="N151">
        <f>DC!N28</f>
        <v>0</v>
      </c>
      <c r="O151">
        <f>DC!O28</f>
        <v>0</v>
      </c>
      <c r="P151">
        <f>DC!P28</f>
        <v>0</v>
      </c>
      <c r="Q151">
        <f>DC!Q28</f>
        <v>0</v>
      </c>
      <c r="R151">
        <f>DC!R28</f>
        <v>0</v>
      </c>
      <c r="S151">
        <f>DC!S28</f>
        <v>0</v>
      </c>
      <c r="T151">
        <f>DC!T28</f>
        <v>0</v>
      </c>
      <c r="U151">
        <f>DC!U28</f>
        <v>0</v>
      </c>
      <c r="V151">
        <f>DC!V28</f>
        <v>0</v>
      </c>
      <c r="W151">
        <f>DC!W28</f>
        <v>0</v>
      </c>
      <c r="X151">
        <f>DC!X28</f>
        <v>0</v>
      </c>
      <c r="Y151">
        <f>DC!Y28</f>
        <v>0</v>
      </c>
      <c r="Z151">
        <f>DC!Z28</f>
        <v>0</v>
      </c>
      <c r="AA151">
        <f>DC!AA28</f>
        <v>0</v>
      </c>
      <c r="AB151">
        <f>DC!AB28</f>
        <v>0</v>
      </c>
      <c r="AC151">
        <f>DC!AC28</f>
        <v>0</v>
      </c>
      <c r="AD151">
        <f>DC!AD28</f>
        <v>0</v>
      </c>
      <c r="AE151">
        <f>DC!AE28</f>
        <v>0</v>
      </c>
      <c r="AF151">
        <f>DC!AF28</f>
        <v>0</v>
      </c>
      <c r="AG151">
        <f>DC!AG28</f>
        <v>0</v>
      </c>
      <c r="AH151">
        <f>DC!AH28</f>
        <v>0</v>
      </c>
      <c r="AI151">
        <f>DC!AI28</f>
        <v>0</v>
      </c>
      <c r="AJ151">
        <f>DC!AJ28</f>
        <v>0</v>
      </c>
      <c r="AK151">
        <f>DC!AK28</f>
        <v>0</v>
      </c>
      <c r="AL151">
        <f>DC!AL28</f>
        <v>0</v>
      </c>
      <c r="AM151">
        <f>DC!AM28</f>
        <v>0</v>
      </c>
      <c r="AN151">
        <f>DC!AN28</f>
        <v>0</v>
      </c>
      <c r="AO151">
        <f>DC!AO28</f>
        <v>0</v>
      </c>
      <c r="AP151">
        <f>DC!AP28</f>
        <v>0</v>
      </c>
      <c r="AQ151">
        <f>DC!AQ28</f>
        <v>0</v>
      </c>
      <c r="AR151">
        <f>DC!AR28</f>
        <v>0</v>
      </c>
      <c r="AS151">
        <f>DC!AS28</f>
        <v>0</v>
      </c>
      <c r="AT151">
        <f>DC!AT28</f>
        <v>0</v>
      </c>
      <c r="AU151">
        <f>DC!AU28</f>
        <v>0</v>
      </c>
      <c r="AV151">
        <f>DC!AV28</f>
        <v>0</v>
      </c>
      <c r="AW151">
        <f>DC!AW28</f>
        <v>0</v>
      </c>
      <c r="AX151">
        <f>DC!AX28</f>
        <v>0</v>
      </c>
      <c r="AY151">
        <f>DC!AY28</f>
        <v>0</v>
      </c>
      <c r="AZ151">
        <f>DC!AZ28</f>
        <v>0</v>
      </c>
      <c r="BA151">
        <f>DC!BA28</f>
        <v>0</v>
      </c>
      <c r="BB151">
        <f>DC!BB28</f>
        <v>0</v>
      </c>
      <c r="BC151">
        <f>DC!BC28</f>
        <v>0</v>
      </c>
      <c r="BD151">
        <f>DC!BD28</f>
        <v>0</v>
      </c>
      <c r="BE151">
        <f>DC!BE28</f>
        <v>0</v>
      </c>
      <c r="BF151">
        <f>DC!BF28</f>
        <v>0</v>
      </c>
      <c r="BG151">
        <f>DC!BG28</f>
        <v>0</v>
      </c>
      <c r="BH151">
        <f>DC!BH28</f>
        <v>0</v>
      </c>
      <c r="BI151">
        <f>DC!BI28</f>
        <v>0</v>
      </c>
      <c r="BJ151">
        <f>DC!BJ28</f>
        <v>0</v>
      </c>
      <c r="BK151">
        <f>DC!BK28</f>
        <v>0</v>
      </c>
      <c r="BL151">
        <f>DC!BL28</f>
        <v>0</v>
      </c>
    </row>
    <row r="152" spans="1:64">
      <c r="A152">
        <f>DC!A29</f>
        <v>8</v>
      </c>
      <c r="B152" t="str">
        <f>DC!B29</f>
        <v>09:45-10:30</v>
      </c>
      <c r="C152">
        <f>DC!C29</f>
        <v>11</v>
      </c>
      <c r="D152" t="str">
        <f>DC!D29</f>
        <v>10:15-11:00</v>
      </c>
      <c r="E152">
        <f>DC!E29</f>
        <v>0</v>
      </c>
      <c r="F152">
        <f>DC!F29</f>
        <v>0</v>
      </c>
      <c r="G152">
        <f>DC!G29</f>
        <v>0</v>
      </c>
      <c r="H152">
        <f>DC!H29</f>
        <v>0</v>
      </c>
      <c r="I152">
        <f>DC!I29</f>
        <v>0</v>
      </c>
      <c r="J152">
        <f>DC!J29</f>
        <v>0</v>
      </c>
      <c r="K152">
        <f>DC!K29</f>
        <v>0</v>
      </c>
      <c r="L152">
        <f>DC!L29</f>
        <v>0</v>
      </c>
      <c r="M152">
        <f>DC!M29</f>
        <v>0</v>
      </c>
      <c r="N152">
        <f>DC!N29</f>
        <v>0</v>
      </c>
      <c r="O152">
        <f>DC!O29</f>
        <v>0</v>
      </c>
      <c r="P152">
        <f>DC!P29</f>
        <v>0</v>
      </c>
      <c r="Q152">
        <f>DC!Q29</f>
        <v>0</v>
      </c>
      <c r="R152">
        <f>DC!R29</f>
        <v>0</v>
      </c>
      <c r="S152">
        <f>DC!S29</f>
        <v>0</v>
      </c>
      <c r="T152">
        <f>DC!T29</f>
        <v>0</v>
      </c>
      <c r="U152">
        <f>DC!U29</f>
        <v>0</v>
      </c>
      <c r="V152">
        <f>DC!V29</f>
        <v>0</v>
      </c>
      <c r="W152">
        <f>DC!W29</f>
        <v>0</v>
      </c>
      <c r="X152">
        <f>DC!X29</f>
        <v>0</v>
      </c>
      <c r="Y152">
        <f>DC!Y29</f>
        <v>0</v>
      </c>
      <c r="Z152">
        <f>DC!Z29</f>
        <v>0</v>
      </c>
      <c r="AA152">
        <f>DC!AA29</f>
        <v>0</v>
      </c>
      <c r="AB152">
        <f>DC!AB29</f>
        <v>0</v>
      </c>
      <c r="AC152">
        <f>DC!AC29</f>
        <v>0</v>
      </c>
      <c r="AD152">
        <f>DC!AD29</f>
        <v>0</v>
      </c>
      <c r="AE152">
        <f>DC!AE29</f>
        <v>0</v>
      </c>
      <c r="AF152">
        <f>DC!AF29</f>
        <v>0</v>
      </c>
      <c r="AG152">
        <f>DC!AG29</f>
        <v>0</v>
      </c>
      <c r="AH152">
        <f>DC!AH29</f>
        <v>0</v>
      </c>
      <c r="AI152">
        <f>DC!AI29</f>
        <v>0</v>
      </c>
      <c r="AJ152">
        <f>DC!AJ29</f>
        <v>0</v>
      </c>
      <c r="AK152">
        <f>DC!AK29</f>
        <v>0</v>
      </c>
      <c r="AL152">
        <f>DC!AL29</f>
        <v>0</v>
      </c>
      <c r="AM152">
        <f>DC!AM29</f>
        <v>0</v>
      </c>
      <c r="AN152">
        <f>DC!AN29</f>
        <v>0</v>
      </c>
      <c r="AO152">
        <f>DC!AO29</f>
        <v>0</v>
      </c>
      <c r="AP152">
        <f>DC!AP29</f>
        <v>0</v>
      </c>
      <c r="AQ152">
        <f>DC!AQ29</f>
        <v>0</v>
      </c>
      <c r="AR152">
        <f>DC!AR29</f>
        <v>0</v>
      </c>
      <c r="AS152">
        <f>DC!AS29</f>
        <v>0</v>
      </c>
      <c r="AT152">
        <f>DC!AT29</f>
        <v>0</v>
      </c>
      <c r="AU152">
        <f>DC!AU29</f>
        <v>0</v>
      </c>
      <c r="AV152">
        <f>DC!AV29</f>
        <v>0</v>
      </c>
      <c r="AW152">
        <f>DC!AW29</f>
        <v>0</v>
      </c>
      <c r="AX152">
        <f>DC!AX29</f>
        <v>0</v>
      </c>
      <c r="AY152">
        <f>DC!AY29</f>
        <v>0</v>
      </c>
      <c r="AZ152">
        <f>DC!AZ29</f>
        <v>0</v>
      </c>
      <c r="BA152">
        <f>DC!BA29</f>
        <v>0</v>
      </c>
      <c r="BB152">
        <f>DC!BB29</f>
        <v>0</v>
      </c>
      <c r="BC152">
        <f>DC!BC29</f>
        <v>0</v>
      </c>
      <c r="BD152">
        <f>DC!BD29</f>
        <v>0</v>
      </c>
      <c r="BE152">
        <f>DC!BE29</f>
        <v>0</v>
      </c>
      <c r="BF152">
        <f>DC!BF29</f>
        <v>0</v>
      </c>
      <c r="BG152">
        <f>DC!BG29</f>
        <v>0</v>
      </c>
      <c r="BH152">
        <f>DC!BH29</f>
        <v>0</v>
      </c>
      <c r="BI152">
        <f>DC!BI29</f>
        <v>0</v>
      </c>
      <c r="BJ152">
        <f>DC!BJ29</f>
        <v>0</v>
      </c>
      <c r="BK152">
        <f>DC!BK29</f>
        <v>0</v>
      </c>
      <c r="BL152">
        <f>DC!BL29</f>
        <v>0</v>
      </c>
    </row>
    <row r="153" spans="1:64">
      <c r="A153">
        <f>DC!A30</f>
        <v>9</v>
      </c>
      <c r="B153" t="str">
        <f>DC!B30</f>
        <v>10:00-10:45</v>
      </c>
      <c r="C153">
        <f>DC!C30</f>
        <v>10</v>
      </c>
      <c r="D153" t="str">
        <f>DC!D30</f>
        <v>10:00-11:00</v>
      </c>
      <c r="E153">
        <f>DC!E30</f>
        <v>0</v>
      </c>
      <c r="F153">
        <f>DC!F30</f>
        <v>0</v>
      </c>
      <c r="G153">
        <f>DC!G30</f>
        <v>0</v>
      </c>
      <c r="H153">
        <f>DC!H30</f>
        <v>0</v>
      </c>
      <c r="I153">
        <f>DC!I30</f>
        <v>0</v>
      </c>
      <c r="J153">
        <f>DC!J30</f>
        <v>0</v>
      </c>
      <c r="K153">
        <f>DC!K30</f>
        <v>0</v>
      </c>
      <c r="L153">
        <f>DC!L30</f>
        <v>0</v>
      </c>
      <c r="M153">
        <f>DC!M30</f>
        <v>0</v>
      </c>
      <c r="N153">
        <f>DC!N30</f>
        <v>0</v>
      </c>
      <c r="O153">
        <f>DC!O30</f>
        <v>0</v>
      </c>
      <c r="P153">
        <f>DC!P30</f>
        <v>0</v>
      </c>
      <c r="Q153">
        <f>DC!Q30</f>
        <v>0</v>
      </c>
      <c r="R153">
        <f>DC!R30</f>
        <v>0</v>
      </c>
      <c r="S153">
        <f>DC!S30</f>
        <v>0</v>
      </c>
      <c r="T153">
        <f>DC!T30</f>
        <v>0</v>
      </c>
      <c r="U153">
        <f>DC!U30</f>
        <v>0</v>
      </c>
      <c r="V153">
        <f>DC!V30</f>
        <v>0</v>
      </c>
      <c r="W153">
        <f>DC!W30</f>
        <v>0</v>
      </c>
      <c r="X153">
        <f>DC!X30</f>
        <v>0</v>
      </c>
      <c r="Y153">
        <f>DC!Y30</f>
        <v>0</v>
      </c>
      <c r="Z153">
        <f>DC!Z30</f>
        <v>0</v>
      </c>
      <c r="AA153">
        <f>DC!AA30</f>
        <v>0</v>
      </c>
      <c r="AB153">
        <f>DC!AB30</f>
        <v>0</v>
      </c>
      <c r="AC153">
        <f>DC!AC30</f>
        <v>0</v>
      </c>
      <c r="AD153">
        <f>DC!AD30</f>
        <v>0</v>
      </c>
      <c r="AE153">
        <f>DC!AE30</f>
        <v>0</v>
      </c>
      <c r="AF153">
        <f>DC!AF30</f>
        <v>0</v>
      </c>
      <c r="AG153">
        <f>DC!AG30</f>
        <v>0</v>
      </c>
      <c r="AH153">
        <f>DC!AH30</f>
        <v>0</v>
      </c>
      <c r="AI153">
        <f>DC!AI30</f>
        <v>0</v>
      </c>
      <c r="AJ153">
        <f>DC!AJ30</f>
        <v>0</v>
      </c>
      <c r="AK153">
        <f>DC!AK30</f>
        <v>0</v>
      </c>
      <c r="AL153">
        <f>DC!AL30</f>
        <v>0</v>
      </c>
      <c r="AM153">
        <f>DC!AM30</f>
        <v>0</v>
      </c>
      <c r="AN153">
        <f>DC!AN30</f>
        <v>0</v>
      </c>
      <c r="AO153">
        <f>DC!AO30</f>
        <v>0</v>
      </c>
      <c r="AP153">
        <f>DC!AP30</f>
        <v>0</v>
      </c>
      <c r="AQ153">
        <f>DC!AQ30</f>
        <v>0</v>
      </c>
      <c r="AR153">
        <f>DC!AR30</f>
        <v>0</v>
      </c>
      <c r="AS153">
        <f>DC!AS30</f>
        <v>0</v>
      </c>
      <c r="AT153">
        <f>DC!AT30</f>
        <v>0</v>
      </c>
      <c r="AU153">
        <f>DC!AU30</f>
        <v>0</v>
      </c>
      <c r="AV153">
        <f>DC!AV30</f>
        <v>0</v>
      </c>
      <c r="AW153">
        <f>DC!AW30</f>
        <v>0</v>
      </c>
      <c r="AX153">
        <f>DC!AX30</f>
        <v>0</v>
      </c>
      <c r="AY153">
        <f>DC!AY30</f>
        <v>0</v>
      </c>
      <c r="AZ153">
        <f>DC!AZ30</f>
        <v>0</v>
      </c>
      <c r="BA153">
        <f>DC!BA30</f>
        <v>0</v>
      </c>
      <c r="BB153">
        <f>DC!BB30</f>
        <v>0</v>
      </c>
      <c r="BC153">
        <f>DC!BC30</f>
        <v>0</v>
      </c>
      <c r="BD153">
        <f>DC!BD30</f>
        <v>0</v>
      </c>
      <c r="BE153">
        <f>DC!BE30</f>
        <v>0</v>
      </c>
      <c r="BF153">
        <f>DC!BF30</f>
        <v>0</v>
      </c>
      <c r="BG153">
        <f>DC!BG30</f>
        <v>0</v>
      </c>
      <c r="BH153">
        <f>DC!BH30</f>
        <v>0</v>
      </c>
      <c r="BI153">
        <f>DC!BI30</f>
        <v>0</v>
      </c>
      <c r="BJ153">
        <f>DC!BJ30</f>
        <v>0</v>
      </c>
      <c r="BK153">
        <f>DC!BK30</f>
        <v>0</v>
      </c>
      <c r="BL153">
        <f>DC!BL30</f>
        <v>0</v>
      </c>
    </row>
    <row r="154" spans="1:64">
      <c r="A154">
        <f>DC!A31</f>
        <v>9</v>
      </c>
      <c r="B154" t="str">
        <f>DC!B31</f>
        <v>10:00-10:45</v>
      </c>
      <c r="C154">
        <f>DC!C31</f>
        <v>11</v>
      </c>
      <c r="D154" t="str">
        <f>DC!D31</f>
        <v>10:15-11:00</v>
      </c>
      <c r="E154">
        <f>DC!E31</f>
        <v>0</v>
      </c>
      <c r="F154">
        <f>DC!F31</f>
        <v>0</v>
      </c>
      <c r="G154">
        <f>DC!G31</f>
        <v>0</v>
      </c>
      <c r="H154">
        <f>DC!H31</f>
        <v>0</v>
      </c>
      <c r="I154">
        <f>DC!I31</f>
        <v>0</v>
      </c>
      <c r="J154">
        <f>DC!J31</f>
        <v>0</v>
      </c>
      <c r="K154">
        <f>DC!K31</f>
        <v>0</v>
      </c>
      <c r="L154">
        <f>DC!L31</f>
        <v>0</v>
      </c>
      <c r="M154">
        <f>DC!M31</f>
        <v>0</v>
      </c>
      <c r="N154">
        <f>DC!N31</f>
        <v>0</v>
      </c>
      <c r="O154">
        <f>DC!O31</f>
        <v>0</v>
      </c>
      <c r="P154">
        <f>DC!P31</f>
        <v>0</v>
      </c>
      <c r="Q154">
        <f>DC!Q31</f>
        <v>0</v>
      </c>
      <c r="R154">
        <f>DC!R31</f>
        <v>0</v>
      </c>
      <c r="S154">
        <f>DC!S31</f>
        <v>0</v>
      </c>
      <c r="T154">
        <f>DC!T31</f>
        <v>0</v>
      </c>
      <c r="U154">
        <f>DC!U31</f>
        <v>0</v>
      </c>
      <c r="V154">
        <f>DC!V31</f>
        <v>0</v>
      </c>
      <c r="W154">
        <f>DC!W31</f>
        <v>0</v>
      </c>
      <c r="X154">
        <f>DC!X31</f>
        <v>0</v>
      </c>
      <c r="Y154">
        <f>DC!Y31</f>
        <v>0</v>
      </c>
      <c r="Z154">
        <f>DC!Z31</f>
        <v>0</v>
      </c>
      <c r="AA154">
        <f>DC!AA31</f>
        <v>0</v>
      </c>
      <c r="AB154">
        <f>DC!AB31</f>
        <v>0</v>
      </c>
      <c r="AC154">
        <f>DC!AC31</f>
        <v>0</v>
      </c>
      <c r="AD154">
        <f>DC!AD31</f>
        <v>0</v>
      </c>
      <c r="AE154">
        <f>DC!AE31</f>
        <v>0</v>
      </c>
      <c r="AF154">
        <f>DC!AF31</f>
        <v>0</v>
      </c>
      <c r="AG154">
        <f>DC!AG31</f>
        <v>0</v>
      </c>
      <c r="AH154">
        <f>DC!AH31</f>
        <v>0</v>
      </c>
      <c r="AI154">
        <f>DC!AI31</f>
        <v>0</v>
      </c>
      <c r="AJ154">
        <f>DC!AJ31</f>
        <v>0</v>
      </c>
      <c r="AK154">
        <f>DC!AK31</f>
        <v>0</v>
      </c>
      <c r="AL154">
        <f>DC!AL31</f>
        <v>0</v>
      </c>
      <c r="AM154">
        <f>DC!AM31</f>
        <v>0</v>
      </c>
      <c r="AN154">
        <f>DC!AN31</f>
        <v>0</v>
      </c>
      <c r="AO154">
        <f>DC!AO31</f>
        <v>0</v>
      </c>
      <c r="AP154">
        <f>DC!AP31</f>
        <v>0</v>
      </c>
      <c r="AQ154">
        <f>DC!AQ31</f>
        <v>0</v>
      </c>
      <c r="AR154">
        <f>DC!AR31</f>
        <v>0</v>
      </c>
      <c r="AS154">
        <f>DC!AS31</f>
        <v>0</v>
      </c>
      <c r="AT154">
        <f>DC!AT31</f>
        <v>0</v>
      </c>
      <c r="AU154">
        <f>DC!AU31</f>
        <v>0</v>
      </c>
      <c r="AV154">
        <f>DC!AV31</f>
        <v>0</v>
      </c>
      <c r="AW154">
        <f>DC!AW31</f>
        <v>0</v>
      </c>
      <c r="AX154">
        <f>DC!AX31</f>
        <v>0</v>
      </c>
      <c r="AY154">
        <f>DC!AY31</f>
        <v>0</v>
      </c>
      <c r="AZ154">
        <f>DC!AZ31</f>
        <v>0</v>
      </c>
      <c r="BA154">
        <f>DC!BA31</f>
        <v>0</v>
      </c>
      <c r="BB154">
        <f>DC!BB31</f>
        <v>0</v>
      </c>
      <c r="BC154">
        <f>DC!BC31</f>
        <v>0</v>
      </c>
      <c r="BD154">
        <f>DC!BD31</f>
        <v>0</v>
      </c>
      <c r="BE154">
        <f>DC!BE31</f>
        <v>0</v>
      </c>
      <c r="BF154">
        <f>DC!BF31</f>
        <v>0</v>
      </c>
      <c r="BG154">
        <f>DC!BG31</f>
        <v>0</v>
      </c>
      <c r="BH154">
        <f>DC!BH31</f>
        <v>0</v>
      </c>
      <c r="BI154">
        <f>DC!BI31</f>
        <v>0</v>
      </c>
      <c r="BJ154">
        <f>DC!BJ31</f>
        <v>0</v>
      </c>
      <c r="BK154">
        <f>DC!BK31</f>
        <v>0</v>
      </c>
      <c r="BL154">
        <f>DC!BL31</f>
        <v>0</v>
      </c>
    </row>
    <row r="155" spans="1:64">
      <c r="A155">
        <f>DC!A32</f>
        <v>9</v>
      </c>
      <c r="B155" t="str">
        <f>DC!B32</f>
        <v>10:00-10:45</v>
      </c>
      <c r="C155">
        <f>DC!C32</f>
        <v>12</v>
      </c>
      <c r="D155" t="str">
        <f>DC!D32</f>
        <v>10:30-11:15</v>
      </c>
      <c r="E155">
        <f>DC!E32</f>
        <v>0</v>
      </c>
      <c r="F155">
        <f>DC!F32</f>
        <v>0</v>
      </c>
      <c r="G155">
        <f>DC!G32</f>
        <v>0</v>
      </c>
      <c r="H155">
        <f>DC!H32</f>
        <v>0</v>
      </c>
      <c r="I155">
        <f>DC!I32</f>
        <v>0</v>
      </c>
      <c r="J155">
        <f>DC!J32</f>
        <v>0</v>
      </c>
      <c r="K155">
        <f>DC!K32</f>
        <v>0</v>
      </c>
      <c r="L155">
        <f>DC!L32</f>
        <v>0</v>
      </c>
      <c r="M155">
        <f>DC!M32</f>
        <v>0</v>
      </c>
      <c r="N155">
        <f>DC!N32</f>
        <v>0</v>
      </c>
      <c r="O155">
        <f>DC!O32</f>
        <v>0</v>
      </c>
      <c r="P155">
        <f>DC!P32</f>
        <v>0</v>
      </c>
      <c r="Q155">
        <f>DC!Q32</f>
        <v>0</v>
      </c>
      <c r="R155">
        <f>DC!R32</f>
        <v>0</v>
      </c>
      <c r="S155">
        <f>DC!S32</f>
        <v>0</v>
      </c>
      <c r="T155">
        <f>DC!T32</f>
        <v>0</v>
      </c>
      <c r="U155">
        <f>DC!U32</f>
        <v>0</v>
      </c>
      <c r="V155">
        <f>DC!V32</f>
        <v>0</v>
      </c>
      <c r="W155">
        <f>DC!W32</f>
        <v>0</v>
      </c>
      <c r="X155">
        <f>DC!X32</f>
        <v>0</v>
      </c>
      <c r="Y155">
        <f>DC!Y32</f>
        <v>0</v>
      </c>
      <c r="Z155">
        <f>DC!Z32</f>
        <v>0</v>
      </c>
      <c r="AA155">
        <f>DC!AA32</f>
        <v>0</v>
      </c>
      <c r="AB155">
        <f>DC!AB32</f>
        <v>0</v>
      </c>
      <c r="AC155">
        <f>DC!AC32</f>
        <v>0</v>
      </c>
      <c r="AD155">
        <f>DC!AD32</f>
        <v>0</v>
      </c>
      <c r="AE155">
        <f>DC!AE32</f>
        <v>0</v>
      </c>
      <c r="AF155">
        <f>DC!AF32</f>
        <v>0</v>
      </c>
      <c r="AG155">
        <f>DC!AG32</f>
        <v>0</v>
      </c>
      <c r="AH155">
        <f>DC!AH32</f>
        <v>0</v>
      </c>
      <c r="AI155">
        <f>DC!AI32</f>
        <v>0</v>
      </c>
      <c r="AJ155">
        <f>DC!AJ32</f>
        <v>0</v>
      </c>
      <c r="AK155">
        <f>DC!AK32</f>
        <v>0</v>
      </c>
      <c r="AL155">
        <f>DC!AL32</f>
        <v>0</v>
      </c>
      <c r="AM155">
        <f>DC!AM32</f>
        <v>0</v>
      </c>
      <c r="AN155">
        <f>DC!AN32</f>
        <v>0</v>
      </c>
      <c r="AO155">
        <f>DC!AO32</f>
        <v>0</v>
      </c>
      <c r="AP155">
        <f>DC!AP32</f>
        <v>0</v>
      </c>
      <c r="AQ155">
        <f>DC!AQ32</f>
        <v>0</v>
      </c>
      <c r="AR155">
        <f>DC!AR32</f>
        <v>0</v>
      </c>
      <c r="AS155">
        <f>DC!AS32</f>
        <v>0</v>
      </c>
      <c r="AT155">
        <f>DC!AT32</f>
        <v>0</v>
      </c>
      <c r="AU155">
        <f>DC!AU32</f>
        <v>0</v>
      </c>
      <c r="AV155">
        <f>DC!AV32</f>
        <v>0</v>
      </c>
      <c r="AW155">
        <f>DC!AW32</f>
        <v>0</v>
      </c>
      <c r="AX155">
        <f>DC!AX32</f>
        <v>0</v>
      </c>
      <c r="AY155">
        <f>DC!AY32</f>
        <v>0</v>
      </c>
      <c r="AZ155">
        <f>DC!AZ32</f>
        <v>0</v>
      </c>
      <c r="BA155">
        <f>DC!BA32</f>
        <v>0</v>
      </c>
      <c r="BB155">
        <f>DC!BB32</f>
        <v>0</v>
      </c>
      <c r="BC155">
        <f>DC!BC32</f>
        <v>0</v>
      </c>
      <c r="BD155">
        <f>DC!BD32</f>
        <v>0</v>
      </c>
      <c r="BE155">
        <f>DC!BE32</f>
        <v>0</v>
      </c>
      <c r="BF155">
        <f>DC!BF32</f>
        <v>0</v>
      </c>
      <c r="BG155">
        <f>DC!BG32</f>
        <v>0</v>
      </c>
      <c r="BH155">
        <f>DC!BH32</f>
        <v>0</v>
      </c>
      <c r="BI155">
        <f>DC!BI32</f>
        <v>0</v>
      </c>
      <c r="BJ155">
        <f>DC!BJ32</f>
        <v>0</v>
      </c>
      <c r="BK155">
        <f>DC!BK32</f>
        <v>0</v>
      </c>
      <c r="BL155">
        <f>DC!BL32</f>
        <v>0</v>
      </c>
    </row>
    <row r="156" spans="1:64">
      <c r="A156">
        <f>DC!A33</f>
        <v>10</v>
      </c>
      <c r="B156" t="str">
        <f>DC!B33</f>
        <v>10:00-11:00</v>
      </c>
      <c r="C156">
        <f>DC!C33</f>
        <v>11</v>
      </c>
      <c r="D156" t="str">
        <f>DC!D33</f>
        <v>10:15-11:00</v>
      </c>
      <c r="E156">
        <f>DC!E33</f>
        <v>0</v>
      </c>
      <c r="F156">
        <f>DC!F33</f>
        <v>0</v>
      </c>
      <c r="G156">
        <f>DC!G33</f>
        <v>0</v>
      </c>
      <c r="H156">
        <f>DC!H33</f>
        <v>0</v>
      </c>
      <c r="I156">
        <f>DC!I33</f>
        <v>0</v>
      </c>
      <c r="J156">
        <f>DC!J33</f>
        <v>0</v>
      </c>
      <c r="K156">
        <f>DC!K33</f>
        <v>0</v>
      </c>
      <c r="L156">
        <f>DC!L33</f>
        <v>0</v>
      </c>
      <c r="M156">
        <f>DC!M33</f>
        <v>0</v>
      </c>
      <c r="N156">
        <f>DC!N33</f>
        <v>0</v>
      </c>
      <c r="O156">
        <f>DC!O33</f>
        <v>0</v>
      </c>
      <c r="P156">
        <f>DC!P33</f>
        <v>0</v>
      </c>
      <c r="Q156">
        <f>DC!Q33</f>
        <v>0</v>
      </c>
      <c r="R156">
        <f>DC!R33</f>
        <v>0</v>
      </c>
      <c r="S156">
        <f>DC!S33</f>
        <v>0</v>
      </c>
      <c r="T156">
        <f>DC!T33</f>
        <v>0</v>
      </c>
      <c r="U156">
        <f>DC!U33</f>
        <v>0</v>
      </c>
      <c r="V156">
        <f>DC!V33</f>
        <v>0</v>
      </c>
      <c r="W156">
        <f>DC!W33</f>
        <v>0</v>
      </c>
      <c r="X156">
        <f>DC!X33</f>
        <v>0</v>
      </c>
      <c r="Y156">
        <f>DC!Y33</f>
        <v>0</v>
      </c>
      <c r="Z156">
        <f>DC!Z33</f>
        <v>0</v>
      </c>
      <c r="AA156">
        <f>DC!AA33</f>
        <v>0</v>
      </c>
      <c r="AB156">
        <f>DC!AB33</f>
        <v>0</v>
      </c>
      <c r="AC156">
        <f>DC!AC33</f>
        <v>0</v>
      </c>
      <c r="AD156">
        <f>DC!AD33</f>
        <v>0</v>
      </c>
      <c r="AE156">
        <f>DC!AE33</f>
        <v>0</v>
      </c>
      <c r="AF156">
        <f>DC!AF33</f>
        <v>0</v>
      </c>
      <c r="AG156">
        <f>DC!AG33</f>
        <v>0</v>
      </c>
      <c r="AH156">
        <f>DC!AH33</f>
        <v>0</v>
      </c>
      <c r="AI156">
        <f>DC!AI33</f>
        <v>0</v>
      </c>
      <c r="AJ156">
        <f>DC!AJ33</f>
        <v>0</v>
      </c>
      <c r="AK156">
        <f>DC!AK33</f>
        <v>0</v>
      </c>
      <c r="AL156">
        <f>DC!AL33</f>
        <v>0</v>
      </c>
      <c r="AM156">
        <f>DC!AM33</f>
        <v>0</v>
      </c>
      <c r="AN156">
        <f>DC!AN33</f>
        <v>0</v>
      </c>
      <c r="AO156">
        <f>DC!AO33</f>
        <v>0</v>
      </c>
      <c r="AP156">
        <f>DC!AP33</f>
        <v>0</v>
      </c>
      <c r="AQ156">
        <f>DC!AQ33</f>
        <v>0</v>
      </c>
      <c r="AR156">
        <f>DC!AR33</f>
        <v>0</v>
      </c>
      <c r="AS156">
        <f>DC!AS33</f>
        <v>0</v>
      </c>
      <c r="AT156">
        <f>DC!AT33</f>
        <v>0</v>
      </c>
      <c r="AU156">
        <f>DC!AU33</f>
        <v>0</v>
      </c>
      <c r="AV156">
        <f>DC!AV33</f>
        <v>0</v>
      </c>
      <c r="AW156">
        <f>DC!AW33</f>
        <v>0</v>
      </c>
      <c r="AX156">
        <f>DC!AX33</f>
        <v>0</v>
      </c>
      <c r="AY156">
        <f>DC!AY33</f>
        <v>0</v>
      </c>
      <c r="AZ156">
        <f>DC!AZ33</f>
        <v>0</v>
      </c>
      <c r="BA156">
        <f>DC!BA33</f>
        <v>0</v>
      </c>
      <c r="BB156">
        <f>DC!BB33</f>
        <v>0</v>
      </c>
      <c r="BC156">
        <f>DC!BC33</f>
        <v>0</v>
      </c>
      <c r="BD156">
        <f>DC!BD33</f>
        <v>0</v>
      </c>
      <c r="BE156">
        <f>DC!BE33</f>
        <v>0</v>
      </c>
      <c r="BF156">
        <f>DC!BF33</f>
        <v>0</v>
      </c>
      <c r="BG156">
        <f>DC!BG33</f>
        <v>0</v>
      </c>
      <c r="BH156">
        <f>DC!BH33</f>
        <v>0</v>
      </c>
      <c r="BI156">
        <f>DC!BI33</f>
        <v>0</v>
      </c>
      <c r="BJ156">
        <f>DC!BJ33</f>
        <v>0</v>
      </c>
      <c r="BK156">
        <f>DC!BK33</f>
        <v>0</v>
      </c>
      <c r="BL156">
        <f>DC!BL33</f>
        <v>0</v>
      </c>
    </row>
    <row r="157" spans="1:64">
      <c r="A157">
        <f>DC!A34</f>
        <v>10</v>
      </c>
      <c r="B157" t="str">
        <f>DC!B34</f>
        <v>10:00-11:00</v>
      </c>
      <c r="C157">
        <f>DC!C34</f>
        <v>12</v>
      </c>
      <c r="D157" t="str">
        <f>DC!D34</f>
        <v>10:30-11:15</v>
      </c>
      <c r="E157">
        <f>DC!E34</f>
        <v>0</v>
      </c>
      <c r="F157">
        <f>DC!F34</f>
        <v>0</v>
      </c>
      <c r="G157">
        <f>DC!G34</f>
        <v>0</v>
      </c>
      <c r="H157">
        <f>DC!H34</f>
        <v>0</v>
      </c>
      <c r="I157">
        <f>DC!I34</f>
        <v>0</v>
      </c>
      <c r="J157">
        <f>DC!J34</f>
        <v>0</v>
      </c>
      <c r="K157">
        <f>DC!K34</f>
        <v>0</v>
      </c>
      <c r="L157">
        <f>DC!L34</f>
        <v>0</v>
      </c>
      <c r="M157">
        <f>DC!M34</f>
        <v>0</v>
      </c>
      <c r="N157">
        <f>DC!N34</f>
        <v>0</v>
      </c>
      <c r="O157">
        <f>DC!O34</f>
        <v>0</v>
      </c>
      <c r="P157">
        <f>DC!P34</f>
        <v>0</v>
      </c>
      <c r="Q157">
        <f>DC!Q34</f>
        <v>0</v>
      </c>
      <c r="R157">
        <f>DC!R34</f>
        <v>0</v>
      </c>
      <c r="S157">
        <f>DC!S34</f>
        <v>0</v>
      </c>
      <c r="T157">
        <f>DC!T34</f>
        <v>0</v>
      </c>
      <c r="U157">
        <f>DC!U34</f>
        <v>0</v>
      </c>
      <c r="V157">
        <f>DC!V34</f>
        <v>0</v>
      </c>
      <c r="W157">
        <f>DC!W34</f>
        <v>0</v>
      </c>
      <c r="X157">
        <f>DC!X34</f>
        <v>0</v>
      </c>
      <c r="Y157">
        <f>DC!Y34</f>
        <v>0</v>
      </c>
      <c r="Z157">
        <f>DC!Z34</f>
        <v>0</v>
      </c>
      <c r="AA157">
        <f>DC!AA34</f>
        <v>0</v>
      </c>
      <c r="AB157">
        <f>DC!AB34</f>
        <v>0</v>
      </c>
      <c r="AC157">
        <f>DC!AC34</f>
        <v>0</v>
      </c>
      <c r="AD157">
        <f>DC!AD34</f>
        <v>0</v>
      </c>
      <c r="AE157">
        <f>DC!AE34</f>
        <v>0</v>
      </c>
      <c r="AF157">
        <f>DC!AF34</f>
        <v>0</v>
      </c>
      <c r="AG157">
        <f>DC!AG34</f>
        <v>0</v>
      </c>
      <c r="AH157">
        <f>DC!AH34</f>
        <v>0</v>
      </c>
      <c r="AI157">
        <f>DC!AI34</f>
        <v>0</v>
      </c>
      <c r="AJ157">
        <f>DC!AJ34</f>
        <v>0</v>
      </c>
      <c r="AK157">
        <f>DC!AK34</f>
        <v>0</v>
      </c>
      <c r="AL157">
        <f>DC!AL34</f>
        <v>0</v>
      </c>
      <c r="AM157">
        <f>DC!AM34</f>
        <v>0</v>
      </c>
      <c r="AN157">
        <f>DC!AN34</f>
        <v>0</v>
      </c>
      <c r="AO157">
        <f>DC!AO34</f>
        <v>0</v>
      </c>
      <c r="AP157">
        <f>DC!AP34</f>
        <v>0</v>
      </c>
      <c r="AQ157">
        <f>DC!AQ34</f>
        <v>0</v>
      </c>
      <c r="AR157">
        <f>DC!AR34</f>
        <v>0</v>
      </c>
      <c r="AS157">
        <f>DC!AS34</f>
        <v>0</v>
      </c>
      <c r="AT157">
        <f>DC!AT34</f>
        <v>0</v>
      </c>
      <c r="AU157">
        <f>DC!AU34</f>
        <v>0</v>
      </c>
      <c r="AV157">
        <f>DC!AV34</f>
        <v>0</v>
      </c>
      <c r="AW157">
        <f>DC!AW34</f>
        <v>0</v>
      </c>
      <c r="AX157">
        <f>DC!AX34</f>
        <v>0</v>
      </c>
      <c r="AY157">
        <f>DC!AY34</f>
        <v>0</v>
      </c>
      <c r="AZ157">
        <f>DC!AZ34</f>
        <v>0</v>
      </c>
      <c r="BA157">
        <f>DC!BA34</f>
        <v>0</v>
      </c>
      <c r="BB157">
        <f>DC!BB34</f>
        <v>0</v>
      </c>
      <c r="BC157">
        <f>DC!BC34</f>
        <v>0</v>
      </c>
      <c r="BD157">
        <f>DC!BD34</f>
        <v>0</v>
      </c>
      <c r="BE157">
        <f>DC!BE34</f>
        <v>0</v>
      </c>
      <c r="BF157">
        <f>DC!BF34</f>
        <v>0</v>
      </c>
      <c r="BG157">
        <f>DC!BG34</f>
        <v>0</v>
      </c>
      <c r="BH157">
        <f>DC!BH34</f>
        <v>0</v>
      </c>
      <c r="BI157">
        <f>DC!BI34</f>
        <v>0</v>
      </c>
      <c r="BJ157">
        <f>DC!BJ34</f>
        <v>0</v>
      </c>
      <c r="BK157">
        <f>DC!BK34</f>
        <v>0</v>
      </c>
      <c r="BL157">
        <f>DC!BL34</f>
        <v>0</v>
      </c>
    </row>
    <row r="158" spans="1:64">
      <c r="A158">
        <f>DC!A35</f>
        <v>10</v>
      </c>
      <c r="B158" t="str">
        <f>DC!B35</f>
        <v>10:00-11:00</v>
      </c>
      <c r="C158">
        <f>DC!C35</f>
        <v>13</v>
      </c>
      <c r="D158" t="str">
        <f>DC!D35</f>
        <v>10:45-11:30</v>
      </c>
      <c r="E158">
        <f>DC!E35</f>
        <v>0</v>
      </c>
      <c r="F158">
        <f>DC!F35</f>
        <v>0</v>
      </c>
      <c r="G158">
        <f>DC!G35</f>
        <v>0</v>
      </c>
      <c r="H158">
        <f>DC!H35</f>
        <v>0</v>
      </c>
      <c r="I158">
        <f>DC!I35</f>
        <v>0</v>
      </c>
      <c r="J158">
        <f>DC!J35</f>
        <v>0</v>
      </c>
      <c r="K158">
        <f>DC!K35</f>
        <v>0</v>
      </c>
      <c r="L158">
        <f>DC!L35</f>
        <v>0</v>
      </c>
      <c r="M158">
        <f>DC!M35</f>
        <v>0</v>
      </c>
      <c r="N158">
        <f>DC!N35</f>
        <v>0</v>
      </c>
      <c r="O158">
        <f>DC!O35</f>
        <v>0</v>
      </c>
      <c r="P158">
        <f>DC!P35</f>
        <v>0</v>
      </c>
      <c r="Q158">
        <f>DC!Q35</f>
        <v>0</v>
      </c>
      <c r="R158">
        <f>DC!R35</f>
        <v>0</v>
      </c>
      <c r="S158">
        <f>DC!S35</f>
        <v>0</v>
      </c>
      <c r="T158">
        <f>DC!T35</f>
        <v>0</v>
      </c>
      <c r="U158">
        <f>DC!U35</f>
        <v>0</v>
      </c>
      <c r="V158">
        <f>DC!V35</f>
        <v>0</v>
      </c>
      <c r="W158">
        <f>DC!W35</f>
        <v>0</v>
      </c>
      <c r="X158">
        <f>DC!X35</f>
        <v>0</v>
      </c>
      <c r="Y158">
        <f>DC!Y35</f>
        <v>0</v>
      </c>
      <c r="Z158">
        <f>DC!Z35</f>
        <v>0</v>
      </c>
      <c r="AA158">
        <f>DC!AA35</f>
        <v>0</v>
      </c>
      <c r="AB158">
        <f>DC!AB35</f>
        <v>0</v>
      </c>
      <c r="AC158">
        <f>DC!AC35</f>
        <v>0</v>
      </c>
      <c r="AD158">
        <f>DC!AD35</f>
        <v>0</v>
      </c>
      <c r="AE158">
        <f>DC!AE35</f>
        <v>0</v>
      </c>
      <c r="AF158">
        <f>DC!AF35</f>
        <v>0</v>
      </c>
      <c r="AG158">
        <f>DC!AG35</f>
        <v>0</v>
      </c>
      <c r="AH158">
        <f>DC!AH35</f>
        <v>0</v>
      </c>
      <c r="AI158">
        <f>DC!AI35</f>
        <v>0</v>
      </c>
      <c r="AJ158">
        <f>DC!AJ35</f>
        <v>0</v>
      </c>
      <c r="AK158">
        <f>DC!AK35</f>
        <v>0</v>
      </c>
      <c r="AL158">
        <f>DC!AL35</f>
        <v>0</v>
      </c>
      <c r="AM158">
        <f>DC!AM35</f>
        <v>0</v>
      </c>
      <c r="AN158">
        <f>DC!AN35</f>
        <v>0</v>
      </c>
      <c r="AO158">
        <f>DC!AO35</f>
        <v>0</v>
      </c>
      <c r="AP158">
        <f>DC!AP35</f>
        <v>0</v>
      </c>
      <c r="AQ158">
        <f>DC!AQ35</f>
        <v>0</v>
      </c>
      <c r="AR158">
        <f>DC!AR35</f>
        <v>0</v>
      </c>
      <c r="AS158">
        <f>DC!AS35</f>
        <v>0</v>
      </c>
      <c r="AT158">
        <f>DC!AT35</f>
        <v>0</v>
      </c>
      <c r="AU158">
        <f>DC!AU35</f>
        <v>0</v>
      </c>
      <c r="AV158">
        <f>DC!AV35</f>
        <v>0</v>
      </c>
      <c r="AW158">
        <f>DC!AW35</f>
        <v>0</v>
      </c>
      <c r="AX158">
        <f>DC!AX35</f>
        <v>0</v>
      </c>
      <c r="AY158">
        <f>DC!AY35</f>
        <v>0</v>
      </c>
      <c r="AZ158">
        <f>DC!AZ35</f>
        <v>0</v>
      </c>
      <c r="BA158">
        <f>DC!BA35</f>
        <v>0</v>
      </c>
      <c r="BB158">
        <f>DC!BB35</f>
        <v>0</v>
      </c>
      <c r="BC158">
        <f>DC!BC35</f>
        <v>0</v>
      </c>
      <c r="BD158">
        <f>DC!BD35</f>
        <v>0</v>
      </c>
      <c r="BE158">
        <f>DC!BE35</f>
        <v>0</v>
      </c>
      <c r="BF158">
        <f>DC!BF35</f>
        <v>0</v>
      </c>
      <c r="BG158">
        <f>DC!BG35</f>
        <v>0</v>
      </c>
      <c r="BH158">
        <f>DC!BH35</f>
        <v>0</v>
      </c>
      <c r="BI158">
        <f>DC!BI35</f>
        <v>0</v>
      </c>
      <c r="BJ158">
        <f>DC!BJ35</f>
        <v>0</v>
      </c>
      <c r="BK158">
        <f>DC!BK35</f>
        <v>0</v>
      </c>
      <c r="BL158">
        <f>DC!BL35</f>
        <v>0</v>
      </c>
    </row>
    <row r="159" spans="1:64">
      <c r="A159">
        <f>DC!A36</f>
        <v>11</v>
      </c>
      <c r="B159" t="str">
        <f>DC!B36</f>
        <v>10:15-11:00</v>
      </c>
      <c r="C159">
        <f>DC!C36</f>
        <v>12</v>
      </c>
      <c r="D159" t="str">
        <f>DC!D36</f>
        <v>10:30-11:15</v>
      </c>
      <c r="E159">
        <f>DC!E36</f>
        <v>0</v>
      </c>
      <c r="F159">
        <f>DC!F36</f>
        <v>0</v>
      </c>
      <c r="G159">
        <f>DC!G36</f>
        <v>0</v>
      </c>
      <c r="H159">
        <f>DC!H36</f>
        <v>0</v>
      </c>
      <c r="I159">
        <f>DC!I36</f>
        <v>0</v>
      </c>
      <c r="J159">
        <f>DC!J36</f>
        <v>0</v>
      </c>
      <c r="K159">
        <f>DC!K36</f>
        <v>0</v>
      </c>
      <c r="L159">
        <f>DC!L36</f>
        <v>0</v>
      </c>
      <c r="M159">
        <f>DC!M36</f>
        <v>0</v>
      </c>
      <c r="N159">
        <f>DC!N36</f>
        <v>0</v>
      </c>
      <c r="O159">
        <f>DC!O36</f>
        <v>0</v>
      </c>
      <c r="P159">
        <f>DC!P36</f>
        <v>0</v>
      </c>
      <c r="Q159">
        <f>DC!Q36</f>
        <v>0</v>
      </c>
      <c r="R159">
        <f>DC!R36</f>
        <v>0</v>
      </c>
      <c r="S159">
        <f>DC!S36</f>
        <v>0</v>
      </c>
      <c r="T159">
        <f>DC!T36</f>
        <v>0</v>
      </c>
      <c r="U159">
        <f>DC!U36</f>
        <v>0</v>
      </c>
      <c r="V159">
        <f>DC!V36</f>
        <v>0</v>
      </c>
      <c r="W159">
        <f>DC!W36</f>
        <v>0</v>
      </c>
      <c r="X159">
        <f>DC!X36</f>
        <v>0</v>
      </c>
      <c r="Y159">
        <f>DC!Y36</f>
        <v>0</v>
      </c>
      <c r="Z159">
        <f>DC!Z36</f>
        <v>0</v>
      </c>
      <c r="AA159">
        <f>DC!AA36</f>
        <v>0</v>
      </c>
      <c r="AB159">
        <f>DC!AB36</f>
        <v>0</v>
      </c>
      <c r="AC159">
        <f>DC!AC36</f>
        <v>0</v>
      </c>
      <c r="AD159">
        <f>DC!AD36</f>
        <v>0</v>
      </c>
      <c r="AE159">
        <f>DC!AE36</f>
        <v>0</v>
      </c>
      <c r="AF159">
        <f>DC!AF36</f>
        <v>0</v>
      </c>
      <c r="AG159">
        <f>DC!AG36</f>
        <v>0</v>
      </c>
      <c r="AH159">
        <f>DC!AH36</f>
        <v>0</v>
      </c>
      <c r="AI159">
        <f>DC!AI36</f>
        <v>0</v>
      </c>
      <c r="AJ159">
        <f>DC!AJ36</f>
        <v>0</v>
      </c>
      <c r="AK159">
        <f>DC!AK36</f>
        <v>0</v>
      </c>
      <c r="AL159">
        <f>DC!AL36</f>
        <v>0</v>
      </c>
      <c r="AM159">
        <f>DC!AM36</f>
        <v>0</v>
      </c>
      <c r="AN159">
        <f>DC!AN36</f>
        <v>0</v>
      </c>
      <c r="AO159">
        <f>DC!AO36</f>
        <v>0</v>
      </c>
      <c r="AP159">
        <f>DC!AP36</f>
        <v>0</v>
      </c>
      <c r="AQ159">
        <f>DC!AQ36</f>
        <v>0</v>
      </c>
      <c r="AR159">
        <f>DC!AR36</f>
        <v>0</v>
      </c>
      <c r="AS159">
        <f>DC!AS36</f>
        <v>0</v>
      </c>
      <c r="AT159">
        <f>DC!AT36</f>
        <v>0</v>
      </c>
      <c r="AU159">
        <f>DC!AU36</f>
        <v>0</v>
      </c>
      <c r="AV159">
        <f>DC!AV36</f>
        <v>0</v>
      </c>
      <c r="AW159">
        <f>DC!AW36</f>
        <v>0</v>
      </c>
      <c r="AX159">
        <f>DC!AX36</f>
        <v>0</v>
      </c>
      <c r="AY159">
        <f>DC!AY36</f>
        <v>0</v>
      </c>
      <c r="AZ159">
        <f>DC!AZ36</f>
        <v>0</v>
      </c>
      <c r="BA159">
        <f>DC!BA36</f>
        <v>0</v>
      </c>
      <c r="BB159">
        <f>DC!BB36</f>
        <v>0</v>
      </c>
      <c r="BC159">
        <f>DC!BC36</f>
        <v>0</v>
      </c>
      <c r="BD159">
        <f>DC!BD36</f>
        <v>0</v>
      </c>
      <c r="BE159">
        <f>DC!BE36</f>
        <v>0</v>
      </c>
      <c r="BF159">
        <f>DC!BF36</f>
        <v>0</v>
      </c>
      <c r="BG159">
        <f>DC!BG36</f>
        <v>0</v>
      </c>
      <c r="BH159">
        <f>DC!BH36</f>
        <v>0</v>
      </c>
      <c r="BI159">
        <f>DC!BI36</f>
        <v>0</v>
      </c>
      <c r="BJ159">
        <f>DC!BJ36</f>
        <v>0</v>
      </c>
      <c r="BK159">
        <f>DC!BK36</f>
        <v>0</v>
      </c>
      <c r="BL159">
        <f>DC!BL36</f>
        <v>0</v>
      </c>
    </row>
    <row r="160" spans="1:64">
      <c r="A160">
        <f>DC!A37</f>
        <v>11</v>
      </c>
      <c r="B160" t="str">
        <f>DC!B37</f>
        <v>10:15-11:00</v>
      </c>
      <c r="C160">
        <f>DC!C37</f>
        <v>13</v>
      </c>
      <c r="D160" t="str">
        <f>DC!D37</f>
        <v>10:45-11:30</v>
      </c>
      <c r="E160">
        <f>DC!E37</f>
        <v>0</v>
      </c>
      <c r="F160">
        <f>DC!F37</f>
        <v>0</v>
      </c>
      <c r="G160">
        <f>DC!G37</f>
        <v>0</v>
      </c>
      <c r="H160">
        <f>DC!H37</f>
        <v>0</v>
      </c>
      <c r="I160">
        <f>DC!I37</f>
        <v>0</v>
      </c>
      <c r="J160">
        <f>DC!J37</f>
        <v>0</v>
      </c>
      <c r="K160">
        <f>DC!K37</f>
        <v>0</v>
      </c>
      <c r="L160">
        <f>DC!L37</f>
        <v>0</v>
      </c>
      <c r="M160">
        <f>DC!M37</f>
        <v>0</v>
      </c>
      <c r="N160">
        <f>DC!N37</f>
        <v>0</v>
      </c>
      <c r="O160">
        <f>DC!O37</f>
        <v>0</v>
      </c>
      <c r="P160">
        <f>DC!P37</f>
        <v>0</v>
      </c>
      <c r="Q160">
        <f>DC!Q37</f>
        <v>0</v>
      </c>
      <c r="R160">
        <f>DC!R37</f>
        <v>0</v>
      </c>
      <c r="S160">
        <f>DC!S37</f>
        <v>0</v>
      </c>
      <c r="T160">
        <f>DC!T37</f>
        <v>0</v>
      </c>
      <c r="U160">
        <f>DC!U37</f>
        <v>0</v>
      </c>
      <c r="V160">
        <f>DC!V37</f>
        <v>0</v>
      </c>
      <c r="W160">
        <f>DC!W37</f>
        <v>0</v>
      </c>
      <c r="X160">
        <f>DC!X37</f>
        <v>0</v>
      </c>
      <c r="Y160">
        <f>DC!Y37</f>
        <v>0</v>
      </c>
      <c r="Z160">
        <f>DC!Z37</f>
        <v>0</v>
      </c>
      <c r="AA160">
        <f>DC!AA37</f>
        <v>0</v>
      </c>
      <c r="AB160">
        <f>DC!AB37</f>
        <v>0</v>
      </c>
      <c r="AC160">
        <f>DC!AC37</f>
        <v>0</v>
      </c>
      <c r="AD160">
        <f>DC!AD37</f>
        <v>0</v>
      </c>
      <c r="AE160">
        <f>DC!AE37</f>
        <v>0</v>
      </c>
      <c r="AF160">
        <f>DC!AF37</f>
        <v>0</v>
      </c>
      <c r="AG160">
        <f>DC!AG37</f>
        <v>0</v>
      </c>
      <c r="AH160">
        <f>DC!AH37</f>
        <v>0</v>
      </c>
      <c r="AI160">
        <f>DC!AI37</f>
        <v>0</v>
      </c>
      <c r="AJ160">
        <f>DC!AJ37</f>
        <v>0</v>
      </c>
      <c r="AK160">
        <f>DC!AK37</f>
        <v>0</v>
      </c>
      <c r="AL160">
        <f>DC!AL37</f>
        <v>0</v>
      </c>
      <c r="AM160">
        <f>DC!AM37</f>
        <v>0</v>
      </c>
      <c r="AN160">
        <f>DC!AN37</f>
        <v>0</v>
      </c>
      <c r="AO160">
        <f>DC!AO37</f>
        <v>0</v>
      </c>
      <c r="AP160">
        <f>DC!AP37</f>
        <v>0</v>
      </c>
      <c r="AQ160">
        <f>DC!AQ37</f>
        <v>0</v>
      </c>
      <c r="AR160">
        <f>DC!AR37</f>
        <v>0</v>
      </c>
      <c r="AS160">
        <f>DC!AS37</f>
        <v>0</v>
      </c>
      <c r="AT160">
        <f>DC!AT37</f>
        <v>0</v>
      </c>
      <c r="AU160">
        <f>DC!AU37</f>
        <v>0</v>
      </c>
      <c r="AV160">
        <f>DC!AV37</f>
        <v>0</v>
      </c>
      <c r="AW160">
        <f>DC!AW37</f>
        <v>0</v>
      </c>
      <c r="AX160">
        <f>DC!AX37</f>
        <v>0</v>
      </c>
      <c r="AY160">
        <f>DC!AY37</f>
        <v>0</v>
      </c>
      <c r="AZ160">
        <f>DC!AZ37</f>
        <v>0</v>
      </c>
      <c r="BA160">
        <f>DC!BA37</f>
        <v>0</v>
      </c>
      <c r="BB160">
        <f>DC!BB37</f>
        <v>0</v>
      </c>
      <c r="BC160">
        <f>DC!BC37</f>
        <v>0</v>
      </c>
      <c r="BD160">
        <f>DC!BD37</f>
        <v>0</v>
      </c>
      <c r="BE160">
        <f>DC!BE37</f>
        <v>0</v>
      </c>
      <c r="BF160">
        <f>DC!BF37</f>
        <v>0</v>
      </c>
      <c r="BG160">
        <f>DC!BG37</f>
        <v>0</v>
      </c>
      <c r="BH160">
        <f>DC!BH37</f>
        <v>0</v>
      </c>
      <c r="BI160">
        <f>DC!BI37</f>
        <v>0</v>
      </c>
      <c r="BJ160">
        <f>DC!BJ37</f>
        <v>0</v>
      </c>
      <c r="BK160">
        <f>DC!BK37</f>
        <v>0</v>
      </c>
      <c r="BL160">
        <f>DC!BL37</f>
        <v>0</v>
      </c>
    </row>
    <row r="161" spans="1:64">
      <c r="A161">
        <f>DC!A38</f>
        <v>12</v>
      </c>
      <c r="B161" t="str">
        <f>DC!B38</f>
        <v>10:30-11:15</v>
      </c>
      <c r="C161">
        <f>DC!C38</f>
        <v>13</v>
      </c>
      <c r="D161" t="str">
        <f>DC!D38</f>
        <v>10:45-11:30</v>
      </c>
      <c r="E161">
        <f>DC!E38</f>
        <v>0</v>
      </c>
      <c r="F161">
        <f>DC!F38</f>
        <v>0</v>
      </c>
      <c r="G161">
        <f>DC!G38</f>
        <v>0</v>
      </c>
      <c r="H161">
        <f>DC!H38</f>
        <v>0</v>
      </c>
      <c r="I161">
        <f>DC!I38</f>
        <v>0</v>
      </c>
      <c r="J161">
        <f>DC!J38</f>
        <v>0</v>
      </c>
      <c r="K161">
        <f>DC!K38</f>
        <v>0</v>
      </c>
      <c r="L161">
        <f>DC!L38</f>
        <v>0</v>
      </c>
      <c r="M161">
        <f>DC!M38</f>
        <v>0</v>
      </c>
      <c r="N161">
        <f>DC!N38</f>
        <v>0</v>
      </c>
      <c r="O161">
        <f>DC!O38</f>
        <v>0</v>
      </c>
      <c r="P161">
        <f>DC!P38</f>
        <v>0</v>
      </c>
      <c r="Q161">
        <f>DC!Q38</f>
        <v>0</v>
      </c>
      <c r="R161">
        <f>DC!R38</f>
        <v>0</v>
      </c>
      <c r="S161">
        <f>DC!S38</f>
        <v>0</v>
      </c>
      <c r="T161">
        <f>DC!T38</f>
        <v>0</v>
      </c>
      <c r="U161">
        <f>DC!U38</f>
        <v>0</v>
      </c>
      <c r="V161">
        <f>DC!V38</f>
        <v>0</v>
      </c>
      <c r="W161">
        <f>DC!W38</f>
        <v>0</v>
      </c>
      <c r="X161">
        <f>DC!X38</f>
        <v>0</v>
      </c>
      <c r="Y161">
        <f>DC!Y38</f>
        <v>0</v>
      </c>
      <c r="Z161">
        <f>DC!Z38</f>
        <v>0</v>
      </c>
      <c r="AA161">
        <f>DC!AA38</f>
        <v>0</v>
      </c>
      <c r="AB161">
        <f>DC!AB38</f>
        <v>0</v>
      </c>
      <c r="AC161">
        <f>DC!AC38</f>
        <v>0</v>
      </c>
      <c r="AD161">
        <f>DC!AD38</f>
        <v>0</v>
      </c>
      <c r="AE161">
        <f>DC!AE38</f>
        <v>0</v>
      </c>
      <c r="AF161">
        <f>DC!AF38</f>
        <v>0</v>
      </c>
      <c r="AG161">
        <f>DC!AG38</f>
        <v>0</v>
      </c>
      <c r="AH161">
        <f>DC!AH38</f>
        <v>0</v>
      </c>
      <c r="AI161">
        <f>DC!AI38</f>
        <v>0</v>
      </c>
      <c r="AJ161">
        <f>DC!AJ38</f>
        <v>0</v>
      </c>
      <c r="AK161">
        <f>DC!AK38</f>
        <v>0</v>
      </c>
      <c r="AL161">
        <f>DC!AL38</f>
        <v>0</v>
      </c>
      <c r="AM161">
        <f>DC!AM38</f>
        <v>0</v>
      </c>
      <c r="AN161">
        <f>DC!AN38</f>
        <v>0</v>
      </c>
      <c r="AO161">
        <f>DC!AO38</f>
        <v>0</v>
      </c>
      <c r="AP161">
        <f>DC!AP38</f>
        <v>0</v>
      </c>
      <c r="AQ161">
        <f>DC!AQ38</f>
        <v>0</v>
      </c>
      <c r="AR161">
        <f>DC!AR38</f>
        <v>0</v>
      </c>
      <c r="AS161">
        <f>DC!AS38</f>
        <v>0</v>
      </c>
      <c r="AT161">
        <f>DC!AT38</f>
        <v>0</v>
      </c>
      <c r="AU161">
        <f>DC!AU38</f>
        <v>0</v>
      </c>
      <c r="AV161">
        <f>DC!AV38</f>
        <v>0</v>
      </c>
      <c r="AW161">
        <f>DC!AW38</f>
        <v>0</v>
      </c>
      <c r="AX161">
        <f>DC!AX38</f>
        <v>0</v>
      </c>
      <c r="AY161">
        <f>DC!AY38</f>
        <v>0</v>
      </c>
      <c r="AZ161">
        <f>DC!AZ38</f>
        <v>0</v>
      </c>
      <c r="BA161">
        <f>DC!BA38</f>
        <v>0</v>
      </c>
      <c r="BB161">
        <f>DC!BB38</f>
        <v>0</v>
      </c>
      <c r="BC161">
        <f>DC!BC38</f>
        <v>0</v>
      </c>
      <c r="BD161">
        <f>DC!BD38</f>
        <v>0</v>
      </c>
      <c r="BE161">
        <f>DC!BE38</f>
        <v>0</v>
      </c>
      <c r="BF161">
        <f>DC!BF38</f>
        <v>0</v>
      </c>
      <c r="BG161">
        <f>DC!BG38</f>
        <v>0</v>
      </c>
      <c r="BH161">
        <f>DC!BH38</f>
        <v>0</v>
      </c>
      <c r="BI161">
        <f>DC!BI38</f>
        <v>0</v>
      </c>
      <c r="BJ161">
        <f>DC!BJ38</f>
        <v>0</v>
      </c>
      <c r="BK161">
        <f>DC!BK38</f>
        <v>0</v>
      </c>
      <c r="BL161">
        <f>DC!BL38</f>
        <v>0</v>
      </c>
    </row>
    <row r="162" spans="1:64">
      <c r="A162">
        <f>DC!A39</f>
        <v>12</v>
      </c>
      <c r="B162" t="str">
        <f>DC!B39</f>
        <v>10:30-11:15</v>
      </c>
      <c r="C162">
        <f>DC!C39</f>
        <v>14</v>
      </c>
      <c r="D162" t="str">
        <f>DC!D39</f>
        <v>11:00-12:00</v>
      </c>
      <c r="E162">
        <f>DC!E39</f>
        <v>0</v>
      </c>
      <c r="F162">
        <f>DC!F39</f>
        <v>0</v>
      </c>
      <c r="G162">
        <f>DC!G39</f>
        <v>0</v>
      </c>
      <c r="H162">
        <f>DC!H39</f>
        <v>0</v>
      </c>
      <c r="I162">
        <f>DC!I39</f>
        <v>0</v>
      </c>
      <c r="J162">
        <f>DC!J39</f>
        <v>0</v>
      </c>
      <c r="K162">
        <f>DC!K39</f>
        <v>0</v>
      </c>
      <c r="L162">
        <f>DC!L39</f>
        <v>0</v>
      </c>
      <c r="M162">
        <f>DC!M39</f>
        <v>0</v>
      </c>
      <c r="N162">
        <f>DC!N39</f>
        <v>0</v>
      </c>
      <c r="O162">
        <f>DC!O39</f>
        <v>0</v>
      </c>
      <c r="P162">
        <f>DC!P39</f>
        <v>0</v>
      </c>
      <c r="Q162">
        <f>DC!Q39</f>
        <v>0</v>
      </c>
      <c r="R162">
        <f>DC!R39</f>
        <v>0</v>
      </c>
      <c r="S162">
        <f>DC!S39</f>
        <v>0</v>
      </c>
      <c r="T162">
        <f>DC!T39</f>
        <v>0</v>
      </c>
      <c r="U162">
        <f>DC!U39</f>
        <v>0</v>
      </c>
      <c r="V162">
        <f>DC!V39</f>
        <v>0</v>
      </c>
      <c r="W162">
        <f>DC!W39</f>
        <v>0</v>
      </c>
      <c r="X162">
        <f>DC!X39</f>
        <v>0</v>
      </c>
      <c r="Y162">
        <f>DC!Y39</f>
        <v>0</v>
      </c>
      <c r="Z162">
        <f>DC!Z39</f>
        <v>0</v>
      </c>
      <c r="AA162">
        <f>DC!AA39</f>
        <v>0</v>
      </c>
      <c r="AB162">
        <f>DC!AB39</f>
        <v>0</v>
      </c>
      <c r="AC162">
        <f>DC!AC39</f>
        <v>0</v>
      </c>
      <c r="AD162">
        <f>DC!AD39</f>
        <v>0</v>
      </c>
      <c r="AE162">
        <f>DC!AE39</f>
        <v>0</v>
      </c>
      <c r="AF162">
        <f>DC!AF39</f>
        <v>0</v>
      </c>
      <c r="AG162">
        <f>DC!AG39</f>
        <v>0</v>
      </c>
      <c r="AH162">
        <f>DC!AH39</f>
        <v>0</v>
      </c>
      <c r="AI162">
        <f>DC!AI39</f>
        <v>0</v>
      </c>
      <c r="AJ162">
        <f>DC!AJ39</f>
        <v>0</v>
      </c>
      <c r="AK162">
        <f>DC!AK39</f>
        <v>0</v>
      </c>
      <c r="AL162">
        <f>DC!AL39</f>
        <v>0</v>
      </c>
      <c r="AM162">
        <f>DC!AM39</f>
        <v>0</v>
      </c>
      <c r="AN162">
        <f>DC!AN39</f>
        <v>0</v>
      </c>
      <c r="AO162">
        <f>DC!AO39</f>
        <v>0</v>
      </c>
      <c r="AP162">
        <f>DC!AP39</f>
        <v>0</v>
      </c>
      <c r="AQ162">
        <f>DC!AQ39</f>
        <v>0</v>
      </c>
      <c r="AR162">
        <f>DC!AR39</f>
        <v>0</v>
      </c>
      <c r="AS162">
        <f>DC!AS39</f>
        <v>0</v>
      </c>
      <c r="AT162">
        <f>DC!AT39</f>
        <v>0</v>
      </c>
      <c r="AU162">
        <f>DC!AU39</f>
        <v>0</v>
      </c>
      <c r="AV162">
        <f>DC!AV39</f>
        <v>0</v>
      </c>
      <c r="AW162">
        <f>DC!AW39</f>
        <v>0</v>
      </c>
      <c r="AX162">
        <f>DC!AX39</f>
        <v>0</v>
      </c>
      <c r="AY162">
        <f>DC!AY39</f>
        <v>0</v>
      </c>
      <c r="AZ162">
        <f>DC!AZ39</f>
        <v>0</v>
      </c>
      <c r="BA162">
        <f>DC!BA39</f>
        <v>0</v>
      </c>
      <c r="BB162">
        <f>DC!BB39</f>
        <v>0</v>
      </c>
      <c r="BC162">
        <f>DC!BC39</f>
        <v>0</v>
      </c>
      <c r="BD162">
        <f>DC!BD39</f>
        <v>0</v>
      </c>
      <c r="BE162">
        <f>DC!BE39</f>
        <v>0</v>
      </c>
      <c r="BF162">
        <f>DC!BF39</f>
        <v>0</v>
      </c>
      <c r="BG162">
        <f>DC!BG39</f>
        <v>0</v>
      </c>
      <c r="BH162">
        <f>DC!BH39</f>
        <v>0</v>
      </c>
      <c r="BI162">
        <f>DC!BI39</f>
        <v>0</v>
      </c>
      <c r="BJ162">
        <f>DC!BJ39</f>
        <v>0</v>
      </c>
      <c r="BK162">
        <f>DC!BK39</f>
        <v>0</v>
      </c>
      <c r="BL162">
        <f>DC!BL39</f>
        <v>0</v>
      </c>
    </row>
    <row r="163" spans="1:64">
      <c r="A163">
        <f>DC!A40</f>
        <v>13</v>
      </c>
      <c r="B163" t="str">
        <f>DC!B40</f>
        <v>10:45-11:30</v>
      </c>
      <c r="C163">
        <f>DC!C40</f>
        <v>14</v>
      </c>
      <c r="D163" t="str">
        <f>DC!D40</f>
        <v>11:00-12:00</v>
      </c>
      <c r="E163">
        <f>DC!E40</f>
        <v>0</v>
      </c>
      <c r="F163">
        <f>DC!F40</f>
        <v>0</v>
      </c>
      <c r="G163">
        <f>DC!G40</f>
        <v>0</v>
      </c>
      <c r="H163">
        <f>DC!H40</f>
        <v>0</v>
      </c>
      <c r="I163">
        <f>DC!I40</f>
        <v>0</v>
      </c>
      <c r="J163">
        <f>DC!J40</f>
        <v>0</v>
      </c>
      <c r="K163">
        <f>DC!K40</f>
        <v>0</v>
      </c>
      <c r="L163">
        <f>DC!L40</f>
        <v>0</v>
      </c>
      <c r="M163">
        <f>DC!M40</f>
        <v>0</v>
      </c>
      <c r="N163">
        <f>DC!N40</f>
        <v>0</v>
      </c>
      <c r="O163">
        <f>DC!O40</f>
        <v>0</v>
      </c>
      <c r="P163">
        <f>DC!P40</f>
        <v>0</v>
      </c>
      <c r="Q163">
        <f>DC!Q40</f>
        <v>0</v>
      </c>
      <c r="R163">
        <f>DC!R40</f>
        <v>0</v>
      </c>
      <c r="S163">
        <f>DC!S40</f>
        <v>0</v>
      </c>
      <c r="T163">
        <f>DC!T40</f>
        <v>0</v>
      </c>
      <c r="U163">
        <f>DC!U40</f>
        <v>0</v>
      </c>
      <c r="V163">
        <f>DC!V40</f>
        <v>0</v>
      </c>
      <c r="W163">
        <f>DC!W40</f>
        <v>0</v>
      </c>
      <c r="X163">
        <f>DC!X40</f>
        <v>0</v>
      </c>
      <c r="Y163">
        <f>DC!Y40</f>
        <v>0</v>
      </c>
      <c r="Z163">
        <f>DC!Z40</f>
        <v>0</v>
      </c>
      <c r="AA163">
        <f>DC!AA40</f>
        <v>0</v>
      </c>
      <c r="AB163">
        <f>DC!AB40</f>
        <v>0</v>
      </c>
      <c r="AC163">
        <f>DC!AC40</f>
        <v>0</v>
      </c>
      <c r="AD163">
        <f>DC!AD40</f>
        <v>0</v>
      </c>
      <c r="AE163">
        <f>DC!AE40</f>
        <v>0</v>
      </c>
      <c r="AF163">
        <f>DC!AF40</f>
        <v>0</v>
      </c>
      <c r="AG163">
        <f>DC!AG40</f>
        <v>0</v>
      </c>
      <c r="AH163">
        <f>DC!AH40</f>
        <v>0</v>
      </c>
      <c r="AI163">
        <f>DC!AI40</f>
        <v>0</v>
      </c>
      <c r="AJ163">
        <f>DC!AJ40</f>
        <v>0</v>
      </c>
      <c r="AK163">
        <f>DC!AK40</f>
        <v>0</v>
      </c>
      <c r="AL163">
        <f>DC!AL40</f>
        <v>0</v>
      </c>
      <c r="AM163">
        <f>DC!AM40</f>
        <v>0</v>
      </c>
      <c r="AN163">
        <f>DC!AN40</f>
        <v>0</v>
      </c>
      <c r="AO163">
        <f>DC!AO40</f>
        <v>0</v>
      </c>
      <c r="AP163">
        <f>DC!AP40</f>
        <v>0</v>
      </c>
      <c r="AQ163">
        <f>DC!AQ40</f>
        <v>0</v>
      </c>
      <c r="AR163">
        <f>DC!AR40</f>
        <v>0</v>
      </c>
      <c r="AS163">
        <f>DC!AS40</f>
        <v>0</v>
      </c>
      <c r="AT163">
        <f>DC!AT40</f>
        <v>0</v>
      </c>
      <c r="AU163">
        <f>DC!AU40</f>
        <v>0</v>
      </c>
      <c r="AV163">
        <f>DC!AV40</f>
        <v>0</v>
      </c>
      <c r="AW163">
        <f>DC!AW40</f>
        <v>0</v>
      </c>
      <c r="AX163">
        <f>DC!AX40</f>
        <v>0</v>
      </c>
      <c r="AY163">
        <f>DC!AY40</f>
        <v>0</v>
      </c>
      <c r="AZ163">
        <f>DC!AZ40</f>
        <v>0</v>
      </c>
      <c r="BA163">
        <f>DC!BA40</f>
        <v>0</v>
      </c>
      <c r="BB163">
        <f>DC!BB40</f>
        <v>0</v>
      </c>
      <c r="BC163">
        <f>DC!BC40</f>
        <v>0</v>
      </c>
      <c r="BD163">
        <f>DC!BD40</f>
        <v>0</v>
      </c>
      <c r="BE163">
        <f>DC!BE40</f>
        <v>0</v>
      </c>
      <c r="BF163">
        <f>DC!BF40</f>
        <v>0</v>
      </c>
      <c r="BG163">
        <f>DC!BG40</f>
        <v>0</v>
      </c>
      <c r="BH163">
        <f>DC!BH40</f>
        <v>0</v>
      </c>
      <c r="BI163">
        <f>DC!BI40</f>
        <v>0</v>
      </c>
      <c r="BJ163">
        <f>DC!BJ40</f>
        <v>0</v>
      </c>
      <c r="BK163">
        <f>DC!BK40</f>
        <v>0</v>
      </c>
      <c r="BL163">
        <f>DC!BL40</f>
        <v>0</v>
      </c>
    </row>
    <row r="164" spans="1:64">
      <c r="A164">
        <f>DC!A41</f>
        <v>13</v>
      </c>
      <c r="B164" t="str">
        <f>DC!B41</f>
        <v>10:45-11:30</v>
      </c>
      <c r="C164">
        <f>DC!C41</f>
        <v>15</v>
      </c>
      <c r="D164" t="str">
        <f>DC!D41</f>
        <v>11:15-12:00</v>
      </c>
      <c r="E164">
        <f>DC!E41</f>
        <v>0</v>
      </c>
      <c r="F164">
        <f>DC!F41</f>
        <v>0</v>
      </c>
      <c r="G164">
        <f>DC!G41</f>
        <v>0</v>
      </c>
      <c r="H164">
        <f>DC!H41</f>
        <v>0</v>
      </c>
      <c r="I164">
        <f>DC!I41</f>
        <v>0</v>
      </c>
      <c r="J164">
        <f>DC!J41</f>
        <v>1</v>
      </c>
      <c r="K164">
        <f>DC!K41</f>
        <v>0</v>
      </c>
      <c r="L164">
        <f>DC!L41</f>
        <v>0</v>
      </c>
      <c r="M164">
        <f>DC!M41</f>
        <v>0</v>
      </c>
      <c r="N164">
        <f>DC!N41</f>
        <v>0</v>
      </c>
      <c r="O164">
        <f>DC!O41</f>
        <v>0</v>
      </c>
      <c r="P164">
        <f>DC!P41</f>
        <v>0</v>
      </c>
      <c r="Q164">
        <f>DC!Q41</f>
        <v>0</v>
      </c>
      <c r="R164">
        <f>DC!R41</f>
        <v>0</v>
      </c>
      <c r="S164">
        <f>DC!S41</f>
        <v>0</v>
      </c>
      <c r="T164">
        <f>DC!T41</f>
        <v>0</v>
      </c>
      <c r="U164">
        <f>DC!U41</f>
        <v>0</v>
      </c>
      <c r="V164">
        <f>DC!V41</f>
        <v>0</v>
      </c>
      <c r="W164">
        <f>DC!W41</f>
        <v>0</v>
      </c>
      <c r="X164">
        <f>DC!X41</f>
        <v>0</v>
      </c>
      <c r="Y164">
        <f>DC!Y41</f>
        <v>0</v>
      </c>
      <c r="Z164">
        <f>DC!Z41</f>
        <v>0</v>
      </c>
      <c r="AA164">
        <f>DC!AA41</f>
        <v>0</v>
      </c>
      <c r="AB164">
        <f>DC!AB41</f>
        <v>0</v>
      </c>
      <c r="AC164">
        <f>DC!AC41</f>
        <v>0</v>
      </c>
      <c r="AD164">
        <f>DC!AD41</f>
        <v>0</v>
      </c>
      <c r="AE164">
        <f>DC!AE41</f>
        <v>0</v>
      </c>
      <c r="AF164">
        <f>DC!AF41</f>
        <v>0</v>
      </c>
      <c r="AG164">
        <f>DC!AG41</f>
        <v>0</v>
      </c>
      <c r="AH164">
        <f>DC!AH41</f>
        <v>0</v>
      </c>
      <c r="AI164">
        <f>DC!AI41</f>
        <v>0</v>
      </c>
      <c r="AJ164">
        <f>DC!AJ41</f>
        <v>0</v>
      </c>
      <c r="AK164">
        <f>DC!AK41</f>
        <v>0</v>
      </c>
      <c r="AL164">
        <f>DC!AL41</f>
        <v>0</v>
      </c>
      <c r="AM164">
        <f>DC!AM41</f>
        <v>0</v>
      </c>
      <c r="AN164">
        <f>DC!AN41</f>
        <v>0</v>
      </c>
      <c r="AO164">
        <f>DC!AO41</f>
        <v>0</v>
      </c>
      <c r="AP164">
        <f>DC!AP41</f>
        <v>0</v>
      </c>
      <c r="AQ164">
        <f>DC!AQ41</f>
        <v>0</v>
      </c>
      <c r="AR164">
        <f>DC!AR41</f>
        <v>0</v>
      </c>
      <c r="AS164">
        <f>DC!AS41</f>
        <v>0</v>
      </c>
      <c r="AT164">
        <f>DC!AT41</f>
        <v>0</v>
      </c>
      <c r="AU164">
        <f>DC!AU41</f>
        <v>0</v>
      </c>
      <c r="AV164">
        <f>DC!AV41</f>
        <v>0</v>
      </c>
      <c r="AW164">
        <f>DC!AW41</f>
        <v>0</v>
      </c>
      <c r="AX164">
        <f>DC!AX41</f>
        <v>0</v>
      </c>
      <c r="AY164">
        <f>DC!AY41</f>
        <v>0</v>
      </c>
      <c r="AZ164">
        <f>DC!AZ41</f>
        <v>0</v>
      </c>
      <c r="BA164">
        <f>DC!BA41</f>
        <v>0</v>
      </c>
      <c r="BB164">
        <f>DC!BB41</f>
        <v>0</v>
      </c>
      <c r="BC164">
        <f>DC!BC41</f>
        <v>0</v>
      </c>
      <c r="BD164">
        <f>DC!BD41</f>
        <v>0</v>
      </c>
      <c r="BE164">
        <f>DC!BE41</f>
        <v>0</v>
      </c>
      <c r="BF164">
        <f>DC!BF41</f>
        <v>0</v>
      </c>
      <c r="BG164">
        <f>DC!BG41</f>
        <v>0</v>
      </c>
      <c r="BH164">
        <f>DC!BH41</f>
        <v>0</v>
      </c>
      <c r="BI164">
        <f>DC!BI41</f>
        <v>0</v>
      </c>
      <c r="BJ164">
        <f>DC!BJ41</f>
        <v>0</v>
      </c>
      <c r="BK164">
        <f>DC!BK41</f>
        <v>0</v>
      </c>
      <c r="BL164">
        <f>DC!BL41</f>
        <v>0</v>
      </c>
    </row>
    <row r="165" spans="1:64">
      <c r="A165">
        <f>DC!A42</f>
        <v>14</v>
      </c>
      <c r="B165" t="str">
        <f>DC!B42</f>
        <v>11:00-12:00</v>
      </c>
      <c r="C165">
        <f>DC!C42</f>
        <v>15</v>
      </c>
      <c r="D165" t="str">
        <f>DC!D42</f>
        <v>11:15-12:00</v>
      </c>
      <c r="E165">
        <f>DC!E42</f>
        <v>0</v>
      </c>
      <c r="F165">
        <f>DC!F42</f>
        <v>0</v>
      </c>
      <c r="G165">
        <f>DC!G42</f>
        <v>0</v>
      </c>
      <c r="H165">
        <f>DC!H42</f>
        <v>0</v>
      </c>
      <c r="I165">
        <f>DC!I42</f>
        <v>0</v>
      </c>
      <c r="J165">
        <f>DC!J42</f>
        <v>1</v>
      </c>
      <c r="K165">
        <f>DC!K42</f>
        <v>0</v>
      </c>
      <c r="L165">
        <f>DC!L42</f>
        <v>0</v>
      </c>
      <c r="M165">
        <f>DC!M42</f>
        <v>0</v>
      </c>
      <c r="N165">
        <f>DC!N42</f>
        <v>0</v>
      </c>
      <c r="O165">
        <f>DC!O42</f>
        <v>0</v>
      </c>
      <c r="P165">
        <f>DC!P42</f>
        <v>0</v>
      </c>
      <c r="Q165">
        <f>DC!Q42</f>
        <v>0</v>
      </c>
      <c r="R165">
        <f>DC!R42</f>
        <v>0</v>
      </c>
      <c r="S165">
        <f>DC!S42</f>
        <v>0</v>
      </c>
      <c r="T165">
        <f>DC!T42</f>
        <v>0</v>
      </c>
      <c r="U165">
        <f>DC!U42</f>
        <v>0</v>
      </c>
      <c r="V165">
        <f>DC!V42</f>
        <v>0</v>
      </c>
      <c r="W165">
        <f>DC!W42</f>
        <v>0</v>
      </c>
      <c r="X165">
        <f>DC!X42</f>
        <v>0</v>
      </c>
      <c r="Y165">
        <f>DC!Y42</f>
        <v>0</v>
      </c>
      <c r="Z165">
        <f>DC!Z42</f>
        <v>0</v>
      </c>
      <c r="AA165">
        <f>DC!AA42</f>
        <v>0</v>
      </c>
      <c r="AB165">
        <f>DC!AB42</f>
        <v>0</v>
      </c>
      <c r="AC165">
        <f>DC!AC42</f>
        <v>0</v>
      </c>
      <c r="AD165">
        <f>DC!AD42</f>
        <v>0</v>
      </c>
      <c r="AE165">
        <f>DC!AE42</f>
        <v>0</v>
      </c>
      <c r="AF165">
        <f>DC!AF42</f>
        <v>0</v>
      </c>
      <c r="AG165">
        <f>DC!AG42</f>
        <v>0</v>
      </c>
      <c r="AH165">
        <f>DC!AH42</f>
        <v>0</v>
      </c>
      <c r="AI165">
        <f>DC!AI42</f>
        <v>0</v>
      </c>
      <c r="AJ165">
        <f>DC!AJ42</f>
        <v>0</v>
      </c>
      <c r="AK165">
        <f>DC!AK42</f>
        <v>0</v>
      </c>
      <c r="AL165">
        <f>DC!AL42</f>
        <v>0</v>
      </c>
      <c r="AM165">
        <f>DC!AM42</f>
        <v>0</v>
      </c>
      <c r="AN165">
        <f>DC!AN42</f>
        <v>0</v>
      </c>
      <c r="AO165">
        <f>DC!AO42</f>
        <v>0</v>
      </c>
      <c r="AP165">
        <f>DC!AP42</f>
        <v>0</v>
      </c>
      <c r="AQ165">
        <f>DC!AQ42</f>
        <v>0</v>
      </c>
      <c r="AR165">
        <f>DC!AR42</f>
        <v>0</v>
      </c>
      <c r="AS165">
        <f>DC!AS42</f>
        <v>0</v>
      </c>
      <c r="AT165">
        <f>DC!AT42</f>
        <v>0</v>
      </c>
      <c r="AU165">
        <f>DC!AU42</f>
        <v>0</v>
      </c>
      <c r="AV165">
        <f>DC!AV42</f>
        <v>0</v>
      </c>
      <c r="AW165">
        <f>DC!AW42</f>
        <v>0</v>
      </c>
      <c r="AX165">
        <f>DC!AX42</f>
        <v>0</v>
      </c>
      <c r="AY165">
        <f>DC!AY42</f>
        <v>0</v>
      </c>
      <c r="AZ165">
        <f>DC!AZ42</f>
        <v>0</v>
      </c>
      <c r="BA165">
        <f>DC!BA42</f>
        <v>0</v>
      </c>
      <c r="BB165">
        <f>DC!BB42</f>
        <v>0</v>
      </c>
      <c r="BC165">
        <f>DC!BC42</f>
        <v>0</v>
      </c>
      <c r="BD165">
        <f>DC!BD42</f>
        <v>0</v>
      </c>
      <c r="BE165">
        <f>DC!BE42</f>
        <v>0</v>
      </c>
      <c r="BF165">
        <f>DC!BF42</f>
        <v>0</v>
      </c>
      <c r="BG165">
        <f>DC!BG42</f>
        <v>0</v>
      </c>
      <c r="BH165">
        <f>DC!BH42</f>
        <v>0</v>
      </c>
      <c r="BI165">
        <f>DC!BI42</f>
        <v>0</v>
      </c>
      <c r="BJ165">
        <f>DC!BJ42</f>
        <v>0</v>
      </c>
      <c r="BK165">
        <f>DC!BK42</f>
        <v>0</v>
      </c>
      <c r="BL165">
        <f>DC!BL42</f>
        <v>0</v>
      </c>
    </row>
    <row r="166" spans="1:64">
      <c r="A166">
        <f>DC!A43</f>
        <v>14</v>
      </c>
      <c r="B166" t="str">
        <f>DC!B43</f>
        <v>11:00-12:00</v>
      </c>
      <c r="C166">
        <f>DC!C43</f>
        <v>16</v>
      </c>
      <c r="D166" t="str">
        <f>DC!D43</f>
        <v>11:30-12:15</v>
      </c>
      <c r="E166">
        <f>DC!E43</f>
        <v>0</v>
      </c>
      <c r="F166">
        <f>DC!F43</f>
        <v>0</v>
      </c>
      <c r="G166">
        <f>DC!G43</f>
        <v>0</v>
      </c>
      <c r="H166">
        <f>DC!H43</f>
        <v>0</v>
      </c>
      <c r="I166">
        <f>DC!I43</f>
        <v>0</v>
      </c>
      <c r="J166">
        <f>DC!J43</f>
        <v>0</v>
      </c>
      <c r="K166">
        <f>DC!K43</f>
        <v>0</v>
      </c>
      <c r="L166">
        <f>DC!L43</f>
        <v>0</v>
      </c>
      <c r="M166">
        <f>DC!M43</f>
        <v>0</v>
      </c>
      <c r="N166">
        <f>DC!N43</f>
        <v>0</v>
      </c>
      <c r="O166">
        <f>DC!O43</f>
        <v>0</v>
      </c>
      <c r="P166">
        <f>DC!P43</f>
        <v>0</v>
      </c>
      <c r="Q166">
        <f>DC!Q43</f>
        <v>0</v>
      </c>
      <c r="R166">
        <f>DC!R43</f>
        <v>0</v>
      </c>
      <c r="S166">
        <f>DC!S43</f>
        <v>0</v>
      </c>
      <c r="T166">
        <f>DC!T43</f>
        <v>0</v>
      </c>
      <c r="U166">
        <f>DC!U43</f>
        <v>0</v>
      </c>
      <c r="V166">
        <f>DC!V43</f>
        <v>0</v>
      </c>
      <c r="W166">
        <f>DC!W43</f>
        <v>0</v>
      </c>
      <c r="X166">
        <f>DC!X43</f>
        <v>0</v>
      </c>
      <c r="Y166">
        <f>DC!Y43</f>
        <v>0</v>
      </c>
      <c r="Z166">
        <f>DC!Z43</f>
        <v>0</v>
      </c>
      <c r="AA166">
        <f>DC!AA43</f>
        <v>0</v>
      </c>
      <c r="AB166">
        <f>DC!AB43</f>
        <v>0</v>
      </c>
      <c r="AC166">
        <f>DC!AC43</f>
        <v>0</v>
      </c>
      <c r="AD166">
        <f>DC!AD43</f>
        <v>0</v>
      </c>
      <c r="AE166">
        <f>DC!AE43</f>
        <v>0</v>
      </c>
      <c r="AF166">
        <f>DC!AF43</f>
        <v>0</v>
      </c>
      <c r="AG166">
        <f>DC!AG43</f>
        <v>0</v>
      </c>
      <c r="AH166">
        <f>DC!AH43</f>
        <v>0</v>
      </c>
      <c r="AI166">
        <f>DC!AI43</f>
        <v>0</v>
      </c>
      <c r="AJ166">
        <f>DC!AJ43</f>
        <v>0</v>
      </c>
      <c r="AK166">
        <f>DC!AK43</f>
        <v>0</v>
      </c>
      <c r="AL166">
        <f>DC!AL43</f>
        <v>0</v>
      </c>
      <c r="AM166">
        <f>DC!AM43</f>
        <v>0</v>
      </c>
      <c r="AN166">
        <f>DC!AN43</f>
        <v>0</v>
      </c>
      <c r="AO166">
        <f>DC!AO43</f>
        <v>0</v>
      </c>
      <c r="AP166">
        <f>DC!AP43</f>
        <v>0</v>
      </c>
      <c r="AQ166">
        <f>DC!AQ43</f>
        <v>0</v>
      </c>
      <c r="AR166">
        <f>DC!AR43</f>
        <v>0</v>
      </c>
      <c r="AS166">
        <f>DC!AS43</f>
        <v>0</v>
      </c>
      <c r="AT166">
        <f>DC!AT43</f>
        <v>0</v>
      </c>
      <c r="AU166">
        <f>DC!AU43</f>
        <v>0</v>
      </c>
      <c r="AV166">
        <f>DC!AV43</f>
        <v>0</v>
      </c>
      <c r="AW166">
        <f>DC!AW43</f>
        <v>0</v>
      </c>
      <c r="AX166">
        <f>DC!AX43</f>
        <v>0</v>
      </c>
      <c r="AY166">
        <f>DC!AY43</f>
        <v>0</v>
      </c>
      <c r="AZ166">
        <f>DC!AZ43</f>
        <v>0</v>
      </c>
      <c r="BA166">
        <f>DC!BA43</f>
        <v>0</v>
      </c>
      <c r="BB166">
        <f>DC!BB43</f>
        <v>0</v>
      </c>
      <c r="BC166">
        <f>DC!BC43</f>
        <v>0</v>
      </c>
      <c r="BD166">
        <f>DC!BD43</f>
        <v>0</v>
      </c>
      <c r="BE166">
        <f>DC!BE43</f>
        <v>0</v>
      </c>
      <c r="BF166">
        <f>DC!BF43</f>
        <v>0</v>
      </c>
      <c r="BG166">
        <f>DC!BG43</f>
        <v>0</v>
      </c>
      <c r="BH166">
        <f>DC!BH43</f>
        <v>0</v>
      </c>
      <c r="BI166">
        <f>DC!BI43</f>
        <v>0</v>
      </c>
      <c r="BJ166">
        <f>DC!BJ43</f>
        <v>0</v>
      </c>
      <c r="BK166">
        <f>DC!BK43</f>
        <v>0</v>
      </c>
      <c r="BL166">
        <f>DC!BL43</f>
        <v>0</v>
      </c>
    </row>
    <row r="167" spans="1:64">
      <c r="A167">
        <f>DC!A44</f>
        <v>14</v>
      </c>
      <c r="B167" t="str">
        <f>DC!B44</f>
        <v>11:00-12:00</v>
      </c>
      <c r="C167">
        <f>DC!C44</f>
        <v>17</v>
      </c>
      <c r="D167" t="str">
        <f>DC!D44</f>
        <v>11:45-12:30</v>
      </c>
      <c r="E167">
        <f>DC!E44</f>
        <v>0</v>
      </c>
      <c r="F167">
        <f>DC!F44</f>
        <v>0</v>
      </c>
      <c r="G167">
        <f>DC!G44</f>
        <v>0</v>
      </c>
      <c r="H167">
        <f>DC!H44</f>
        <v>0</v>
      </c>
      <c r="I167">
        <f>DC!I44</f>
        <v>0</v>
      </c>
      <c r="J167">
        <f>DC!J44</f>
        <v>0</v>
      </c>
      <c r="K167">
        <f>DC!K44</f>
        <v>0</v>
      </c>
      <c r="L167">
        <f>DC!L44</f>
        <v>0</v>
      </c>
      <c r="M167">
        <f>DC!M44</f>
        <v>0</v>
      </c>
      <c r="N167">
        <f>DC!N44</f>
        <v>0</v>
      </c>
      <c r="O167">
        <f>DC!O44</f>
        <v>0</v>
      </c>
      <c r="P167">
        <f>DC!P44</f>
        <v>0</v>
      </c>
      <c r="Q167">
        <f>DC!Q44</f>
        <v>0</v>
      </c>
      <c r="R167">
        <f>DC!R44</f>
        <v>0</v>
      </c>
      <c r="S167">
        <f>DC!S44</f>
        <v>0</v>
      </c>
      <c r="T167">
        <f>DC!T44</f>
        <v>0</v>
      </c>
      <c r="U167">
        <f>DC!U44</f>
        <v>0</v>
      </c>
      <c r="V167">
        <f>DC!V44</f>
        <v>0</v>
      </c>
      <c r="W167">
        <f>DC!W44</f>
        <v>0</v>
      </c>
      <c r="X167">
        <f>DC!X44</f>
        <v>0</v>
      </c>
      <c r="Y167">
        <f>DC!Y44</f>
        <v>0</v>
      </c>
      <c r="Z167">
        <f>DC!Z44</f>
        <v>0</v>
      </c>
      <c r="AA167">
        <f>DC!AA44</f>
        <v>0</v>
      </c>
      <c r="AB167">
        <f>DC!AB44</f>
        <v>0</v>
      </c>
      <c r="AC167">
        <f>DC!AC44</f>
        <v>0</v>
      </c>
      <c r="AD167">
        <f>DC!AD44</f>
        <v>0</v>
      </c>
      <c r="AE167">
        <f>DC!AE44</f>
        <v>0</v>
      </c>
      <c r="AF167">
        <f>DC!AF44</f>
        <v>0</v>
      </c>
      <c r="AG167">
        <f>DC!AG44</f>
        <v>0</v>
      </c>
      <c r="AH167">
        <f>DC!AH44</f>
        <v>0</v>
      </c>
      <c r="AI167">
        <f>DC!AI44</f>
        <v>0</v>
      </c>
      <c r="AJ167">
        <f>DC!AJ44</f>
        <v>0</v>
      </c>
      <c r="AK167">
        <f>DC!AK44</f>
        <v>0</v>
      </c>
      <c r="AL167">
        <f>DC!AL44</f>
        <v>0</v>
      </c>
      <c r="AM167">
        <f>DC!AM44</f>
        <v>0</v>
      </c>
      <c r="AN167">
        <f>DC!AN44</f>
        <v>0</v>
      </c>
      <c r="AO167">
        <f>DC!AO44</f>
        <v>0</v>
      </c>
      <c r="AP167">
        <f>DC!AP44</f>
        <v>0</v>
      </c>
      <c r="AQ167">
        <f>DC!AQ44</f>
        <v>0</v>
      </c>
      <c r="AR167">
        <f>DC!AR44</f>
        <v>0</v>
      </c>
      <c r="AS167">
        <f>DC!AS44</f>
        <v>0</v>
      </c>
      <c r="AT167">
        <f>DC!AT44</f>
        <v>0</v>
      </c>
      <c r="AU167">
        <f>DC!AU44</f>
        <v>0</v>
      </c>
      <c r="AV167">
        <f>DC!AV44</f>
        <v>0</v>
      </c>
      <c r="AW167">
        <f>DC!AW44</f>
        <v>0</v>
      </c>
      <c r="AX167">
        <f>DC!AX44</f>
        <v>0</v>
      </c>
      <c r="AY167">
        <f>DC!AY44</f>
        <v>0</v>
      </c>
      <c r="AZ167">
        <f>DC!AZ44</f>
        <v>0</v>
      </c>
      <c r="BA167">
        <f>DC!BA44</f>
        <v>0</v>
      </c>
      <c r="BB167">
        <f>DC!BB44</f>
        <v>0</v>
      </c>
      <c r="BC167">
        <f>DC!BC44</f>
        <v>0</v>
      </c>
      <c r="BD167">
        <f>DC!BD44</f>
        <v>0</v>
      </c>
      <c r="BE167">
        <f>DC!BE44</f>
        <v>0</v>
      </c>
      <c r="BF167">
        <f>DC!BF44</f>
        <v>0</v>
      </c>
      <c r="BG167">
        <f>DC!BG44</f>
        <v>0</v>
      </c>
      <c r="BH167">
        <f>DC!BH44</f>
        <v>0</v>
      </c>
      <c r="BI167">
        <f>DC!BI44</f>
        <v>0</v>
      </c>
      <c r="BJ167">
        <f>DC!BJ44</f>
        <v>0</v>
      </c>
      <c r="BK167">
        <f>DC!BK44</f>
        <v>0</v>
      </c>
      <c r="BL167">
        <f>DC!BL44</f>
        <v>0</v>
      </c>
    </row>
    <row r="168" spans="1:64">
      <c r="A168">
        <f>DC!A45</f>
        <v>15</v>
      </c>
      <c r="B168" t="str">
        <f>DC!B45</f>
        <v>11:15-12:00</v>
      </c>
      <c r="C168">
        <f>DC!C45</f>
        <v>16</v>
      </c>
      <c r="D168" t="str">
        <f>DC!D45</f>
        <v>11:30-12:15</v>
      </c>
      <c r="E168">
        <f>DC!E45</f>
        <v>0</v>
      </c>
      <c r="F168">
        <f>DC!F45</f>
        <v>0</v>
      </c>
      <c r="G168">
        <f>DC!G45</f>
        <v>0</v>
      </c>
      <c r="H168">
        <f>DC!H45</f>
        <v>0</v>
      </c>
      <c r="I168">
        <f>DC!I45</f>
        <v>0</v>
      </c>
      <c r="J168">
        <f>DC!J45</f>
        <v>1</v>
      </c>
      <c r="K168">
        <f>DC!K45</f>
        <v>0</v>
      </c>
      <c r="L168">
        <f>DC!L45</f>
        <v>0</v>
      </c>
      <c r="M168">
        <f>DC!M45</f>
        <v>0</v>
      </c>
      <c r="N168">
        <f>DC!N45</f>
        <v>0</v>
      </c>
      <c r="O168">
        <f>DC!O45</f>
        <v>0</v>
      </c>
      <c r="P168">
        <f>DC!P45</f>
        <v>0</v>
      </c>
      <c r="Q168">
        <f>DC!Q45</f>
        <v>0</v>
      </c>
      <c r="R168">
        <f>DC!R45</f>
        <v>0</v>
      </c>
      <c r="S168">
        <f>DC!S45</f>
        <v>0</v>
      </c>
      <c r="T168">
        <f>DC!T45</f>
        <v>0</v>
      </c>
      <c r="U168">
        <f>DC!U45</f>
        <v>0</v>
      </c>
      <c r="V168">
        <f>DC!V45</f>
        <v>0</v>
      </c>
      <c r="W168">
        <f>DC!W45</f>
        <v>0</v>
      </c>
      <c r="X168">
        <f>DC!X45</f>
        <v>0</v>
      </c>
      <c r="Y168">
        <f>DC!Y45</f>
        <v>0</v>
      </c>
      <c r="Z168">
        <f>DC!Z45</f>
        <v>0</v>
      </c>
      <c r="AA168">
        <f>DC!AA45</f>
        <v>0</v>
      </c>
      <c r="AB168">
        <f>DC!AB45</f>
        <v>0</v>
      </c>
      <c r="AC168">
        <f>DC!AC45</f>
        <v>0</v>
      </c>
      <c r="AD168">
        <f>DC!AD45</f>
        <v>0</v>
      </c>
      <c r="AE168">
        <f>DC!AE45</f>
        <v>0</v>
      </c>
      <c r="AF168">
        <f>DC!AF45</f>
        <v>0</v>
      </c>
      <c r="AG168">
        <f>DC!AG45</f>
        <v>0</v>
      </c>
      <c r="AH168">
        <f>DC!AH45</f>
        <v>0</v>
      </c>
      <c r="AI168">
        <f>DC!AI45</f>
        <v>0</v>
      </c>
      <c r="AJ168">
        <f>DC!AJ45</f>
        <v>0</v>
      </c>
      <c r="AK168">
        <f>DC!AK45</f>
        <v>0</v>
      </c>
      <c r="AL168">
        <f>DC!AL45</f>
        <v>0</v>
      </c>
      <c r="AM168">
        <f>DC!AM45</f>
        <v>0</v>
      </c>
      <c r="AN168">
        <f>DC!AN45</f>
        <v>0</v>
      </c>
      <c r="AO168">
        <f>DC!AO45</f>
        <v>0</v>
      </c>
      <c r="AP168">
        <f>DC!AP45</f>
        <v>0</v>
      </c>
      <c r="AQ168">
        <f>DC!AQ45</f>
        <v>0</v>
      </c>
      <c r="AR168">
        <f>DC!AR45</f>
        <v>0</v>
      </c>
      <c r="AS168">
        <f>DC!AS45</f>
        <v>0</v>
      </c>
      <c r="AT168">
        <f>DC!AT45</f>
        <v>0</v>
      </c>
      <c r="AU168">
        <f>DC!AU45</f>
        <v>0</v>
      </c>
      <c r="AV168">
        <f>DC!AV45</f>
        <v>0</v>
      </c>
      <c r="AW168">
        <f>DC!AW45</f>
        <v>0</v>
      </c>
      <c r="AX168">
        <f>DC!AX45</f>
        <v>0</v>
      </c>
      <c r="AY168">
        <f>DC!AY45</f>
        <v>0</v>
      </c>
      <c r="AZ168">
        <f>DC!AZ45</f>
        <v>0</v>
      </c>
      <c r="BA168">
        <f>DC!BA45</f>
        <v>0</v>
      </c>
      <c r="BB168">
        <f>DC!BB45</f>
        <v>0</v>
      </c>
      <c r="BC168">
        <f>DC!BC45</f>
        <v>0</v>
      </c>
      <c r="BD168">
        <f>DC!BD45</f>
        <v>0</v>
      </c>
      <c r="BE168">
        <f>DC!BE45</f>
        <v>0</v>
      </c>
      <c r="BF168">
        <f>DC!BF45</f>
        <v>0</v>
      </c>
      <c r="BG168">
        <f>DC!BG45</f>
        <v>0</v>
      </c>
      <c r="BH168">
        <f>DC!BH45</f>
        <v>0</v>
      </c>
      <c r="BI168">
        <f>DC!BI45</f>
        <v>0</v>
      </c>
      <c r="BJ168">
        <f>DC!BJ45</f>
        <v>0</v>
      </c>
      <c r="BK168">
        <f>DC!BK45</f>
        <v>0</v>
      </c>
      <c r="BL168">
        <f>DC!BL45</f>
        <v>0</v>
      </c>
    </row>
    <row r="169" spans="1:64">
      <c r="A169">
        <f>DC!A46</f>
        <v>15</v>
      </c>
      <c r="B169" t="str">
        <f>DC!B46</f>
        <v>11:15-12:00</v>
      </c>
      <c r="C169">
        <f>DC!C46</f>
        <v>17</v>
      </c>
      <c r="D169" t="str">
        <f>DC!D46</f>
        <v>11:45-12:30</v>
      </c>
      <c r="E169">
        <f>DC!E46</f>
        <v>0</v>
      </c>
      <c r="F169">
        <f>DC!F46</f>
        <v>0</v>
      </c>
      <c r="G169">
        <f>DC!G46</f>
        <v>0</v>
      </c>
      <c r="H169">
        <f>DC!H46</f>
        <v>0</v>
      </c>
      <c r="I169">
        <f>DC!I46</f>
        <v>0</v>
      </c>
      <c r="J169">
        <f>DC!J46</f>
        <v>1</v>
      </c>
      <c r="K169">
        <f>DC!K46</f>
        <v>0</v>
      </c>
      <c r="L169">
        <f>DC!L46</f>
        <v>0</v>
      </c>
      <c r="M169">
        <f>DC!M46</f>
        <v>0</v>
      </c>
      <c r="N169">
        <f>DC!N46</f>
        <v>0</v>
      </c>
      <c r="O169">
        <f>DC!O46</f>
        <v>0</v>
      </c>
      <c r="P169">
        <f>DC!P46</f>
        <v>0</v>
      </c>
      <c r="Q169">
        <f>DC!Q46</f>
        <v>0</v>
      </c>
      <c r="R169">
        <f>DC!R46</f>
        <v>0</v>
      </c>
      <c r="S169">
        <f>DC!S46</f>
        <v>0</v>
      </c>
      <c r="T169">
        <f>DC!T46</f>
        <v>0</v>
      </c>
      <c r="U169">
        <f>DC!U46</f>
        <v>0</v>
      </c>
      <c r="V169">
        <f>DC!V46</f>
        <v>0</v>
      </c>
      <c r="W169">
        <f>DC!W46</f>
        <v>0</v>
      </c>
      <c r="X169">
        <f>DC!X46</f>
        <v>0</v>
      </c>
      <c r="Y169">
        <f>DC!Y46</f>
        <v>0</v>
      </c>
      <c r="Z169">
        <f>DC!Z46</f>
        <v>0</v>
      </c>
      <c r="AA169">
        <f>DC!AA46</f>
        <v>0</v>
      </c>
      <c r="AB169">
        <f>DC!AB46</f>
        <v>0</v>
      </c>
      <c r="AC169">
        <f>DC!AC46</f>
        <v>0</v>
      </c>
      <c r="AD169">
        <f>DC!AD46</f>
        <v>0</v>
      </c>
      <c r="AE169">
        <f>DC!AE46</f>
        <v>0</v>
      </c>
      <c r="AF169">
        <f>DC!AF46</f>
        <v>0</v>
      </c>
      <c r="AG169">
        <f>DC!AG46</f>
        <v>0</v>
      </c>
      <c r="AH169">
        <f>DC!AH46</f>
        <v>0</v>
      </c>
      <c r="AI169">
        <f>DC!AI46</f>
        <v>0</v>
      </c>
      <c r="AJ169">
        <f>DC!AJ46</f>
        <v>0</v>
      </c>
      <c r="AK169">
        <f>DC!AK46</f>
        <v>0</v>
      </c>
      <c r="AL169">
        <f>DC!AL46</f>
        <v>0</v>
      </c>
      <c r="AM169">
        <f>DC!AM46</f>
        <v>0</v>
      </c>
      <c r="AN169">
        <f>DC!AN46</f>
        <v>0</v>
      </c>
      <c r="AO169">
        <f>DC!AO46</f>
        <v>0</v>
      </c>
      <c r="AP169">
        <f>DC!AP46</f>
        <v>0</v>
      </c>
      <c r="AQ169">
        <f>DC!AQ46</f>
        <v>0</v>
      </c>
      <c r="AR169">
        <f>DC!AR46</f>
        <v>0</v>
      </c>
      <c r="AS169">
        <f>DC!AS46</f>
        <v>0</v>
      </c>
      <c r="AT169">
        <f>DC!AT46</f>
        <v>0</v>
      </c>
      <c r="AU169">
        <f>DC!AU46</f>
        <v>0</v>
      </c>
      <c r="AV169">
        <f>DC!AV46</f>
        <v>0</v>
      </c>
      <c r="AW169">
        <f>DC!AW46</f>
        <v>0</v>
      </c>
      <c r="AX169">
        <f>DC!AX46</f>
        <v>0</v>
      </c>
      <c r="AY169">
        <f>DC!AY46</f>
        <v>0</v>
      </c>
      <c r="AZ169">
        <f>DC!AZ46</f>
        <v>0</v>
      </c>
      <c r="BA169">
        <f>DC!BA46</f>
        <v>0</v>
      </c>
      <c r="BB169">
        <f>DC!BB46</f>
        <v>0</v>
      </c>
      <c r="BC169">
        <f>DC!BC46</f>
        <v>0</v>
      </c>
      <c r="BD169">
        <f>DC!BD46</f>
        <v>0</v>
      </c>
      <c r="BE169">
        <f>DC!BE46</f>
        <v>0</v>
      </c>
      <c r="BF169">
        <f>DC!BF46</f>
        <v>0</v>
      </c>
      <c r="BG169">
        <f>DC!BG46</f>
        <v>0</v>
      </c>
      <c r="BH169">
        <f>DC!BH46</f>
        <v>0</v>
      </c>
      <c r="BI169">
        <f>DC!BI46</f>
        <v>0</v>
      </c>
      <c r="BJ169">
        <f>DC!BJ46</f>
        <v>0</v>
      </c>
      <c r="BK169">
        <f>DC!BK46</f>
        <v>0</v>
      </c>
      <c r="BL169">
        <f>DC!BL46</f>
        <v>0</v>
      </c>
    </row>
    <row r="170" spans="1:64">
      <c r="A170">
        <f>DC!A47</f>
        <v>16</v>
      </c>
      <c r="B170" t="str">
        <f>DC!B47</f>
        <v>11:30-12:15</v>
      </c>
      <c r="C170">
        <f>DC!C47</f>
        <v>17</v>
      </c>
      <c r="D170" t="str">
        <f>DC!D47</f>
        <v>11:45-12:30</v>
      </c>
      <c r="E170">
        <f>DC!E47</f>
        <v>0</v>
      </c>
      <c r="F170">
        <f>DC!F47</f>
        <v>0</v>
      </c>
      <c r="G170">
        <f>DC!G47</f>
        <v>0</v>
      </c>
      <c r="H170">
        <f>DC!H47</f>
        <v>0</v>
      </c>
      <c r="I170">
        <f>DC!I47</f>
        <v>0</v>
      </c>
      <c r="J170">
        <f>DC!J47</f>
        <v>0</v>
      </c>
      <c r="K170">
        <f>DC!K47</f>
        <v>0</v>
      </c>
      <c r="L170">
        <f>DC!L47</f>
        <v>0</v>
      </c>
      <c r="M170">
        <f>DC!M47</f>
        <v>0</v>
      </c>
      <c r="N170">
        <f>DC!N47</f>
        <v>0</v>
      </c>
      <c r="O170">
        <f>DC!O47</f>
        <v>0</v>
      </c>
      <c r="P170">
        <f>DC!P47</f>
        <v>0</v>
      </c>
      <c r="Q170">
        <f>DC!Q47</f>
        <v>0</v>
      </c>
      <c r="R170">
        <f>DC!R47</f>
        <v>0</v>
      </c>
      <c r="S170">
        <f>DC!S47</f>
        <v>0</v>
      </c>
      <c r="T170">
        <f>DC!T47</f>
        <v>0</v>
      </c>
      <c r="U170">
        <f>DC!U47</f>
        <v>0</v>
      </c>
      <c r="V170">
        <f>DC!V47</f>
        <v>0</v>
      </c>
      <c r="W170">
        <f>DC!W47</f>
        <v>0</v>
      </c>
      <c r="X170">
        <f>DC!X47</f>
        <v>0</v>
      </c>
      <c r="Y170">
        <f>DC!Y47</f>
        <v>0</v>
      </c>
      <c r="Z170">
        <f>DC!Z47</f>
        <v>0</v>
      </c>
      <c r="AA170">
        <f>DC!AA47</f>
        <v>0</v>
      </c>
      <c r="AB170">
        <f>DC!AB47</f>
        <v>0</v>
      </c>
      <c r="AC170">
        <f>DC!AC47</f>
        <v>0</v>
      </c>
      <c r="AD170">
        <f>DC!AD47</f>
        <v>0</v>
      </c>
      <c r="AE170">
        <f>DC!AE47</f>
        <v>0</v>
      </c>
      <c r="AF170">
        <f>DC!AF47</f>
        <v>0</v>
      </c>
      <c r="AG170">
        <f>DC!AG47</f>
        <v>0</v>
      </c>
      <c r="AH170">
        <f>DC!AH47</f>
        <v>0</v>
      </c>
      <c r="AI170">
        <f>DC!AI47</f>
        <v>0</v>
      </c>
      <c r="AJ170">
        <f>DC!AJ47</f>
        <v>0</v>
      </c>
      <c r="AK170">
        <f>DC!AK47</f>
        <v>0</v>
      </c>
      <c r="AL170">
        <f>DC!AL47</f>
        <v>0</v>
      </c>
      <c r="AM170">
        <f>DC!AM47</f>
        <v>0</v>
      </c>
      <c r="AN170">
        <f>DC!AN47</f>
        <v>0</v>
      </c>
      <c r="AO170">
        <f>DC!AO47</f>
        <v>0</v>
      </c>
      <c r="AP170">
        <f>DC!AP47</f>
        <v>0</v>
      </c>
      <c r="AQ170">
        <f>DC!AQ47</f>
        <v>0</v>
      </c>
      <c r="AR170">
        <f>DC!AR47</f>
        <v>0</v>
      </c>
      <c r="AS170">
        <f>DC!AS47</f>
        <v>0</v>
      </c>
      <c r="AT170">
        <f>DC!AT47</f>
        <v>0</v>
      </c>
      <c r="AU170">
        <f>DC!AU47</f>
        <v>0</v>
      </c>
      <c r="AV170">
        <f>DC!AV47</f>
        <v>0</v>
      </c>
      <c r="AW170">
        <f>DC!AW47</f>
        <v>0</v>
      </c>
      <c r="AX170">
        <f>DC!AX47</f>
        <v>0</v>
      </c>
      <c r="AY170">
        <f>DC!AY47</f>
        <v>0</v>
      </c>
      <c r="AZ170">
        <f>DC!AZ47</f>
        <v>0</v>
      </c>
      <c r="BA170">
        <f>DC!BA47</f>
        <v>0</v>
      </c>
      <c r="BB170">
        <f>DC!BB47</f>
        <v>0</v>
      </c>
      <c r="BC170">
        <f>DC!BC47</f>
        <v>0</v>
      </c>
      <c r="BD170">
        <f>DC!BD47</f>
        <v>0</v>
      </c>
      <c r="BE170">
        <f>DC!BE47</f>
        <v>0</v>
      </c>
      <c r="BF170">
        <f>DC!BF47</f>
        <v>0</v>
      </c>
      <c r="BG170">
        <f>DC!BG47</f>
        <v>0</v>
      </c>
      <c r="BH170">
        <f>DC!BH47</f>
        <v>0</v>
      </c>
      <c r="BI170">
        <f>DC!BI47</f>
        <v>0</v>
      </c>
      <c r="BJ170">
        <f>DC!BJ47</f>
        <v>0</v>
      </c>
      <c r="BK170">
        <f>DC!BK47</f>
        <v>0</v>
      </c>
      <c r="BL170">
        <f>DC!BL47</f>
        <v>0</v>
      </c>
    </row>
    <row r="171" spans="1:64">
      <c r="A171">
        <f>DC!A48</f>
        <v>16</v>
      </c>
      <c r="B171" t="str">
        <f>DC!B48</f>
        <v>11:30-12:15</v>
      </c>
      <c r="C171">
        <f>DC!C48</f>
        <v>18</v>
      </c>
      <c r="D171" t="str">
        <f>DC!D48</f>
        <v>12:00-13:00</v>
      </c>
      <c r="E171">
        <f>DC!E48</f>
        <v>0</v>
      </c>
      <c r="F171">
        <f>DC!F48</f>
        <v>0</v>
      </c>
      <c r="G171">
        <f>DC!G48</f>
        <v>0</v>
      </c>
      <c r="H171">
        <f>DC!H48</f>
        <v>0</v>
      </c>
      <c r="I171">
        <f>DC!I48</f>
        <v>0</v>
      </c>
      <c r="J171">
        <f>DC!J48</f>
        <v>0</v>
      </c>
      <c r="K171">
        <f>DC!K48</f>
        <v>0</v>
      </c>
      <c r="L171">
        <f>DC!L48</f>
        <v>0</v>
      </c>
      <c r="M171">
        <f>DC!M48</f>
        <v>0</v>
      </c>
      <c r="N171">
        <f>DC!N48</f>
        <v>0</v>
      </c>
      <c r="O171">
        <f>DC!O48</f>
        <v>0</v>
      </c>
      <c r="P171">
        <f>DC!P48</f>
        <v>0</v>
      </c>
      <c r="Q171">
        <f>DC!Q48</f>
        <v>0</v>
      </c>
      <c r="R171">
        <f>DC!R48</f>
        <v>0</v>
      </c>
      <c r="S171">
        <f>DC!S48</f>
        <v>0</v>
      </c>
      <c r="T171">
        <f>DC!T48</f>
        <v>0</v>
      </c>
      <c r="U171">
        <f>DC!U48</f>
        <v>0</v>
      </c>
      <c r="V171">
        <f>DC!V48</f>
        <v>0</v>
      </c>
      <c r="W171">
        <f>DC!W48</f>
        <v>0</v>
      </c>
      <c r="X171">
        <f>DC!X48</f>
        <v>0</v>
      </c>
      <c r="Y171">
        <f>DC!Y48</f>
        <v>0</v>
      </c>
      <c r="Z171">
        <f>DC!Z48</f>
        <v>0</v>
      </c>
      <c r="AA171">
        <f>DC!AA48</f>
        <v>0</v>
      </c>
      <c r="AB171">
        <f>DC!AB48</f>
        <v>0</v>
      </c>
      <c r="AC171">
        <f>DC!AC48</f>
        <v>0</v>
      </c>
      <c r="AD171">
        <f>DC!AD48</f>
        <v>0</v>
      </c>
      <c r="AE171">
        <f>DC!AE48</f>
        <v>0</v>
      </c>
      <c r="AF171">
        <f>DC!AF48</f>
        <v>0</v>
      </c>
      <c r="AG171">
        <f>DC!AG48</f>
        <v>0</v>
      </c>
      <c r="AH171">
        <f>DC!AH48</f>
        <v>0</v>
      </c>
      <c r="AI171">
        <f>DC!AI48</f>
        <v>0</v>
      </c>
      <c r="AJ171">
        <f>DC!AJ48</f>
        <v>0</v>
      </c>
      <c r="AK171">
        <f>DC!AK48</f>
        <v>0</v>
      </c>
      <c r="AL171">
        <f>DC!AL48</f>
        <v>0</v>
      </c>
      <c r="AM171">
        <f>DC!AM48</f>
        <v>0</v>
      </c>
      <c r="AN171">
        <f>DC!AN48</f>
        <v>0</v>
      </c>
      <c r="AO171">
        <f>DC!AO48</f>
        <v>0</v>
      </c>
      <c r="AP171">
        <f>DC!AP48</f>
        <v>0</v>
      </c>
      <c r="AQ171">
        <f>DC!AQ48</f>
        <v>0</v>
      </c>
      <c r="AR171">
        <f>DC!AR48</f>
        <v>0</v>
      </c>
      <c r="AS171">
        <f>DC!AS48</f>
        <v>0</v>
      </c>
      <c r="AT171">
        <f>DC!AT48</f>
        <v>0</v>
      </c>
      <c r="AU171">
        <f>DC!AU48</f>
        <v>0</v>
      </c>
      <c r="AV171">
        <f>DC!AV48</f>
        <v>0</v>
      </c>
      <c r="AW171">
        <f>DC!AW48</f>
        <v>0</v>
      </c>
      <c r="AX171">
        <f>DC!AX48</f>
        <v>0</v>
      </c>
      <c r="AY171">
        <f>DC!AY48</f>
        <v>0</v>
      </c>
      <c r="AZ171">
        <f>DC!AZ48</f>
        <v>0</v>
      </c>
      <c r="BA171">
        <f>DC!BA48</f>
        <v>0</v>
      </c>
      <c r="BB171">
        <f>DC!BB48</f>
        <v>0</v>
      </c>
      <c r="BC171">
        <f>DC!BC48</f>
        <v>0</v>
      </c>
      <c r="BD171">
        <f>DC!BD48</f>
        <v>0</v>
      </c>
      <c r="BE171">
        <f>DC!BE48</f>
        <v>0</v>
      </c>
      <c r="BF171">
        <f>DC!BF48</f>
        <v>0</v>
      </c>
      <c r="BG171">
        <f>DC!BG48</f>
        <v>0</v>
      </c>
      <c r="BH171">
        <f>DC!BH48</f>
        <v>0</v>
      </c>
      <c r="BI171">
        <f>DC!BI48</f>
        <v>0</v>
      </c>
      <c r="BJ171">
        <f>DC!BJ48</f>
        <v>0</v>
      </c>
      <c r="BK171">
        <f>DC!BK48</f>
        <v>0</v>
      </c>
      <c r="BL171">
        <f>DC!BL48</f>
        <v>0</v>
      </c>
    </row>
    <row r="172" spans="1:64">
      <c r="A172">
        <f>DC!A49</f>
        <v>17</v>
      </c>
      <c r="B172" t="str">
        <f>DC!B49</f>
        <v>11:45-12:30</v>
      </c>
      <c r="C172">
        <f>DC!C49</f>
        <v>18</v>
      </c>
      <c r="D172" t="str">
        <f>DC!D49</f>
        <v>12:00-13:00</v>
      </c>
      <c r="E172">
        <f>DC!E49</f>
        <v>0</v>
      </c>
      <c r="F172">
        <f>DC!F49</f>
        <v>0</v>
      </c>
      <c r="G172">
        <f>DC!G49</f>
        <v>0</v>
      </c>
      <c r="H172">
        <f>DC!H49</f>
        <v>0</v>
      </c>
      <c r="I172">
        <f>DC!I49</f>
        <v>0</v>
      </c>
      <c r="J172">
        <f>DC!J49</f>
        <v>0</v>
      </c>
      <c r="K172">
        <f>DC!K49</f>
        <v>0</v>
      </c>
      <c r="L172">
        <f>DC!L49</f>
        <v>0</v>
      </c>
      <c r="M172">
        <f>DC!M49</f>
        <v>0</v>
      </c>
      <c r="N172">
        <f>DC!N49</f>
        <v>0</v>
      </c>
      <c r="O172">
        <f>DC!O49</f>
        <v>0</v>
      </c>
      <c r="P172">
        <f>DC!P49</f>
        <v>0</v>
      </c>
      <c r="Q172">
        <f>DC!Q49</f>
        <v>0</v>
      </c>
      <c r="R172">
        <f>DC!R49</f>
        <v>0</v>
      </c>
      <c r="S172">
        <f>DC!S49</f>
        <v>0</v>
      </c>
      <c r="T172">
        <f>DC!T49</f>
        <v>0</v>
      </c>
      <c r="U172">
        <f>DC!U49</f>
        <v>0</v>
      </c>
      <c r="V172">
        <f>DC!V49</f>
        <v>0</v>
      </c>
      <c r="W172">
        <f>DC!W49</f>
        <v>0</v>
      </c>
      <c r="X172">
        <f>DC!X49</f>
        <v>0</v>
      </c>
      <c r="Y172">
        <f>DC!Y49</f>
        <v>0</v>
      </c>
      <c r="Z172">
        <f>DC!Z49</f>
        <v>0</v>
      </c>
      <c r="AA172">
        <f>DC!AA49</f>
        <v>0</v>
      </c>
      <c r="AB172">
        <f>DC!AB49</f>
        <v>0</v>
      </c>
      <c r="AC172">
        <f>DC!AC49</f>
        <v>0</v>
      </c>
      <c r="AD172">
        <f>DC!AD49</f>
        <v>0</v>
      </c>
      <c r="AE172">
        <f>DC!AE49</f>
        <v>0</v>
      </c>
      <c r="AF172">
        <f>DC!AF49</f>
        <v>0</v>
      </c>
      <c r="AG172">
        <f>DC!AG49</f>
        <v>0</v>
      </c>
      <c r="AH172">
        <f>DC!AH49</f>
        <v>0</v>
      </c>
      <c r="AI172">
        <f>DC!AI49</f>
        <v>0</v>
      </c>
      <c r="AJ172">
        <f>DC!AJ49</f>
        <v>0</v>
      </c>
      <c r="AK172">
        <f>DC!AK49</f>
        <v>0</v>
      </c>
      <c r="AL172">
        <f>DC!AL49</f>
        <v>0</v>
      </c>
      <c r="AM172">
        <f>DC!AM49</f>
        <v>0</v>
      </c>
      <c r="AN172">
        <f>DC!AN49</f>
        <v>0</v>
      </c>
      <c r="AO172">
        <f>DC!AO49</f>
        <v>0</v>
      </c>
      <c r="AP172">
        <f>DC!AP49</f>
        <v>0</v>
      </c>
      <c r="AQ172">
        <f>DC!AQ49</f>
        <v>0</v>
      </c>
      <c r="AR172">
        <f>DC!AR49</f>
        <v>0</v>
      </c>
      <c r="AS172">
        <f>DC!AS49</f>
        <v>0</v>
      </c>
      <c r="AT172">
        <f>DC!AT49</f>
        <v>0</v>
      </c>
      <c r="AU172">
        <f>DC!AU49</f>
        <v>0</v>
      </c>
      <c r="AV172">
        <f>DC!AV49</f>
        <v>0</v>
      </c>
      <c r="AW172">
        <f>DC!AW49</f>
        <v>0</v>
      </c>
      <c r="AX172">
        <f>DC!AX49</f>
        <v>0</v>
      </c>
      <c r="AY172">
        <f>DC!AY49</f>
        <v>0</v>
      </c>
      <c r="AZ172">
        <f>DC!AZ49</f>
        <v>0</v>
      </c>
      <c r="BA172">
        <f>DC!BA49</f>
        <v>0</v>
      </c>
      <c r="BB172">
        <f>DC!BB49</f>
        <v>0</v>
      </c>
      <c r="BC172">
        <f>DC!BC49</f>
        <v>0</v>
      </c>
      <c r="BD172">
        <f>DC!BD49</f>
        <v>0</v>
      </c>
      <c r="BE172">
        <f>DC!BE49</f>
        <v>0</v>
      </c>
      <c r="BF172">
        <f>DC!BF49</f>
        <v>0</v>
      </c>
      <c r="BG172">
        <f>DC!BG49</f>
        <v>0</v>
      </c>
      <c r="BH172">
        <f>DC!BH49</f>
        <v>0</v>
      </c>
      <c r="BI172">
        <f>DC!BI49</f>
        <v>0</v>
      </c>
      <c r="BJ172">
        <f>DC!BJ49</f>
        <v>0</v>
      </c>
      <c r="BK172">
        <f>DC!BK49</f>
        <v>0</v>
      </c>
      <c r="BL172">
        <f>DC!BL49</f>
        <v>0</v>
      </c>
    </row>
    <row r="173" spans="1:64">
      <c r="A173">
        <f>DC!A50</f>
        <v>17</v>
      </c>
      <c r="B173" t="str">
        <f>DC!B50</f>
        <v>11:45-12:30</v>
      </c>
      <c r="C173">
        <f>DC!C50</f>
        <v>19</v>
      </c>
      <c r="D173" t="str">
        <f>DC!D50</f>
        <v>12:15-13:00</v>
      </c>
      <c r="E173">
        <f>DC!E50</f>
        <v>0</v>
      </c>
      <c r="F173">
        <f>DC!F50</f>
        <v>0</v>
      </c>
      <c r="G173">
        <f>DC!G50</f>
        <v>0</v>
      </c>
      <c r="H173">
        <f>DC!H50</f>
        <v>0</v>
      </c>
      <c r="I173">
        <f>DC!I50</f>
        <v>0</v>
      </c>
      <c r="J173">
        <f>DC!J50</f>
        <v>0</v>
      </c>
      <c r="K173">
        <f>DC!K50</f>
        <v>0</v>
      </c>
      <c r="L173">
        <f>DC!L50</f>
        <v>0</v>
      </c>
      <c r="M173">
        <f>DC!M50</f>
        <v>0</v>
      </c>
      <c r="N173">
        <f>DC!N50</f>
        <v>0</v>
      </c>
      <c r="O173">
        <f>DC!O50</f>
        <v>0</v>
      </c>
      <c r="P173">
        <f>DC!P50</f>
        <v>0</v>
      </c>
      <c r="Q173">
        <f>DC!Q50</f>
        <v>0</v>
      </c>
      <c r="R173">
        <f>DC!R50</f>
        <v>0</v>
      </c>
      <c r="S173">
        <f>DC!S50</f>
        <v>0</v>
      </c>
      <c r="T173">
        <f>DC!T50</f>
        <v>0</v>
      </c>
      <c r="U173">
        <f>DC!U50</f>
        <v>0</v>
      </c>
      <c r="V173">
        <f>DC!V50</f>
        <v>0</v>
      </c>
      <c r="W173">
        <f>DC!W50</f>
        <v>0</v>
      </c>
      <c r="X173">
        <f>DC!X50</f>
        <v>0</v>
      </c>
      <c r="Y173">
        <f>DC!Y50</f>
        <v>0</v>
      </c>
      <c r="Z173">
        <f>DC!Z50</f>
        <v>0</v>
      </c>
      <c r="AA173">
        <f>DC!AA50</f>
        <v>0</v>
      </c>
      <c r="AB173">
        <f>DC!AB50</f>
        <v>0</v>
      </c>
      <c r="AC173">
        <f>DC!AC50</f>
        <v>0</v>
      </c>
      <c r="AD173">
        <f>DC!AD50</f>
        <v>0</v>
      </c>
      <c r="AE173">
        <f>DC!AE50</f>
        <v>0</v>
      </c>
      <c r="AF173">
        <f>DC!AF50</f>
        <v>0</v>
      </c>
      <c r="AG173">
        <f>DC!AG50</f>
        <v>0</v>
      </c>
      <c r="AH173">
        <f>DC!AH50</f>
        <v>0</v>
      </c>
      <c r="AI173">
        <f>DC!AI50</f>
        <v>0</v>
      </c>
      <c r="AJ173">
        <f>DC!AJ50</f>
        <v>0</v>
      </c>
      <c r="AK173">
        <f>DC!AK50</f>
        <v>0</v>
      </c>
      <c r="AL173">
        <f>DC!AL50</f>
        <v>0</v>
      </c>
      <c r="AM173">
        <f>DC!AM50</f>
        <v>0</v>
      </c>
      <c r="AN173">
        <f>DC!AN50</f>
        <v>0</v>
      </c>
      <c r="AO173">
        <f>DC!AO50</f>
        <v>0</v>
      </c>
      <c r="AP173">
        <f>DC!AP50</f>
        <v>0</v>
      </c>
      <c r="AQ173">
        <f>DC!AQ50</f>
        <v>0</v>
      </c>
      <c r="AR173">
        <f>DC!AR50</f>
        <v>0</v>
      </c>
      <c r="AS173">
        <f>DC!AS50</f>
        <v>0</v>
      </c>
      <c r="AT173">
        <f>DC!AT50</f>
        <v>0</v>
      </c>
      <c r="AU173">
        <f>DC!AU50</f>
        <v>0</v>
      </c>
      <c r="AV173">
        <f>DC!AV50</f>
        <v>0</v>
      </c>
      <c r="AW173">
        <f>DC!AW50</f>
        <v>0</v>
      </c>
      <c r="AX173">
        <f>DC!AX50</f>
        <v>0</v>
      </c>
      <c r="AY173">
        <f>DC!AY50</f>
        <v>0</v>
      </c>
      <c r="AZ173">
        <f>DC!AZ50</f>
        <v>0</v>
      </c>
      <c r="BA173">
        <f>DC!BA50</f>
        <v>0</v>
      </c>
      <c r="BB173">
        <f>DC!BB50</f>
        <v>0</v>
      </c>
      <c r="BC173">
        <f>DC!BC50</f>
        <v>0</v>
      </c>
      <c r="BD173">
        <f>DC!BD50</f>
        <v>0</v>
      </c>
      <c r="BE173">
        <f>DC!BE50</f>
        <v>0</v>
      </c>
      <c r="BF173">
        <f>DC!BF50</f>
        <v>0</v>
      </c>
      <c r="BG173">
        <f>DC!BG50</f>
        <v>0</v>
      </c>
      <c r="BH173">
        <f>DC!BH50</f>
        <v>0</v>
      </c>
      <c r="BI173">
        <f>DC!BI50</f>
        <v>0</v>
      </c>
      <c r="BJ173">
        <f>DC!BJ50</f>
        <v>0</v>
      </c>
      <c r="BK173">
        <f>DC!BK50</f>
        <v>0</v>
      </c>
      <c r="BL173">
        <f>DC!BL50</f>
        <v>0</v>
      </c>
    </row>
    <row r="174" spans="1:64">
      <c r="A174">
        <f>DC!A51</f>
        <v>18</v>
      </c>
      <c r="B174" t="str">
        <f>DC!B51</f>
        <v>12:00-13:00</v>
      </c>
      <c r="C174">
        <f>DC!C51</f>
        <v>19</v>
      </c>
      <c r="D174" t="str">
        <f>DC!D51</f>
        <v>12:15-13:00</v>
      </c>
      <c r="E174">
        <f>DC!E51</f>
        <v>0</v>
      </c>
      <c r="F174">
        <f>DC!F51</f>
        <v>0</v>
      </c>
      <c r="G174">
        <f>DC!G51</f>
        <v>0</v>
      </c>
      <c r="H174">
        <f>DC!H51</f>
        <v>0</v>
      </c>
      <c r="I174">
        <f>DC!I51</f>
        <v>0</v>
      </c>
      <c r="J174">
        <f>DC!J51</f>
        <v>0</v>
      </c>
      <c r="K174">
        <f>DC!K51</f>
        <v>0</v>
      </c>
      <c r="L174">
        <f>DC!L51</f>
        <v>0</v>
      </c>
      <c r="M174">
        <f>DC!M51</f>
        <v>0</v>
      </c>
      <c r="N174">
        <f>DC!N51</f>
        <v>0</v>
      </c>
      <c r="O174">
        <f>DC!O51</f>
        <v>0</v>
      </c>
      <c r="P174">
        <f>DC!P51</f>
        <v>0</v>
      </c>
      <c r="Q174">
        <f>DC!Q51</f>
        <v>0</v>
      </c>
      <c r="R174">
        <f>DC!R51</f>
        <v>0</v>
      </c>
      <c r="S174">
        <f>DC!S51</f>
        <v>0</v>
      </c>
      <c r="T174">
        <f>DC!T51</f>
        <v>0</v>
      </c>
      <c r="U174">
        <f>DC!U51</f>
        <v>0</v>
      </c>
      <c r="V174">
        <f>DC!V51</f>
        <v>0</v>
      </c>
      <c r="W174">
        <f>DC!W51</f>
        <v>0</v>
      </c>
      <c r="X174">
        <f>DC!X51</f>
        <v>0</v>
      </c>
      <c r="Y174">
        <f>DC!Y51</f>
        <v>0</v>
      </c>
      <c r="Z174">
        <f>DC!Z51</f>
        <v>0</v>
      </c>
      <c r="AA174">
        <f>DC!AA51</f>
        <v>0</v>
      </c>
      <c r="AB174">
        <f>DC!AB51</f>
        <v>0</v>
      </c>
      <c r="AC174">
        <f>DC!AC51</f>
        <v>0</v>
      </c>
      <c r="AD174">
        <f>DC!AD51</f>
        <v>0</v>
      </c>
      <c r="AE174">
        <f>DC!AE51</f>
        <v>0</v>
      </c>
      <c r="AF174">
        <f>DC!AF51</f>
        <v>0</v>
      </c>
      <c r="AG174">
        <f>DC!AG51</f>
        <v>0</v>
      </c>
      <c r="AH174">
        <f>DC!AH51</f>
        <v>0</v>
      </c>
      <c r="AI174">
        <f>DC!AI51</f>
        <v>0</v>
      </c>
      <c r="AJ174">
        <f>DC!AJ51</f>
        <v>0</v>
      </c>
      <c r="AK174">
        <f>DC!AK51</f>
        <v>0</v>
      </c>
      <c r="AL174">
        <f>DC!AL51</f>
        <v>0</v>
      </c>
      <c r="AM174">
        <f>DC!AM51</f>
        <v>0</v>
      </c>
      <c r="AN174">
        <f>DC!AN51</f>
        <v>0</v>
      </c>
      <c r="AO174">
        <f>DC!AO51</f>
        <v>0</v>
      </c>
      <c r="AP174">
        <f>DC!AP51</f>
        <v>0</v>
      </c>
      <c r="AQ174">
        <f>DC!AQ51</f>
        <v>0</v>
      </c>
      <c r="AR174">
        <f>DC!AR51</f>
        <v>0</v>
      </c>
      <c r="AS174">
        <f>DC!AS51</f>
        <v>0</v>
      </c>
      <c r="AT174">
        <f>DC!AT51</f>
        <v>0</v>
      </c>
      <c r="AU174">
        <f>DC!AU51</f>
        <v>0</v>
      </c>
      <c r="AV174">
        <f>DC!AV51</f>
        <v>0</v>
      </c>
      <c r="AW174">
        <f>DC!AW51</f>
        <v>0</v>
      </c>
      <c r="AX174">
        <f>DC!AX51</f>
        <v>0</v>
      </c>
      <c r="AY174">
        <f>DC!AY51</f>
        <v>0</v>
      </c>
      <c r="AZ174">
        <f>DC!AZ51</f>
        <v>0</v>
      </c>
      <c r="BA174">
        <f>DC!BA51</f>
        <v>0</v>
      </c>
      <c r="BB174">
        <f>DC!BB51</f>
        <v>0</v>
      </c>
      <c r="BC174">
        <f>DC!BC51</f>
        <v>0</v>
      </c>
      <c r="BD174">
        <f>DC!BD51</f>
        <v>0</v>
      </c>
      <c r="BE174">
        <f>DC!BE51</f>
        <v>0</v>
      </c>
      <c r="BF174">
        <f>DC!BF51</f>
        <v>0</v>
      </c>
      <c r="BG174">
        <f>DC!BG51</f>
        <v>0</v>
      </c>
      <c r="BH174">
        <f>DC!BH51</f>
        <v>0</v>
      </c>
      <c r="BI174">
        <f>DC!BI51</f>
        <v>0</v>
      </c>
      <c r="BJ174">
        <f>DC!BJ51</f>
        <v>0</v>
      </c>
      <c r="BK174">
        <f>DC!BK51</f>
        <v>0</v>
      </c>
      <c r="BL174">
        <f>DC!BL51</f>
        <v>0</v>
      </c>
    </row>
    <row r="175" spans="1:64">
      <c r="A175">
        <f>DC!A52</f>
        <v>18</v>
      </c>
      <c r="B175" t="str">
        <f>DC!B52</f>
        <v>12:00-13:00</v>
      </c>
      <c r="C175">
        <f>DC!C52</f>
        <v>20</v>
      </c>
      <c r="D175" t="str">
        <f>DC!D52</f>
        <v>12:30-13:15</v>
      </c>
      <c r="E175">
        <f>DC!E52</f>
        <v>0</v>
      </c>
      <c r="F175">
        <f>DC!F52</f>
        <v>0</v>
      </c>
      <c r="G175">
        <f>DC!G52</f>
        <v>0</v>
      </c>
      <c r="H175">
        <f>DC!H52</f>
        <v>0</v>
      </c>
      <c r="I175">
        <f>DC!I52</f>
        <v>0</v>
      </c>
      <c r="J175">
        <f>DC!J52</f>
        <v>0</v>
      </c>
      <c r="K175">
        <f>DC!K52</f>
        <v>0</v>
      </c>
      <c r="L175">
        <f>DC!L52</f>
        <v>0</v>
      </c>
      <c r="M175">
        <f>DC!M52</f>
        <v>0</v>
      </c>
      <c r="N175">
        <f>DC!N52</f>
        <v>0</v>
      </c>
      <c r="O175">
        <f>DC!O52</f>
        <v>0</v>
      </c>
      <c r="P175">
        <f>DC!P52</f>
        <v>0</v>
      </c>
      <c r="Q175">
        <f>DC!Q52</f>
        <v>0</v>
      </c>
      <c r="R175">
        <f>DC!R52</f>
        <v>0</v>
      </c>
      <c r="S175">
        <f>DC!S52</f>
        <v>0</v>
      </c>
      <c r="T175">
        <f>DC!T52</f>
        <v>0</v>
      </c>
      <c r="U175">
        <f>DC!U52</f>
        <v>0</v>
      </c>
      <c r="V175">
        <f>DC!V52</f>
        <v>0</v>
      </c>
      <c r="W175">
        <f>DC!W52</f>
        <v>0</v>
      </c>
      <c r="X175">
        <f>DC!X52</f>
        <v>0</v>
      </c>
      <c r="Y175">
        <f>DC!Y52</f>
        <v>0</v>
      </c>
      <c r="Z175">
        <f>DC!Z52</f>
        <v>0</v>
      </c>
      <c r="AA175">
        <f>DC!AA52</f>
        <v>0</v>
      </c>
      <c r="AB175">
        <f>DC!AB52</f>
        <v>0</v>
      </c>
      <c r="AC175">
        <f>DC!AC52</f>
        <v>0</v>
      </c>
      <c r="AD175">
        <f>DC!AD52</f>
        <v>0</v>
      </c>
      <c r="AE175">
        <f>DC!AE52</f>
        <v>0</v>
      </c>
      <c r="AF175">
        <f>DC!AF52</f>
        <v>0</v>
      </c>
      <c r="AG175">
        <f>DC!AG52</f>
        <v>0</v>
      </c>
      <c r="AH175">
        <f>DC!AH52</f>
        <v>0</v>
      </c>
      <c r="AI175">
        <f>DC!AI52</f>
        <v>0</v>
      </c>
      <c r="AJ175">
        <f>DC!AJ52</f>
        <v>0</v>
      </c>
      <c r="AK175">
        <f>DC!AK52</f>
        <v>0</v>
      </c>
      <c r="AL175">
        <f>DC!AL52</f>
        <v>0</v>
      </c>
      <c r="AM175">
        <f>DC!AM52</f>
        <v>0</v>
      </c>
      <c r="AN175">
        <f>DC!AN52</f>
        <v>0</v>
      </c>
      <c r="AO175">
        <f>DC!AO52</f>
        <v>0</v>
      </c>
      <c r="AP175">
        <f>DC!AP52</f>
        <v>0</v>
      </c>
      <c r="AQ175">
        <f>DC!AQ52</f>
        <v>0</v>
      </c>
      <c r="AR175">
        <f>DC!AR52</f>
        <v>0</v>
      </c>
      <c r="AS175">
        <f>DC!AS52</f>
        <v>0</v>
      </c>
      <c r="AT175">
        <f>DC!AT52</f>
        <v>0</v>
      </c>
      <c r="AU175">
        <f>DC!AU52</f>
        <v>0</v>
      </c>
      <c r="AV175">
        <f>DC!AV52</f>
        <v>0</v>
      </c>
      <c r="AW175">
        <f>DC!AW52</f>
        <v>0</v>
      </c>
      <c r="AX175">
        <f>DC!AX52</f>
        <v>0</v>
      </c>
      <c r="AY175">
        <f>DC!AY52</f>
        <v>0</v>
      </c>
      <c r="AZ175">
        <f>DC!AZ52</f>
        <v>0</v>
      </c>
      <c r="BA175">
        <f>DC!BA52</f>
        <v>0</v>
      </c>
      <c r="BB175">
        <f>DC!BB52</f>
        <v>0</v>
      </c>
      <c r="BC175">
        <f>DC!BC52</f>
        <v>0</v>
      </c>
      <c r="BD175">
        <f>DC!BD52</f>
        <v>0</v>
      </c>
      <c r="BE175">
        <f>DC!BE52</f>
        <v>0</v>
      </c>
      <c r="BF175">
        <f>DC!BF52</f>
        <v>0</v>
      </c>
      <c r="BG175">
        <f>DC!BG52</f>
        <v>0</v>
      </c>
      <c r="BH175">
        <f>DC!BH52</f>
        <v>0</v>
      </c>
      <c r="BI175">
        <f>DC!BI52</f>
        <v>0</v>
      </c>
      <c r="BJ175">
        <f>DC!BJ52</f>
        <v>0</v>
      </c>
      <c r="BK175">
        <f>DC!BK52</f>
        <v>0</v>
      </c>
      <c r="BL175">
        <f>DC!BL52</f>
        <v>0</v>
      </c>
    </row>
    <row r="176" spans="1:64">
      <c r="A176">
        <f>DC!A53</f>
        <v>18</v>
      </c>
      <c r="B176" t="str">
        <f>DC!B53</f>
        <v>12:00-13:00</v>
      </c>
      <c r="C176">
        <f>DC!C53</f>
        <v>21</v>
      </c>
      <c r="D176" t="str">
        <f>DC!D53</f>
        <v>12:45-13:30</v>
      </c>
      <c r="E176">
        <f>DC!E53</f>
        <v>0</v>
      </c>
      <c r="F176">
        <f>DC!F53</f>
        <v>0</v>
      </c>
      <c r="G176">
        <f>DC!G53</f>
        <v>0</v>
      </c>
      <c r="H176">
        <f>DC!H53</f>
        <v>0</v>
      </c>
      <c r="I176">
        <f>DC!I53</f>
        <v>0</v>
      </c>
      <c r="J176">
        <f>DC!J53</f>
        <v>0</v>
      </c>
      <c r="K176">
        <f>DC!K53</f>
        <v>0</v>
      </c>
      <c r="L176">
        <f>DC!L53</f>
        <v>0</v>
      </c>
      <c r="M176">
        <f>DC!M53</f>
        <v>0</v>
      </c>
      <c r="N176">
        <f>DC!N53</f>
        <v>0</v>
      </c>
      <c r="O176">
        <f>DC!O53</f>
        <v>0</v>
      </c>
      <c r="P176">
        <f>DC!P53</f>
        <v>0</v>
      </c>
      <c r="Q176">
        <f>DC!Q53</f>
        <v>0</v>
      </c>
      <c r="R176">
        <f>DC!R53</f>
        <v>0</v>
      </c>
      <c r="S176">
        <f>DC!S53</f>
        <v>0</v>
      </c>
      <c r="T176">
        <f>DC!T53</f>
        <v>0</v>
      </c>
      <c r="U176">
        <f>DC!U53</f>
        <v>0</v>
      </c>
      <c r="V176">
        <f>DC!V53</f>
        <v>0</v>
      </c>
      <c r="W176">
        <f>DC!W53</f>
        <v>0</v>
      </c>
      <c r="X176">
        <f>DC!X53</f>
        <v>0</v>
      </c>
      <c r="Y176">
        <f>DC!Y53</f>
        <v>0</v>
      </c>
      <c r="Z176">
        <f>DC!Z53</f>
        <v>0</v>
      </c>
      <c r="AA176">
        <f>DC!AA53</f>
        <v>0</v>
      </c>
      <c r="AB176">
        <f>DC!AB53</f>
        <v>0</v>
      </c>
      <c r="AC176">
        <f>DC!AC53</f>
        <v>0</v>
      </c>
      <c r="AD176">
        <f>DC!AD53</f>
        <v>0</v>
      </c>
      <c r="AE176">
        <f>DC!AE53</f>
        <v>0</v>
      </c>
      <c r="AF176">
        <f>DC!AF53</f>
        <v>0</v>
      </c>
      <c r="AG176">
        <f>DC!AG53</f>
        <v>0</v>
      </c>
      <c r="AH176">
        <f>DC!AH53</f>
        <v>0</v>
      </c>
      <c r="AI176">
        <f>DC!AI53</f>
        <v>0</v>
      </c>
      <c r="AJ176">
        <f>DC!AJ53</f>
        <v>0</v>
      </c>
      <c r="AK176">
        <f>DC!AK53</f>
        <v>0</v>
      </c>
      <c r="AL176">
        <f>DC!AL53</f>
        <v>0</v>
      </c>
      <c r="AM176">
        <f>DC!AM53</f>
        <v>0</v>
      </c>
      <c r="AN176">
        <f>DC!AN53</f>
        <v>0</v>
      </c>
      <c r="AO176">
        <f>DC!AO53</f>
        <v>0</v>
      </c>
      <c r="AP176">
        <f>DC!AP53</f>
        <v>0</v>
      </c>
      <c r="AQ176">
        <f>DC!AQ53</f>
        <v>0</v>
      </c>
      <c r="AR176">
        <f>DC!AR53</f>
        <v>0</v>
      </c>
      <c r="AS176">
        <f>DC!AS53</f>
        <v>0</v>
      </c>
      <c r="AT176">
        <f>DC!AT53</f>
        <v>0</v>
      </c>
      <c r="AU176">
        <f>DC!AU53</f>
        <v>0</v>
      </c>
      <c r="AV176">
        <f>DC!AV53</f>
        <v>0</v>
      </c>
      <c r="AW176">
        <f>DC!AW53</f>
        <v>0</v>
      </c>
      <c r="AX176">
        <f>DC!AX53</f>
        <v>0</v>
      </c>
      <c r="AY176">
        <f>DC!AY53</f>
        <v>0</v>
      </c>
      <c r="AZ176">
        <f>DC!AZ53</f>
        <v>0</v>
      </c>
      <c r="BA176">
        <f>DC!BA53</f>
        <v>0</v>
      </c>
      <c r="BB176">
        <f>DC!BB53</f>
        <v>0</v>
      </c>
      <c r="BC176">
        <f>DC!BC53</f>
        <v>0</v>
      </c>
      <c r="BD176">
        <f>DC!BD53</f>
        <v>0</v>
      </c>
      <c r="BE176">
        <f>DC!BE53</f>
        <v>0</v>
      </c>
      <c r="BF176">
        <f>DC!BF53</f>
        <v>0</v>
      </c>
      <c r="BG176">
        <f>DC!BG53</f>
        <v>0</v>
      </c>
      <c r="BH176">
        <f>DC!BH53</f>
        <v>0</v>
      </c>
      <c r="BI176">
        <f>DC!BI53</f>
        <v>0</v>
      </c>
      <c r="BJ176">
        <f>DC!BJ53</f>
        <v>0</v>
      </c>
      <c r="BK176">
        <f>DC!BK53</f>
        <v>0</v>
      </c>
      <c r="BL176">
        <f>DC!BL53</f>
        <v>0</v>
      </c>
    </row>
    <row r="177" spans="1:64">
      <c r="A177">
        <f>DC!A54</f>
        <v>19</v>
      </c>
      <c r="B177" t="str">
        <f>DC!B54</f>
        <v>12:15-13:00</v>
      </c>
      <c r="C177">
        <f>DC!C54</f>
        <v>20</v>
      </c>
      <c r="D177" t="str">
        <f>DC!D54</f>
        <v>12:30-13:15</v>
      </c>
      <c r="E177">
        <f>DC!E54</f>
        <v>0</v>
      </c>
      <c r="F177">
        <f>DC!F54</f>
        <v>0</v>
      </c>
      <c r="G177">
        <f>DC!G54</f>
        <v>0</v>
      </c>
      <c r="H177">
        <f>DC!H54</f>
        <v>0</v>
      </c>
      <c r="I177">
        <f>DC!I54</f>
        <v>0</v>
      </c>
      <c r="J177">
        <f>DC!J54</f>
        <v>0</v>
      </c>
      <c r="K177">
        <f>DC!K54</f>
        <v>0</v>
      </c>
      <c r="L177">
        <f>DC!L54</f>
        <v>0</v>
      </c>
      <c r="M177">
        <f>DC!M54</f>
        <v>0</v>
      </c>
      <c r="N177">
        <f>DC!N54</f>
        <v>0</v>
      </c>
      <c r="O177">
        <f>DC!O54</f>
        <v>0</v>
      </c>
      <c r="P177">
        <f>DC!P54</f>
        <v>0</v>
      </c>
      <c r="Q177">
        <f>DC!Q54</f>
        <v>0</v>
      </c>
      <c r="R177">
        <f>DC!R54</f>
        <v>0</v>
      </c>
      <c r="S177">
        <f>DC!S54</f>
        <v>0</v>
      </c>
      <c r="T177">
        <f>DC!T54</f>
        <v>0</v>
      </c>
      <c r="U177">
        <f>DC!U54</f>
        <v>0</v>
      </c>
      <c r="V177">
        <f>DC!V54</f>
        <v>0</v>
      </c>
      <c r="W177">
        <f>DC!W54</f>
        <v>0</v>
      </c>
      <c r="X177">
        <f>DC!X54</f>
        <v>0</v>
      </c>
      <c r="Y177">
        <f>DC!Y54</f>
        <v>0</v>
      </c>
      <c r="Z177">
        <f>DC!Z54</f>
        <v>0</v>
      </c>
      <c r="AA177">
        <f>DC!AA54</f>
        <v>0</v>
      </c>
      <c r="AB177">
        <f>DC!AB54</f>
        <v>0</v>
      </c>
      <c r="AC177">
        <f>DC!AC54</f>
        <v>0</v>
      </c>
      <c r="AD177">
        <f>DC!AD54</f>
        <v>0</v>
      </c>
      <c r="AE177">
        <f>DC!AE54</f>
        <v>0</v>
      </c>
      <c r="AF177">
        <f>DC!AF54</f>
        <v>0</v>
      </c>
      <c r="AG177">
        <f>DC!AG54</f>
        <v>0</v>
      </c>
      <c r="AH177">
        <f>DC!AH54</f>
        <v>0</v>
      </c>
      <c r="AI177">
        <f>DC!AI54</f>
        <v>0</v>
      </c>
      <c r="AJ177">
        <f>DC!AJ54</f>
        <v>0</v>
      </c>
      <c r="AK177">
        <f>DC!AK54</f>
        <v>0</v>
      </c>
      <c r="AL177">
        <f>DC!AL54</f>
        <v>0</v>
      </c>
      <c r="AM177">
        <f>DC!AM54</f>
        <v>0</v>
      </c>
      <c r="AN177">
        <f>DC!AN54</f>
        <v>0</v>
      </c>
      <c r="AO177">
        <f>DC!AO54</f>
        <v>0</v>
      </c>
      <c r="AP177">
        <f>DC!AP54</f>
        <v>0</v>
      </c>
      <c r="AQ177">
        <f>DC!AQ54</f>
        <v>0</v>
      </c>
      <c r="AR177">
        <f>DC!AR54</f>
        <v>0</v>
      </c>
      <c r="AS177">
        <f>DC!AS54</f>
        <v>0</v>
      </c>
      <c r="AT177">
        <f>DC!AT54</f>
        <v>0</v>
      </c>
      <c r="AU177">
        <f>DC!AU54</f>
        <v>0</v>
      </c>
      <c r="AV177">
        <f>DC!AV54</f>
        <v>0</v>
      </c>
      <c r="AW177">
        <f>DC!AW54</f>
        <v>0</v>
      </c>
      <c r="AX177">
        <f>DC!AX54</f>
        <v>0</v>
      </c>
      <c r="AY177">
        <f>DC!AY54</f>
        <v>0</v>
      </c>
      <c r="AZ177">
        <f>DC!AZ54</f>
        <v>0</v>
      </c>
      <c r="BA177">
        <f>DC!BA54</f>
        <v>0</v>
      </c>
      <c r="BB177">
        <f>DC!BB54</f>
        <v>0</v>
      </c>
      <c r="BC177">
        <f>DC!BC54</f>
        <v>0</v>
      </c>
      <c r="BD177">
        <f>DC!BD54</f>
        <v>0</v>
      </c>
      <c r="BE177">
        <f>DC!BE54</f>
        <v>0</v>
      </c>
      <c r="BF177">
        <f>DC!BF54</f>
        <v>0</v>
      </c>
      <c r="BG177">
        <f>DC!BG54</f>
        <v>0</v>
      </c>
      <c r="BH177">
        <f>DC!BH54</f>
        <v>0</v>
      </c>
      <c r="BI177">
        <f>DC!BI54</f>
        <v>0</v>
      </c>
      <c r="BJ177">
        <f>DC!BJ54</f>
        <v>0</v>
      </c>
      <c r="BK177">
        <f>DC!BK54</f>
        <v>0</v>
      </c>
      <c r="BL177">
        <f>DC!BL54</f>
        <v>0</v>
      </c>
    </row>
    <row r="178" spans="1:64">
      <c r="A178">
        <f>DC!A55</f>
        <v>19</v>
      </c>
      <c r="B178" t="str">
        <f>DC!B55</f>
        <v>12:15-13:00</v>
      </c>
      <c r="C178">
        <f>DC!C55</f>
        <v>21</v>
      </c>
      <c r="D178" t="str">
        <f>DC!D55</f>
        <v>12:45-13:30</v>
      </c>
      <c r="E178">
        <f>DC!E55</f>
        <v>0</v>
      </c>
      <c r="F178">
        <f>DC!F55</f>
        <v>0</v>
      </c>
      <c r="G178">
        <f>DC!G55</f>
        <v>0</v>
      </c>
      <c r="H178">
        <f>DC!H55</f>
        <v>0</v>
      </c>
      <c r="I178">
        <f>DC!I55</f>
        <v>0</v>
      </c>
      <c r="J178">
        <f>DC!J55</f>
        <v>0</v>
      </c>
      <c r="K178">
        <f>DC!K55</f>
        <v>0</v>
      </c>
      <c r="L178">
        <f>DC!L55</f>
        <v>0</v>
      </c>
      <c r="M178">
        <f>DC!M55</f>
        <v>0</v>
      </c>
      <c r="N178">
        <f>DC!N55</f>
        <v>0</v>
      </c>
      <c r="O178">
        <f>DC!O55</f>
        <v>0</v>
      </c>
      <c r="P178">
        <f>DC!P55</f>
        <v>0</v>
      </c>
      <c r="Q178">
        <f>DC!Q55</f>
        <v>0</v>
      </c>
      <c r="R178">
        <f>DC!R55</f>
        <v>0</v>
      </c>
      <c r="S178">
        <f>DC!S55</f>
        <v>0</v>
      </c>
      <c r="T178">
        <f>DC!T55</f>
        <v>0</v>
      </c>
      <c r="U178">
        <f>DC!U55</f>
        <v>0</v>
      </c>
      <c r="V178">
        <f>DC!V55</f>
        <v>0</v>
      </c>
      <c r="W178">
        <f>DC!W55</f>
        <v>0</v>
      </c>
      <c r="X178">
        <f>DC!X55</f>
        <v>0</v>
      </c>
      <c r="Y178">
        <f>DC!Y55</f>
        <v>0</v>
      </c>
      <c r="Z178">
        <f>DC!Z55</f>
        <v>0</v>
      </c>
      <c r="AA178">
        <f>DC!AA55</f>
        <v>0</v>
      </c>
      <c r="AB178">
        <f>DC!AB55</f>
        <v>0</v>
      </c>
      <c r="AC178">
        <f>DC!AC55</f>
        <v>0</v>
      </c>
      <c r="AD178">
        <f>DC!AD55</f>
        <v>0</v>
      </c>
      <c r="AE178">
        <f>DC!AE55</f>
        <v>0</v>
      </c>
      <c r="AF178">
        <f>DC!AF55</f>
        <v>0</v>
      </c>
      <c r="AG178">
        <f>DC!AG55</f>
        <v>0</v>
      </c>
      <c r="AH178">
        <f>DC!AH55</f>
        <v>0</v>
      </c>
      <c r="AI178">
        <f>DC!AI55</f>
        <v>0</v>
      </c>
      <c r="AJ178">
        <f>DC!AJ55</f>
        <v>0</v>
      </c>
      <c r="AK178">
        <f>DC!AK55</f>
        <v>0</v>
      </c>
      <c r="AL178">
        <f>DC!AL55</f>
        <v>0</v>
      </c>
      <c r="AM178">
        <f>DC!AM55</f>
        <v>0</v>
      </c>
      <c r="AN178">
        <f>DC!AN55</f>
        <v>0</v>
      </c>
      <c r="AO178">
        <f>DC!AO55</f>
        <v>0</v>
      </c>
      <c r="AP178">
        <f>DC!AP55</f>
        <v>0</v>
      </c>
      <c r="AQ178">
        <f>DC!AQ55</f>
        <v>0</v>
      </c>
      <c r="AR178">
        <f>DC!AR55</f>
        <v>0</v>
      </c>
      <c r="AS178">
        <f>DC!AS55</f>
        <v>0</v>
      </c>
      <c r="AT178">
        <f>DC!AT55</f>
        <v>0</v>
      </c>
      <c r="AU178">
        <f>DC!AU55</f>
        <v>0</v>
      </c>
      <c r="AV178">
        <f>DC!AV55</f>
        <v>0</v>
      </c>
      <c r="AW178">
        <f>DC!AW55</f>
        <v>0</v>
      </c>
      <c r="AX178">
        <f>DC!AX55</f>
        <v>0</v>
      </c>
      <c r="AY178">
        <f>DC!AY55</f>
        <v>0</v>
      </c>
      <c r="AZ178">
        <f>DC!AZ55</f>
        <v>0</v>
      </c>
      <c r="BA178">
        <f>DC!BA55</f>
        <v>0</v>
      </c>
      <c r="BB178">
        <f>DC!BB55</f>
        <v>0</v>
      </c>
      <c r="BC178">
        <f>DC!BC55</f>
        <v>0</v>
      </c>
      <c r="BD178">
        <f>DC!BD55</f>
        <v>0</v>
      </c>
      <c r="BE178">
        <f>DC!BE55</f>
        <v>0</v>
      </c>
      <c r="BF178">
        <f>DC!BF55</f>
        <v>0</v>
      </c>
      <c r="BG178">
        <f>DC!BG55</f>
        <v>0</v>
      </c>
      <c r="BH178">
        <f>DC!BH55</f>
        <v>0</v>
      </c>
      <c r="BI178">
        <f>DC!BI55</f>
        <v>0</v>
      </c>
      <c r="BJ178">
        <f>DC!BJ55</f>
        <v>0</v>
      </c>
      <c r="BK178">
        <f>DC!BK55</f>
        <v>0</v>
      </c>
      <c r="BL178">
        <f>DC!BL55</f>
        <v>0</v>
      </c>
    </row>
    <row r="179" spans="1:64">
      <c r="A179">
        <f>DC!A56</f>
        <v>20</v>
      </c>
      <c r="B179" t="str">
        <f>DC!B56</f>
        <v>12:30-13:15</v>
      </c>
      <c r="C179">
        <f>DC!C56</f>
        <v>21</v>
      </c>
      <c r="D179" t="str">
        <f>DC!D56</f>
        <v>12:45-13:30</v>
      </c>
      <c r="E179">
        <f>DC!E56</f>
        <v>0</v>
      </c>
      <c r="F179">
        <f>DC!F56</f>
        <v>0</v>
      </c>
      <c r="G179">
        <f>DC!G56</f>
        <v>0</v>
      </c>
      <c r="H179">
        <f>DC!H56</f>
        <v>0</v>
      </c>
      <c r="I179">
        <f>DC!I56</f>
        <v>0</v>
      </c>
      <c r="J179">
        <f>DC!J56</f>
        <v>0</v>
      </c>
      <c r="K179">
        <f>DC!K56</f>
        <v>0</v>
      </c>
      <c r="L179">
        <f>DC!L56</f>
        <v>0</v>
      </c>
      <c r="M179">
        <f>DC!M56</f>
        <v>0</v>
      </c>
      <c r="N179">
        <f>DC!N56</f>
        <v>0</v>
      </c>
      <c r="O179">
        <f>DC!O56</f>
        <v>0</v>
      </c>
      <c r="P179">
        <f>DC!P56</f>
        <v>0</v>
      </c>
      <c r="Q179">
        <f>DC!Q56</f>
        <v>0</v>
      </c>
      <c r="R179">
        <f>DC!R56</f>
        <v>0</v>
      </c>
      <c r="S179">
        <f>DC!S56</f>
        <v>0</v>
      </c>
      <c r="T179">
        <f>DC!T56</f>
        <v>0</v>
      </c>
      <c r="U179">
        <f>DC!U56</f>
        <v>0</v>
      </c>
      <c r="V179">
        <f>DC!V56</f>
        <v>0</v>
      </c>
      <c r="W179">
        <f>DC!W56</f>
        <v>0</v>
      </c>
      <c r="X179">
        <f>DC!X56</f>
        <v>0</v>
      </c>
      <c r="Y179">
        <f>DC!Y56</f>
        <v>0</v>
      </c>
      <c r="Z179">
        <f>DC!Z56</f>
        <v>0</v>
      </c>
      <c r="AA179">
        <f>DC!AA56</f>
        <v>0</v>
      </c>
      <c r="AB179">
        <f>DC!AB56</f>
        <v>0</v>
      </c>
      <c r="AC179">
        <f>DC!AC56</f>
        <v>0</v>
      </c>
      <c r="AD179">
        <f>DC!AD56</f>
        <v>0</v>
      </c>
      <c r="AE179">
        <f>DC!AE56</f>
        <v>0</v>
      </c>
      <c r="AF179">
        <f>DC!AF56</f>
        <v>0</v>
      </c>
      <c r="AG179">
        <f>DC!AG56</f>
        <v>0</v>
      </c>
      <c r="AH179">
        <f>DC!AH56</f>
        <v>0</v>
      </c>
      <c r="AI179">
        <f>DC!AI56</f>
        <v>0</v>
      </c>
      <c r="AJ179">
        <f>DC!AJ56</f>
        <v>0</v>
      </c>
      <c r="AK179">
        <f>DC!AK56</f>
        <v>0</v>
      </c>
      <c r="AL179">
        <f>DC!AL56</f>
        <v>0</v>
      </c>
      <c r="AM179">
        <f>DC!AM56</f>
        <v>0</v>
      </c>
      <c r="AN179">
        <f>DC!AN56</f>
        <v>0</v>
      </c>
      <c r="AO179">
        <f>DC!AO56</f>
        <v>0</v>
      </c>
      <c r="AP179">
        <f>DC!AP56</f>
        <v>0</v>
      </c>
      <c r="AQ179">
        <f>DC!AQ56</f>
        <v>0</v>
      </c>
      <c r="AR179">
        <f>DC!AR56</f>
        <v>0</v>
      </c>
      <c r="AS179">
        <f>DC!AS56</f>
        <v>0</v>
      </c>
      <c r="AT179">
        <f>DC!AT56</f>
        <v>0</v>
      </c>
      <c r="AU179">
        <f>DC!AU56</f>
        <v>0</v>
      </c>
      <c r="AV179">
        <f>DC!AV56</f>
        <v>0</v>
      </c>
      <c r="AW179">
        <f>DC!AW56</f>
        <v>0</v>
      </c>
      <c r="AX179">
        <f>DC!AX56</f>
        <v>0</v>
      </c>
      <c r="AY179">
        <f>DC!AY56</f>
        <v>0</v>
      </c>
      <c r="AZ179">
        <f>DC!AZ56</f>
        <v>0</v>
      </c>
      <c r="BA179">
        <f>DC!BA56</f>
        <v>0</v>
      </c>
      <c r="BB179">
        <f>DC!BB56</f>
        <v>0</v>
      </c>
      <c r="BC179">
        <f>DC!BC56</f>
        <v>0</v>
      </c>
      <c r="BD179">
        <f>DC!BD56</f>
        <v>0</v>
      </c>
      <c r="BE179">
        <f>DC!BE56</f>
        <v>0</v>
      </c>
      <c r="BF179">
        <f>DC!BF56</f>
        <v>0</v>
      </c>
      <c r="BG179">
        <f>DC!BG56</f>
        <v>0</v>
      </c>
      <c r="BH179">
        <f>DC!BH56</f>
        <v>0</v>
      </c>
      <c r="BI179">
        <f>DC!BI56</f>
        <v>0</v>
      </c>
      <c r="BJ179">
        <f>DC!BJ56</f>
        <v>0</v>
      </c>
      <c r="BK179">
        <f>DC!BK56</f>
        <v>0</v>
      </c>
      <c r="BL179">
        <f>DC!BL56</f>
        <v>0</v>
      </c>
    </row>
    <row r="180" spans="1:64">
      <c r="A180">
        <f>DC!A57</f>
        <v>20</v>
      </c>
      <c r="B180" t="str">
        <f>DC!B57</f>
        <v>12:30-13:15</v>
      </c>
      <c r="C180">
        <f>DC!C57</f>
        <v>22</v>
      </c>
      <c r="D180" t="str">
        <f>DC!D57</f>
        <v>13:00-14:00</v>
      </c>
      <c r="E180">
        <f>DC!E57</f>
        <v>0</v>
      </c>
      <c r="F180">
        <f>DC!F57</f>
        <v>0</v>
      </c>
      <c r="G180">
        <f>DC!G57</f>
        <v>0</v>
      </c>
      <c r="H180">
        <f>DC!H57</f>
        <v>0</v>
      </c>
      <c r="I180">
        <f>DC!I57</f>
        <v>0</v>
      </c>
      <c r="J180">
        <f>DC!J57</f>
        <v>0</v>
      </c>
      <c r="K180">
        <f>DC!K57</f>
        <v>0</v>
      </c>
      <c r="L180">
        <f>DC!L57</f>
        <v>0</v>
      </c>
      <c r="M180">
        <f>DC!M57</f>
        <v>0</v>
      </c>
      <c r="N180">
        <f>DC!N57</f>
        <v>0</v>
      </c>
      <c r="O180">
        <f>DC!O57</f>
        <v>0</v>
      </c>
      <c r="P180">
        <f>DC!P57</f>
        <v>0</v>
      </c>
      <c r="Q180">
        <f>DC!Q57</f>
        <v>0</v>
      </c>
      <c r="R180">
        <f>DC!R57</f>
        <v>0</v>
      </c>
      <c r="S180">
        <f>DC!S57</f>
        <v>0</v>
      </c>
      <c r="T180">
        <f>DC!T57</f>
        <v>0</v>
      </c>
      <c r="U180">
        <f>DC!U57</f>
        <v>0</v>
      </c>
      <c r="V180">
        <f>DC!V57</f>
        <v>0</v>
      </c>
      <c r="W180">
        <f>DC!W57</f>
        <v>0</v>
      </c>
      <c r="X180">
        <f>DC!X57</f>
        <v>0</v>
      </c>
      <c r="Y180">
        <f>DC!Y57</f>
        <v>0</v>
      </c>
      <c r="Z180">
        <f>DC!Z57</f>
        <v>0</v>
      </c>
      <c r="AA180">
        <f>DC!AA57</f>
        <v>0</v>
      </c>
      <c r="AB180">
        <f>DC!AB57</f>
        <v>0</v>
      </c>
      <c r="AC180">
        <f>DC!AC57</f>
        <v>0</v>
      </c>
      <c r="AD180">
        <f>DC!AD57</f>
        <v>0</v>
      </c>
      <c r="AE180">
        <f>DC!AE57</f>
        <v>0</v>
      </c>
      <c r="AF180">
        <f>DC!AF57</f>
        <v>0</v>
      </c>
      <c r="AG180">
        <f>DC!AG57</f>
        <v>0</v>
      </c>
      <c r="AH180">
        <f>DC!AH57</f>
        <v>0</v>
      </c>
      <c r="AI180">
        <f>DC!AI57</f>
        <v>0</v>
      </c>
      <c r="AJ180">
        <f>DC!AJ57</f>
        <v>0</v>
      </c>
      <c r="AK180">
        <f>DC!AK57</f>
        <v>0</v>
      </c>
      <c r="AL180">
        <f>DC!AL57</f>
        <v>0</v>
      </c>
      <c r="AM180">
        <f>DC!AM57</f>
        <v>0</v>
      </c>
      <c r="AN180">
        <f>DC!AN57</f>
        <v>0</v>
      </c>
      <c r="AO180">
        <f>DC!AO57</f>
        <v>0</v>
      </c>
      <c r="AP180">
        <f>DC!AP57</f>
        <v>0</v>
      </c>
      <c r="AQ180">
        <f>DC!AQ57</f>
        <v>0</v>
      </c>
      <c r="AR180">
        <f>DC!AR57</f>
        <v>0</v>
      </c>
      <c r="AS180">
        <f>DC!AS57</f>
        <v>0</v>
      </c>
      <c r="AT180">
        <f>DC!AT57</f>
        <v>0</v>
      </c>
      <c r="AU180">
        <f>DC!AU57</f>
        <v>0</v>
      </c>
      <c r="AV180">
        <f>DC!AV57</f>
        <v>0</v>
      </c>
      <c r="AW180">
        <f>DC!AW57</f>
        <v>0</v>
      </c>
      <c r="AX180">
        <f>DC!AX57</f>
        <v>0</v>
      </c>
      <c r="AY180">
        <f>DC!AY57</f>
        <v>0</v>
      </c>
      <c r="AZ180">
        <f>DC!AZ57</f>
        <v>0</v>
      </c>
      <c r="BA180">
        <f>DC!BA57</f>
        <v>0</v>
      </c>
      <c r="BB180">
        <f>DC!BB57</f>
        <v>0</v>
      </c>
      <c r="BC180">
        <f>DC!BC57</f>
        <v>0</v>
      </c>
      <c r="BD180">
        <f>DC!BD57</f>
        <v>0</v>
      </c>
      <c r="BE180">
        <f>DC!BE57</f>
        <v>0</v>
      </c>
      <c r="BF180">
        <f>DC!BF57</f>
        <v>0</v>
      </c>
      <c r="BG180">
        <f>DC!BG57</f>
        <v>0</v>
      </c>
      <c r="BH180">
        <f>DC!BH57</f>
        <v>0</v>
      </c>
      <c r="BI180">
        <f>DC!BI57</f>
        <v>0</v>
      </c>
      <c r="BJ180">
        <f>DC!BJ57</f>
        <v>0</v>
      </c>
      <c r="BK180">
        <f>DC!BK57</f>
        <v>0</v>
      </c>
      <c r="BL180">
        <f>DC!BL57</f>
        <v>0</v>
      </c>
    </row>
    <row r="181" spans="1:64">
      <c r="A181">
        <f>DC!A58</f>
        <v>21</v>
      </c>
      <c r="B181" t="str">
        <f>DC!B58</f>
        <v>12:45-13:30</v>
      </c>
      <c r="C181">
        <f>DC!C58</f>
        <v>22</v>
      </c>
      <c r="D181" t="str">
        <f>DC!D58</f>
        <v>13:00-14:00</v>
      </c>
      <c r="E181">
        <f>DC!E58</f>
        <v>0</v>
      </c>
      <c r="F181">
        <f>DC!F58</f>
        <v>0</v>
      </c>
      <c r="G181">
        <f>DC!G58</f>
        <v>0</v>
      </c>
      <c r="H181">
        <f>DC!H58</f>
        <v>0</v>
      </c>
      <c r="I181">
        <f>DC!I58</f>
        <v>0</v>
      </c>
      <c r="J181">
        <f>DC!J58</f>
        <v>0</v>
      </c>
      <c r="K181">
        <f>DC!K58</f>
        <v>0</v>
      </c>
      <c r="L181">
        <f>DC!L58</f>
        <v>0</v>
      </c>
      <c r="M181">
        <f>DC!M58</f>
        <v>0</v>
      </c>
      <c r="N181">
        <f>DC!N58</f>
        <v>0</v>
      </c>
      <c r="O181">
        <f>DC!O58</f>
        <v>0</v>
      </c>
      <c r="P181">
        <f>DC!P58</f>
        <v>0</v>
      </c>
      <c r="Q181">
        <f>DC!Q58</f>
        <v>0</v>
      </c>
      <c r="R181">
        <f>DC!R58</f>
        <v>0</v>
      </c>
      <c r="S181">
        <f>DC!S58</f>
        <v>0</v>
      </c>
      <c r="T181">
        <f>DC!T58</f>
        <v>0</v>
      </c>
      <c r="U181">
        <f>DC!U58</f>
        <v>0</v>
      </c>
      <c r="V181">
        <f>DC!V58</f>
        <v>0</v>
      </c>
      <c r="W181">
        <f>DC!W58</f>
        <v>0</v>
      </c>
      <c r="X181">
        <f>DC!X58</f>
        <v>0</v>
      </c>
      <c r="Y181">
        <f>DC!Y58</f>
        <v>0</v>
      </c>
      <c r="Z181">
        <f>DC!Z58</f>
        <v>0</v>
      </c>
      <c r="AA181">
        <f>DC!AA58</f>
        <v>0</v>
      </c>
      <c r="AB181">
        <f>DC!AB58</f>
        <v>0</v>
      </c>
      <c r="AC181">
        <f>DC!AC58</f>
        <v>0</v>
      </c>
      <c r="AD181">
        <f>DC!AD58</f>
        <v>0</v>
      </c>
      <c r="AE181">
        <f>DC!AE58</f>
        <v>0</v>
      </c>
      <c r="AF181">
        <f>DC!AF58</f>
        <v>0</v>
      </c>
      <c r="AG181">
        <f>DC!AG58</f>
        <v>0</v>
      </c>
      <c r="AH181">
        <f>DC!AH58</f>
        <v>0</v>
      </c>
      <c r="AI181">
        <f>DC!AI58</f>
        <v>0</v>
      </c>
      <c r="AJ181">
        <f>DC!AJ58</f>
        <v>0</v>
      </c>
      <c r="AK181">
        <f>DC!AK58</f>
        <v>0</v>
      </c>
      <c r="AL181">
        <f>DC!AL58</f>
        <v>0</v>
      </c>
      <c r="AM181">
        <f>DC!AM58</f>
        <v>0</v>
      </c>
      <c r="AN181">
        <f>DC!AN58</f>
        <v>0</v>
      </c>
      <c r="AO181">
        <f>DC!AO58</f>
        <v>0</v>
      </c>
      <c r="AP181">
        <f>DC!AP58</f>
        <v>0</v>
      </c>
      <c r="AQ181">
        <f>DC!AQ58</f>
        <v>0</v>
      </c>
      <c r="AR181">
        <f>DC!AR58</f>
        <v>0</v>
      </c>
      <c r="AS181">
        <f>DC!AS58</f>
        <v>0</v>
      </c>
      <c r="AT181">
        <f>DC!AT58</f>
        <v>0</v>
      </c>
      <c r="AU181">
        <f>DC!AU58</f>
        <v>0</v>
      </c>
      <c r="AV181">
        <f>DC!AV58</f>
        <v>0</v>
      </c>
      <c r="AW181">
        <f>DC!AW58</f>
        <v>0</v>
      </c>
      <c r="AX181">
        <f>DC!AX58</f>
        <v>0</v>
      </c>
      <c r="AY181">
        <f>DC!AY58</f>
        <v>0</v>
      </c>
      <c r="AZ181">
        <f>DC!AZ58</f>
        <v>0</v>
      </c>
      <c r="BA181">
        <f>DC!BA58</f>
        <v>0</v>
      </c>
      <c r="BB181">
        <f>DC!BB58</f>
        <v>0</v>
      </c>
      <c r="BC181">
        <f>DC!BC58</f>
        <v>0</v>
      </c>
      <c r="BD181">
        <f>DC!BD58</f>
        <v>0</v>
      </c>
      <c r="BE181">
        <f>DC!BE58</f>
        <v>0</v>
      </c>
      <c r="BF181">
        <f>DC!BF58</f>
        <v>0</v>
      </c>
      <c r="BG181">
        <f>DC!BG58</f>
        <v>0</v>
      </c>
      <c r="BH181">
        <f>DC!BH58</f>
        <v>0</v>
      </c>
      <c r="BI181">
        <f>DC!BI58</f>
        <v>0</v>
      </c>
      <c r="BJ181">
        <f>DC!BJ58</f>
        <v>0</v>
      </c>
      <c r="BK181">
        <f>DC!BK58</f>
        <v>0</v>
      </c>
      <c r="BL181">
        <f>DC!BL58</f>
        <v>0</v>
      </c>
    </row>
    <row r="182" spans="1:64">
      <c r="A182">
        <f>DC!A59</f>
        <v>21</v>
      </c>
      <c r="B182" t="str">
        <f>DC!B59</f>
        <v>12:45-13:30</v>
      </c>
      <c r="C182">
        <f>DC!C59</f>
        <v>23</v>
      </c>
      <c r="D182" t="str">
        <f>DC!D59</f>
        <v>13:15-14:00</v>
      </c>
      <c r="E182">
        <f>DC!E59</f>
        <v>0</v>
      </c>
      <c r="F182">
        <f>DC!F59</f>
        <v>0</v>
      </c>
      <c r="G182">
        <f>DC!G59</f>
        <v>0</v>
      </c>
      <c r="H182">
        <f>DC!H59</f>
        <v>0</v>
      </c>
      <c r="I182">
        <f>DC!I59</f>
        <v>0</v>
      </c>
      <c r="J182">
        <f>DC!J59</f>
        <v>0</v>
      </c>
      <c r="K182">
        <f>DC!K59</f>
        <v>0</v>
      </c>
      <c r="L182">
        <f>DC!L59</f>
        <v>0</v>
      </c>
      <c r="M182">
        <f>DC!M59</f>
        <v>0</v>
      </c>
      <c r="N182">
        <f>DC!N59</f>
        <v>0</v>
      </c>
      <c r="O182">
        <f>DC!O59</f>
        <v>0</v>
      </c>
      <c r="P182">
        <f>DC!P59</f>
        <v>0</v>
      </c>
      <c r="Q182">
        <f>DC!Q59</f>
        <v>0</v>
      </c>
      <c r="R182">
        <f>DC!R59</f>
        <v>0</v>
      </c>
      <c r="S182">
        <f>DC!S59</f>
        <v>0</v>
      </c>
      <c r="T182">
        <f>DC!T59</f>
        <v>0</v>
      </c>
      <c r="U182">
        <f>DC!U59</f>
        <v>0</v>
      </c>
      <c r="V182">
        <f>DC!V59</f>
        <v>0</v>
      </c>
      <c r="W182">
        <f>DC!W59</f>
        <v>0</v>
      </c>
      <c r="X182">
        <f>DC!X59</f>
        <v>0</v>
      </c>
      <c r="Y182">
        <f>DC!Y59</f>
        <v>0</v>
      </c>
      <c r="Z182">
        <f>DC!Z59</f>
        <v>0</v>
      </c>
      <c r="AA182">
        <f>DC!AA59</f>
        <v>0</v>
      </c>
      <c r="AB182">
        <f>DC!AB59</f>
        <v>0</v>
      </c>
      <c r="AC182">
        <f>DC!AC59</f>
        <v>0</v>
      </c>
      <c r="AD182">
        <f>DC!AD59</f>
        <v>0</v>
      </c>
      <c r="AE182">
        <f>DC!AE59</f>
        <v>0</v>
      </c>
      <c r="AF182">
        <f>DC!AF59</f>
        <v>0</v>
      </c>
      <c r="AG182">
        <f>DC!AG59</f>
        <v>0</v>
      </c>
      <c r="AH182">
        <f>DC!AH59</f>
        <v>0</v>
      </c>
      <c r="AI182">
        <f>DC!AI59</f>
        <v>0</v>
      </c>
      <c r="AJ182">
        <f>DC!AJ59</f>
        <v>0</v>
      </c>
      <c r="AK182">
        <f>DC!AK59</f>
        <v>0</v>
      </c>
      <c r="AL182">
        <f>DC!AL59</f>
        <v>0</v>
      </c>
      <c r="AM182">
        <f>DC!AM59</f>
        <v>0</v>
      </c>
      <c r="AN182">
        <f>DC!AN59</f>
        <v>0</v>
      </c>
      <c r="AO182">
        <f>DC!AO59</f>
        <v>0</v>
      </c>
      <c r="AP182">
        <f>DC!AP59</f>
        <v>0</v>
      </c>
      <c r="AQ182">
        <f>DC!AQ59</f>
        <v>0</v>
      </c>
      <c r="AR182">
        <f>DC!AR59</f>
        <v>0</v>
      </c>
      <c r="AS182">
        <f>DC!AS59</f>
        <v>0</v>
      </c>
      <c r="AT182">
        <f>DC!AT59</f>
        <v>0</v>
      </c>
      <c r="AU182">
        <f>DC!AU59</f>
        <v>0</v>
      </c>
      <c r="AV182">
        <f>DC!AV59</f>
        <v>0</v>
      </c>
      <c r="AW182">
        <f>DC!AW59</f>
        <v>0</v>
      </c>
      <c r="AX182">
        <f>DC!AX59</f>
        <v>0</v>
      </c>
      <c r="AY182">
        <f>DC!AY59</f>
        <v>0</v>
      </c>
      <c r="AZ182">
        <f>DC!AZ59</f>
        <v>0</v>
      </c>
      <c r="BA182">
        <f>DC!BA59</f>
        <v>0</v>
      </c>
      <c r="BB182">
        <f>DC!BB59</f>
        <v>0</v>
      </c>
      <c r="BC182">
        <f>DC!BC59</f>
        <v>0</v>
      </c>
      <c r="BD182">
        <f>DC!BD59</f>
        <v>0</v>
      </c>
      <c r="BE182">
        <f>DC!BE59</f>
        <v>0</v>
      </c>
      <c r="BF182">
        <f>DC!BF59</f>
        <v>0</v>
      </c>
      <c r="BG182">
        <f>DC!BG59</f>
        <v>0</v>
      </c>
      <c r="BH182">
        <f>DC!BH59</f>
        <v>0</v>
      </c>
      <c r="BI182">
        <f>DC!BI59</f>
        <v>0</v>
      </c>
      <c r="BJ182">
        <f>DC!BJ59</f>
        <v>0</v>
      </c>
      <c r="BK182">
        <f>DC!BK59</f>
        <v>0</v>
      </c>
      <c r="BL182">
        <f>DC!BL59</f>
        <v>0</v>
      </c>
    </row>
    <row r="183" spans="1:64">
      <c r="A183">
        <f>DC!A60</f>
        <v>22</v>
      </c>
      <c r="B183" t="str">
        <f>DC!B60</f>
        <v>13:00-14:00</v>
      </c>
      <c r="C183">
        <f>DC!C60</f>
        <v>23</v>
      </c>
      <c r="D183" t="str">
        <f>DC!D60</f>
        <v>13:15-14:00</v>
      </c>
      <c r="E183">
        <f>DC!E60</f>
        <v>0</v>
      </c>
      <c r="F183">
        <f>DC!F60</f>
        <v>0</v>
      </c>
      <c r="G183">
        <f>DC!G60</f>
        <v>0</v>
      </c>
      <c r="H183">
        <f>DC!H60</f>
        <v>0</v>
      </c>
      <c r="I183">
        <f>DC!I60</f>
        <v>0</v>
      </c>
      <c r="J183">
        <f>DC!J60</f>
        <v>0</v>
      </c>
      <c r="K183">
        <f>DC!K60</f>
        <v>0</v>
      </c>
      <c r="L183">
        <f>DC!L60</f>
        <v>0</v>
      </c>
      <c r="M183">
        <f>DC!M60</f>
        <v>0</v>
      </c>
      <c r="N183">
        <f>DC!N60</f>
        <v>0</v>
      </c>
      <c r="O183">
        <f>DC!O60</f>
        <v>0</v>
      </c>
      <c r="P183">
        <f>DC!P60</f>
        <v>0</v>
      </c>
      <c r="Q183">
        <f>DC!Q60</f>
        <v>0</v>
      </c>
      <c r="R183">
        <f>DC!R60</f>
        <v>0</v>
      </c>
      <c r="S183">
        <f>DC!S60</f>
        <v>0</v>
      </c>
      <c r="T183">
        <f>DC!T60</f>
        <v>0</v>
      </c>
      <c r="U183">
        <f>DC!U60</f>
        <v>0</v>
      </c>
      <c r="V183">
        <f>DC!V60</f>
        <v>0</v>
      </c>
      <c r="W183">
        <f>DC!W60</f>
        <v>0</v>
      </c>
      <c r="X183">
        <f>DC!X60</f>
        <v>0</v>
      </c>
      <c r="Y183">
        <f>DC!Y60</f>
        <v>0</v>
      </c>
      <c r="Z183">
        <f>DC!Z60</f>
        <v>0</v>
      </c>
      <c r="AA183">
        <f>DC!AA60</f>
        <v>0</v>
      </c>
      <c r="AB183">
        <f>DC!AB60</f>
        <v>0</v>
      </c>
      <c r="AC183">
        <f>DC!AC60</f>
        <v>0</v>
      </c>
      <c r="AD183">
        <f>DC!AD60</f>
        <v>0</v>
      </c>
      <c r="AE183">
        <f>DC!AE60</f>
        <v>0</v>
      </c>
      <c r="AF183">
        <f>DC!AF60</f>
        <v>0</v>
      </c>
      <c r="AG183">
        <f>DC!AG60</f>
        <v>0</v>
      </c>
      <c r="AH183">
        <f>DC!AH60</f>
        <v>0</v>
      </c>
      <c r="AI183">
        <f>DC!AI60</f>
        <v>0</v>
      </c>
      <c r="AJ183">
        <f>DC!AJ60</f>
        <v>0</v>
      </c>
      <c r="AK183">
        <f>DC!AK60</f>
        <v>0</v>
      </c>
      <c r="AL183">
        <f>DC!AL60</f>
        <v>0</v>
      </c>
      <c r="AM183">
        <f>DC!AM60</f>
        <v>0</v>
      </c>
      <c r="AN183">
        <f>DC!AN60</f>
        <v>0</v>
      </c>
      <c r="AO183">
        <f>DC!AO60</f>
        <v>0</v>
      </c>
      <c r="AP183">
        <f>DC!AP60</f>
        <v>0</v>
      </c>
      <c r="AQ183">
        <f>DC!AQ60</f>
        <v>0</v>
      </c>
      <c r="AR183">
        <f>DC!AR60</f>
        <v>0</v>
      </c>
      <c r="AS183">
        <f>DC!AS60</f>
        <v>0</v>
      </c>
      <c r="AT183">
        <f>DC!AT60</f>
        <v>0</v>
      </c>
      <c r="AU183">
        <f>DC!AU60</f>
        <v>0</v>
      </c>
      <c r="AV183">
        <f>DC!AV60</f>
        <v>0</v>
      </c>
      <c r="AW183">
        <f>DC!AW60</f>
        <v>0</v>
      </c>
      <c r="AX183">
        <f>DC!AX60</f>
        <v>0</v>
      </c>
      <c r="AY183">
        <f>DC!AY60</f>
        <v>0</v>
      </c>
      <c r="AZ183">
        <f>DC!AZ60</f>
        <v>0</v>
      </c>
      <c r="BA183">
        <f>DC!BA60</f>
        <v>0</v>
      </c>
      <c r="BB183">
        <f>DC!BB60</f>
        <v>0</v>
      </c>
      <c r="BC183">
        <f>DC!BC60</f>
        <v>0</v>
      </c>
      <c r="BD183">
        <f>DC!BD60</f>
        <v>0</v>
      </c>
      <c r="BE183">
        <f>DC!BE60</f>
        <v>0</v>
      </c>
      <c r="BF183">
        <f>DC!BF60</f>
        <v>0</v>
      </c>
      <c r="BG183">
        <f>DC!BG60</f>
        <v>0</v>
      </c>
      <c r="BH183">
        <f>DC!BH60</f>
        <v>0</v>
      </c>
      <c r="BI183">
        <f>DC!BI60</f>
        <v>0</v>
      </c>
      <c r="BJ183">
        <f>DC!BJ60</f>
        <v>0</v>
      </c>
      <c r="BK183">
        <f>DC!BK60</f>
        <v>0</v>
      </c>
      <c r="BL183">
        <f>DC!BL60</f>
        <v>0</v>
      </c>
    </row>
    <row r="184" spans="1:64">
      <c r="A184">
        <f>DC!A61</f>
        <v>22</v>
      </c>
      <c r="B184" t="str">
        <f>DC!B61</f>
        <v>13:00-14:00</v>
      </c>
      <c r="C184">
        <f>DC!C61</f>
        <v>24</v>
      </c>
      <c r="D184" t="str">
        <f>DC!D61</f>
        <v>13:30-14:15</v>
      </c>
      <c r="E184">
        <f>DC!E61</f>
        <v>0</v>
      </c>
      <c r="F184">
        <f>DC!F61</f>
        <v>0</v>
      </c>
      <c r="G184">
        <f>DC!G61</f>
        <v>0</v>
      </c>
      <c r="H184">
        <f>DC!H61</f>
        <v>0</v>
      </c>
      <c r="I184">
        <f>DC!I61</f>
        <v>0</v>
      </c>
      <c r="J184">
        <f>DC!J61</f>
        <v>0</v>
      </c>
      <c r="K184">
        <f>DC!K61</f>
        <v>0</v>
      </c>
      <c r="L184">
        <f>DC!L61</f>
        <v>0</v>
      </c>
      <c r="M184">
        <f>DC!M61</f>
        <v>0</v>
      </c>
      <c r="N184">
        <f>DC!N61</f>
        <v>0</v>
      </c>
      <c r="O184">
        <f>DC!O61</f>
        <v>0</v>
      </c>
      <c r="P184">
        <f>DC!P61</f>
        <v>0</v>
      </c>
      <c r="Q184">
        <f>DC!Q61</f>
        <v>0</v>
      </c>
      <c r="R184">
        <f>DC!R61</f>
        <v>0</v>
      </c>
      <c r="S184">
        <f>DC!S61</f>
        <v>0</v>
      </c>
      <c r="T184">
        <f>DC!T61</f>
        <v>0</v>
      </c>
      <c r="U184">
        <f>DC!U61</f>
        <v>0</v>
      </c>
      <c r="V184">
        <f>DC!V61</f>
        <v>0</v>
      </c>
      <c r="W184">
        <f>DC!W61</f>
        <v>0</v>
      </c>
      <c r="X184">
        <f>DC!X61</f>
        <v>0</v>
      </c>
      <c r="Y184">
        <f>DC!Y61</f>
        <v>0</v>
      </c>
      <c r="Z184">
        <f>DC!Z61</f>
        <v>0</v>
      </c>
      <c r="AA184">
        <f>DC!AA61</f>
        <v>0</v>
      </c>
      <c r="AB184">
        <f>DC!AB61</f>
        <v>0</v>
      </c>
      <c r="AC184">
        <f>DC!AC61</f>
        <v>0</v>
      </c>
      <c r="AD184">
        <f>DC!AD61</f>
        <v>0</v>
      </c>
      <c r="AE184">
        <f>DC!AE61</f>
        <v>0</v>
      </c>
      <c r="AF184">
        <f>DC!AF61</f>
        <v>0</v>
      </c>
      <c r="AG184">
        <f>DC!AG61</f>
        <v>0</v>
      </c>
      <c r="AH184">
        <f>DC!AH61</f>
        <v>0</v>
      </c>
      <c r="AI184">
        <f>DC!AI61</f>
        <v>0</v>
      </c>
      <c r="AJ184">
        <f>DC!AJ61</f>
        <v>0</v>
      </c>
      <c r="AK184">
        <f>DC!AK61</f>
        <v>0</v>
      </c>
      <c r="AL184">
        <f>DC!AL61</f>
        <v>0</v>
      </c>
      <c r="AM184">
        <f>DC!AM61</f>
        <v>0</v>
      </c>
      <c r="AN184">
        <f>DC!AN61</f>
        <v>0</v>
      </c>
      <c r="AO184">
        <f>DC!AO61</f>
        <v>0</v>
      </c>
      <c r="AP184">
        <f>DC!AP61</f>
        <v>0</v>
      </c>
      <c r="AQ184">
        <f>DC!AQ61</f>
        <v>0</v>
      </c>
      <c r="AR184">
        <f>DC!AR61</f>
        <v>0</v>
      </c>
      <c r="AS184">
        <f>DC!AS61</f>
        <v>0</v>
      </c>
      <c r="AT184">
        <f>DC!AT61</f>
        <v>0</v>
      </c>
      <c r="AU184">
        <f>DC!AU61</f>
        <v>0</v>
      </c>
      <c r="AV184">
        <f>DC!AV61</f>
        <v>0</v>
      </c>
      <c r="AW184">
        <f>DC!AW61</f>
        <v>0</v>
      </c>
      <c r="AX184">
        <f>DC!AX61</f>
        <v>0</v>
      </c>
      <c r="AY184">
        <f>DC!AY61</f>
        <v>0</v>
      </c>
      <c r="AZ184">
        <f>DC!AZ61</f>
        <v>0</v>
      </c>
      <c r="BA184">
        <f>DC!BA61</f>
        <v>0</v>
      </c>
      <c r="BB184">
        <f>DC!BB61</f>
        <v>0</v>
      </c>
      <c r="BC184">
        <f>DC!BC61</f>
        <v>0</v>
      </c>
      <c r="BD184">
        <f>DC!BD61</f>
        <v>0</v>
      </c>
      <c r="BE184">
        <f>DC!BE61</f>
        <v>0</v>
      </c>
      <c r="BF184">
        <f>DC!BF61</f>
        <v>0</v>
      </c>
      <c r="BG184">
        <f>DC!BG61</f>
        <v>0</v>
      </c>
      <c r="BH184">
        <f>DC!BH61</f>
        <v>0</v>
      </c>
      <c r="BI184">
        <f>DC!BI61</f>
        <v>0</v>
      </c>
      <c r="BJ184">
        <f>DC!BJ61</f>
        <v>0</v>
      </c>
      <c r="BK184">
        <f>DC!BK61</f>
        <v>0</v>
      </c>
      <c r="BL184">
        <f>DC!BL61</f>
        <v>0</v>
      </c>
    </row>
    <row r="185" spans="1:64">
      <c r="A185">
        <f>DC!A62</f>
        <v>22</v>
      </c>
      <c r="B185" t="str">
        <f>DC!B62</f>
        <v>13:00-14:00</v>
      </c>
      <c r="C185">
        <f>DC!C62</f>
        <v>25</v>
      </c>
      <c r="D185" t="str">
        <f>DC!D62</f>
        <v>13:45-14:30</v>
      </c>
      <c r="E185">
        <f>DC!E62</f>
        <v>0</v>
      </c>
      <c r="F185">
        <f>DC!F62</f>
        <v>0</v>
      </c>
      <c r="G185">
        <f>DC!G62</f>
        <v>0</v>
      </c>
      <c r="H185">
        <f>DC!H62</f>
        <v>0</v>
      </c>
      <c r="I185">
        <f>DC!I62</f>
        <v>0</v>
      </c>
      <c r="J185">
        <f>DC!J62</f>
        <v>0</v>
      </c>
      <c r="K185">
        <f>DC!K62</f>
        <v>0</v>
      </c>
      <c r="L185">
        <f>DC!L62</f>
        <v>0</v>
      </c>
      <c r="M185">
        <f>DC!M62</f>
        <v>0</v>
      </c>
      <c r="N185">
        <f>DC!N62</f>
        <v>0</v>
      </c>
      <c r="O185">
        <f>DC!O62</f>
        <v>0</v>
      </c>
      <c r="P185">
        <f>DC!P62</f>
        <v>0</v>
      </c>
      <c r="Q185">
        <f>DC!Q62</f>
        <v>0</v>
      </c>
      <c r="R185">
        <f>DC!R62</f>
        <v>0</v>
      </c>
      <c r="S185">
        <f>DC!S62</f>
        <v>0</v>
      </c>
      <c r="T185">
        <f>DC!T62</f>
        <v>0</v>
      </c>
      <c r="U185">
        <f>DC!U62</f>
        <v>0</v>
      </c>
      <c r="V185">
        <f>DC!V62</f>
        <v>0</v>
      </c>
      <c r="W185">
        <f>DC!W62</f>
        <v>0</v>
      </c>
      <c r="X185">
        <f>DC!X62</f>
        <v>0</v>
      </c>
      <c r="Y185">
        <f>DC!Y62</f>
        <v>0</v>
      </c>
      <c r="Z185">
        <f>DC!Z62</f>
        <v>0</v>
      </c>
      <c r="AA185">
        <f>DC!AA62</f>
        <v>0</v>
      </c>
      <c r="AB185">
        <f>DC!AB62</f>
        <v>0</v>
      </c>
      <c r="AC185">
        <f>DC!AC62</f>
        <v>0</v>
      </c>
      <c r="AD185">
        <f>DC!AD62</f>
        <v>0</v>
      </c>
      <c r="AE185">
        <f>DC!AE62</f>
        <v>0</v>
      </c>
      <c r="AF185">
        <f>DC!AF62</f>
        <v>0</v>
      </c>
      <c r="AG185">
        <f>DC!AG62</f>
        <v>0</v>
      </c>
      <c r="AH185">
        <f>DC!AH62</f>
        <v>0</v>
      </c>
      <c r="AI185">
        <f>DC!AI62</f>
        <v>0</v>
      </c>
      <c r="AJ185">
        <f>DC!AJ62</f>
        <v>0</v>
      </c>
      <c r="AK185">
        <f>DC!AK62</f>
        <v>0</v>
      </c>
      <c r="AL185">
        <f>DC!AL62</f>
        <v>0</v>
      </c>
      <c r="AM185">
        <f>DC!AM62</f>
        <v>0</v>
      </c>
      <c r="AN185">
        <f>DC!AN62</f>
        <v>0</v>
      </c>
      <c r="AO185">
        <f>DC!AO62</f>
        <v>0</v>
      </c>
      <c r="AP185">
        <f>DC!AP62</f>
        <v>0</v>
      </c>
      <c r="AQ185">
        <f>DC!AQ62</f>
        <v>0</v>
      </c>
      <c r="AR185">
        <f>DC!AR62</f>
        <v>0</v>
      </c>
      <c r="AS185">
        <f>DC!AS62</f>
        <v>0</v>
      </c>
      <c r="AT185">
        <f>DC!AT62</f>
        <v>0</v>
      </c>
      <c r="AU185">
        <f>DC!AU62</f>
        <v>0</v>
      </c>
      <c r="AV185">
        <f>DC!AV62</f>
        <v>0</v>
      </c>
      <c r="AW185">
        <f>DC!AW62</f>
        <v>0</v>
      </c>
      <c r="AX185">
        <f>DC!AX62</f>
        <v>0</v>
      </c>
      <c r="AY185">
        <f>DC!AY62</f>
        <v>0</v>
      </c>
      <c r="AZ185">
        <f>DC!AZ62</f>
        <v>0</v>
      </c>
      <c r="BA185">
        <f>DC!BA62</f>
        <v>0</v>
      </c>
      <c r="BB185">
        <f>DC!BB62</f>
        <v>0</v>
      </c>
      <c r="BC185">
        <f>DC!BC62</f>
        <v>0</v>
      </c>
      <c r="BD185">
        <f>DC!BD62</f>
        <v>0</v>
      </c>
      <c r="BE185">
        <f>DC!BE62</f>
        <v>0</v>
      </c>
      <c r="BF185">
        <f>DC!BF62</f>
        <v>0</v>
      </c>
      <c r="BG185">
        <f>DC!BG62</f>
        <v>0</v>
      </c>
      <c r="BH185">
        <f>DC!BH62</f>
        <v>0</v>
      </c>
      <c r="BI185">
        <f>DC!BI62</f>
        <v>0</v>
      </c>
      <c r="BJ185">
        <f>DC!BJ62</f>
        <v>0</v>
      </c>
      <c r="BK185">
        <f>DC!BK62</f>
        <v>0</v>
      </c>
      <c r="BL185">
        <f>DC!BL62</f>
        <v>0</v>
      </c>
    </row>
    <row r="186" spans="1:64">
      <c r="A186">
        <f>DC!A63</f>
        <v>23</v>
      </c>
      <c r="B186" t="str">
        <f>DC!B63</f>
        <v>13:15-14:00</v>
      </c>
      <c r="C186">
        <f>DC!C63</f>
        <v>24</v>
      </c>
      <c r="D186" t="str">
        <f>DC!D63</f>
        <v>13:30-14:15</v>
      </c>
      <c r="E186">
        <f>DC!E63</f>
        <v>0</v>
      </c>
      <c r="F186">
        <f>DC!F63</f>
        <v>0</v>
      </c>
      <c r="G186">
        <f>DC!G63</f>
        <v>0</v>
      </c>
      <c r="H186">
        <f>DC!H63</f>
        <v>0</v>
      </c>
      <c r="I186">
        <f>DC!I63</f>
        <v>0</v>
      </c>
      <c r="J186">
        <f>DC!J63</f>
        <v>0</v>
      </c>
      <c r="K186">
        <f>DC!K63</f>
        <v>0</v>
      </c>
      <c r="L186">
        <f>DC!L63</f>
        <v>0</v>
      </c>
      <c r="M186">
        <f>DC!M63</f>
        <v>0</v>
      </c>
      <c r="N186">
        <f>DC!N63</f>
        <v>0</v>
      </c>
      <c r="O186">
        <f>DC!O63</f>
        <v>0</v>
      </c>
      <c r="P186">
        <f>DC!P63</f>
        <v>0</v>
      </c>
      <c r="Q186">
        <f>DC!Q63</f>
        <v>0</v>
      </c>
      <c r="R186">
        <f>DC!R63</f>
        <v>0</v>
      </c>
      <c r="S186">
        <f>DC!S63</f>
        <v>0</v>
      </c>
      <c r="T186">
        <f>DC!T63</f>
        <v>0</v>
      </c>
      <c r="U186">
        <f>DC!U63</f>
        <v>0</v>
      </c>
      <c r="V186">
        <f>DC!V63</f>
        <v>0</v>
      </c>
      <c r="W186">
        <f>DC!W63</f>
        <v>0</v>
      </c>
      <c r="X186">
        <f>DC!X63</f>
        <v>0</v>
      </c>
      <c r="Y186">
        <f>DC!Y63</f>
        <v>0</v>
      </c>
      <c r="Z186">
        <f>DC!Z63</f>
        <v>0</v>
      </c>
      <c r="AA186">
        <f>DC!AA63</f>
        <v>0</v>
      </c>
      <c r="AB186">
        <f>DC!AB63</f>
        <v>0</v>
      </c>
      <c r="AC186">
        <f>DC!AC63</f>
        <v>0</v>
      </c>
      <c r="AD186">
        <f>DC!AD63</f>
        <v>0</v>
      </c>
      <c r="AE186">
        <f>DC!AE63</f>
        <v>0</v>
      </c>
      <c r="AF186">
        <f>DC!AF63</f>
        <v>0</v>
      </c>
      <c r="AG186">
        <f>DC!AG63</f>
        <v>0</v>
      </c>
      <c r="AH186">
        <f>DC!AH63</f>
        <v>0</v>
      </c>
      <c r="AI186">
        <f>DC!AI63</f>
        <v>0</v>
      </c>
      <c r="AJ186">
        <f>DC!AJ63</f>
        <v>0</v>
      </c>
      <c r="AK186">
        <f>DC!AK63</f>
        <v>0</v>
      </c>
      <c r="AL186">
        <f>DC!AL63</f>
        <v>0</v>
      </c>
      <c r="AM186">
        <f>DC!AM63</f>
        <v>0</v>
      </c>
      <c r="AN186">
        <f>DC!AN63</f>
        <v>0</v>
      </c>
      <c r="AO186">
        <f>DC!AO63</f>
        <v>0</v>
      </c>
      <c r="AP186">
        <f>DC!AP63</f>
        <v>0</v>
      </c>
      <c r="AQ186">
        <f>DC!AQ63</f>
        <v>0</v>
      </c>
      <c r="AR186">
        <f>DC!AR63</f>
        <v>0</v>
      </c>
      <c r="AS186">
        <f>DC!AS63</f>
        <v>0</v>
      </c>
      <c r="AT186">
        <f>DC!AT63</f>
        <v>0</v>
      </c>
      <c r="AU186">
        <f>DC!AU63</f>
        <v>0</v>
      </c>
      <c r="AV186">
        <f>DC!AV63</f>
        <v>0</v>
      </c>
      <c r="AW186">
        <f>DC!AW63</f>
        <v>0</v>
      </c>
      <c r="AX186">
        <f>DC!AX63</f>
        <v>0</v>
      </c>
      <c r="AY186">
        <f>DC!AY63</f>
        <v>0</v>
      </c>
      <c r="AZ186">
        <f>DC!AZ63</f>
        <v>0</v>
      </c>
      <c r="BA186">
        <f>DC!BA63</f>
        <v>0</v>
      </c>
      <c r="BB186">
        <f>DC!BB63</f>
        <v>0</v>
      </c>
      <c r="BC186">
        <f>DC!BC63</f>
        <v>0</v>
      </c>
      <c r="BD186">
        <f>DC!BD63</f>
        <v>0</v>
      </c>
      <c r="BE186">
        <f>DC!BE63</f>
        <v>0</v>
      </c>
      <c r="BF186">
        <f>DC!BF63</f>
        <v>0</v>
      </c>
      <c r="BG186">
        <f>DC!BG63</f>
        <v>0</v>
      </c>
      <c r="BH186">
        <f>DC!BH63</f>
        <v>0</v>
      </c>
      <c r="BI186">
        <f>DC!BI63</f>
        <v>0</v>
      </c>
      <c r="BJ186">
        <f>DC!BJ63</f>
        <v>0</v>
      </c>
      <c r="BK186">
        <f>DC!BK63</f>
        <v>0</v>
      </c>
      <c r="BL186">
        <f>DC!BL63</f>
        <v>0</v>
      </c>
    </row>
    <row r="187" spans="1:64">
      <c r="A187">
        <f>DC!A64</f>
        <v>23</v>
      </c>
      <c r="B187" t="str">
        <f>DC!B64</f>
        <v>13:15-14:00</v>
      </c>
      <c r="C187">
        <f>DC!C64</f>
        <v>25</v>
      </c>
      <c r="D187" t="str">
        <f>DC!D64</f>
        <v>13:45-14:30</v>
      </c>
      <c r="E187">
        <f>DC!E64</f>
        <v>0</v>
      </c>
      <c r="F187">
        <f>DC!F64</f>
        <v>0</v>
      </c>
      <c r="G187">
        <f>DC!G64</f>
        <v>0</v>
      </c>
      <c r="H187">
        <f>DC!H64</f>
        <v>0</v>
      </c>
      <c r="I187">
        <f>DC!I64</f>
        <v>0</v>
      </c>
      <c r="J187">
        <f>DC!J64</f>
        <v>0</v>
      </c>
      <c r="K187">
        <f>DC!K64</f>
        <v>0</v>
      </c>
      <c r="L187">
        <f>DC!L64</f>
        <v>0</v>
      </c>
      <c r="M187">
        <f>DC!M64</f>
        <v>0</v>
      </c>
      <c r="N187">
        <f>DC!N64</f>
        <v>0</v>
      </c>
      <c r="O187">
        <f>DC!O64</f>
        <v>0</v>
      </c>
      <c r="P187">
        <f>DC!P64</f>
        <v>0</v>
      </c>
      <c r="Q187">
        <f>DC!Q64</f>
        <v>0</v>
      </c>
      <c r="R187">
        <f>DC!R64</f>
        <v>0</v>
      </c>
      <c r="S187">
        <f>DC!S64</f>
        <v>0</v>
      </c>
      <c r="T187">
        <f>DC!T64</f>
        <v>0</v>
      </c>
      <c r="U187">
        <f>DC!U64</f>
        <v>0</v>
      </c>
      <c r="V187">
        <f>DC!V64</f>
        <v>0</v>
      </c>
      <c r="W187">
        <f>DC!W64</f>
        <v>0</v>
      </c>
      <c r="X187">
        <f>DC!X64</f>
        <v>0</v>
      </c>
      <c r="Y187">
        <f>DC!Y64</f>
        <v>0</v>
      </c>
      <c r="Z187">
        <f>DC!Z64</f>
        <v>0</v>
      </c>
      <c r="AA187">
        <f>DC!AA64</f>
        <v>0</v>
      </c>
      <c r="AB187">
        <f>DC!AB64</f>
        <v>0</v>
      </c>
      <c r="AC187">
        <f>DC!AC64</f>
        <v>0</v>
      </c>
      <c r="AD187">
        <f>DC!AD64</f>
        <v>0</v>
      </c>
      <c r="AE187">
        <f>DC!AE64</f>
        <v>0</v>
      </c>
      <c r="AF187">
        <f>DC!AF64</f>
        <v>0</v>
      </c>
      <c r="AG187">
        <f>DC!AG64</f>
        <v>0</v>
      </c>
      <c r="AH187">
        <f>DC!AH64</f>
        <v>0</v>
      </c>
      <c r="AI187">
        <f>DC!AI64</f>
        <v>0</v>
      </c>
      <c r="AJ187">
        <f>DC!AJ64</f>
        <v>0</v>
      </c>
      <c r="AK187">
        <f>DC!AK64</f>
        <v>0</v>
      </c>
      <c r="AL187">
        <f>DC!AL64</f>
        <v>0</v>
      </c>
      <c r="AM187">
        <f>DC!AM64</f>
        <v>0</v>
      </c>
      <c r="AN187">
        <f>DC!AN64</f>
        <v>0</v>
      </c>
      <c r="AO187">
        <f>DC!AO64</f>
        <v>0</v>
      </c>
      <c r="AP187">
        <f>DC!AP64</f>
        <v>0</v>
      </c>
      <c r="AQ187">
        <f>DC!AQ64</f>
        <v>0</v>
      </c>
      <c r="AR187">
        <f>DC!AR64</f>
        <v>0</v>
      </c>
      <c r="AS187">
        <f>DC!AS64</f>
        <v>0</v>
      </c>
      <c r="AT187">
        <f>DC!AT64</f>
        <v>0</v>
      </c>
      <c r="AU187">
        <f>DC!AU64</f>
        <v>0</v>
      </c>
      <c r="AV187">
        <f>DC!AV64</f>
        <v>0</v>
      </c>
      <c r="AW187">
        <f>DC!AW64</f>
        <v>0</v>
      </c>
      <c r="AX187">
        <f>DC!AX64</f>
        <v>0</v>
      </c>
      <c r="AY187">
        <f>DC!AY64</f>
        <v>0</v>
      </c>
      <c r="AZ187">
        <f>DC!AZ64</f>
        <v>0</v>
      </c>
      <c r="BA187">
        <f>DC!BA64</f>
        <v>0</v>
      </c>
      <c r="BB187">
        <f>DC!BB64</f>
        <v>0</v>
      </c>
      <c r="BC187">
        <f>DC!BC64</f>
        <v>0</v>
      </c>
      <c r="BD187">
        <f>DC!BD64</f>
        <v>0</v>
      </c>
      <c r="BE187">
        <f>DC!BE64</f>
        <v>0</v>
      </c>
      <c r="BF187">
        <f>DC!BF64</f>
        <v>0</v>
      </c>
      <c r="BG187">
        <f>DC!BG64</f>
        <v>0</v>
      </c>
      <c r="BH187">
        <f>DC!BH64</f>
        <v>0</v>
      </c>
      <c r="BI187">
        <f>DC!BI64</f>
        <v>0</v>
      </c>
      <c r="BJ187">
        <f>DC!BJ64</f>
        <v>0</v>
      </c>
      <c r="BK187">
        <f>DC!BK64</f>
        <v>0</v>
      </c>
      <c r="BL187">
        <f>DC!BL64</f>
        <v>0</v>
      </c>
    </row>
    <row r="188" spans="1:64">
      <c r="A188">
        <f>DC!A65</f>
        <v>24</v>
      </c>
      <c r="B188" t="str">
        <f>DC!B65</f>
        <v>13:30-14:15</v>
      </c>
      <c r="C188">
        <f>DC!C65</f>
        <v>25</v>
      </c>
      <c r="D188" t="str">
        <f>DC!D65</f>
        <v>13:45-14:30</v>
      </c>
      <c r="E188">
        <f>DC!E65</f>
        <v>0</v>
      </c>
      <c r="F188">
        <f>DC!F65</f>
        <v>0</v>
      </c>
      <c r="G188">
        <f>DC!G65</f>
        <v>0</v>
      </c>
      <c r="H188">
        <f>DC!H65</f>
        <v>0</v>
      </c>
      <c r="I188">
        <f>DC!I65</f>
        <v>0</v>
      </c>
      <c r="J188">
        <f>DC!J65</f>
        <v>0</v>
      </c>
      <c r="K188">
        <f>DC!K65</f>
        <v>0</v>
      </c>
      <c r="L188">
        <f>DC!L65</f>
        <v>0</v>
      </c>
      <c r="M188">
        <f>DC!M65</f>
        <v>0</v>
      </c>
      <c r="N188">
        <f>DC!N65</f>
        <v>0</v>
      </c>
      <c r="O188">
        <f>DC!O65</f>
        <v>0</v>
      </c>
      <c r="P188">
        <f>DC!P65</f>
        <v>0</v>
      </c>
      <c r="Q188">
        <f>DC!Q65</f>
        <v>0</v>
      </c>
      <c r="R188">
        <f>DC!R65</f>
        <v>0</v>
      </c>
      <c r="S188">
        <f>DC!S65</f>
        <v>0</v>
      </c>
      <c r="T188">
        <f>DC!T65</f>
        <v>0</v>
      </c>
      <c r="U188">
        <f>DC!U65</f>
        <v>0</v>
      </c>
      <c r="V188">
        <f>DC!V65</f>
        <v>0</v>
      </c>
      <c r="W188">
        <f>DC!W65</f>
        <v>0</v>
      </c>
      <c r="X188">
        <f>DC!X65</f>
        <v>0</v>
      </c>
      <c r="Y188">
        <f>DC!Y65</f>
        <v>0</v>
      </c>
      <c r="Z188">
        <f>DC!Z65</f>
        <v>0</v>
      </c>
      <c r="AA188">
        <f>DC!AA65</f>
        <v>0</v>
      </c>
      <c r="AB188">
        <f>DC!AB65</f>
        <v>0</v>
      </c>
      <c r="AC188">
        <f>DC!AC65</f>
        <v>0</v>
      </c>
      <c r="AD188">
        <f>DC!AD65</f>
        <v>0</v>
      </c>
      <c r="AE188">
        <f>DC!AE65</f>
        <v>0</v>
      </c>
      <c r="AF188">
        <f>DC!AF65</f>
        <v>0</v>
      </c>
      <c r="AG188">
        <f>DC!AG65</f>
        <v>0</v>
      </c>
      <c r="AH188">
        <f>DC!AH65</f>
        <v>0</v>
      </c>
      <c r="AI188">
        <f>DC!AI65</f>
        <v>0</v>
      </c>
      <c r="AJ188">
        <f>DC!AJ65</f>
        <v>0</v>
      </c>
      <c r="AK188">
        <f>DC!AK65</f>
        <v>0</v>
      </c>
      <c r="AL188">
        <f>DC!AL65</f>
        <v>0</v>
      </c>
      <c r="AM188">
        <f>DC!AM65</f>
        <v>0</v>
      </c>
      <c r="AN188">
        <f>DC!AN65</f>
        <v>0</v>
      </c>
      <c r="AO188">
        <f>DC!AO65</f>
        <v>0</v>
      </c>
      <c r="AP188">
        <f>DC!AP65</f>
        <v>0</v>
      </c>
      <c r="AQ188">
        <f>DC!AQ65</f>
        <v>0</v>
      </c>
      <c r="AR188">
        <f>DC!AR65</f>
        <v>0</v>
      </c>
      <c r="AS188">
        <f>DC!AS65</f>
        <v>0</v>
      </c>
      <c r="AT188">
        <f>DC!AT65</f>
        <v>0</v>
      </c>
      <c r="AU188">
        <f>DC!AU65</f>
        <v>0</v>
      </c>
      <c r="AV188">
        <f>DC!AV65</f>
        <v>0</v>
      </c>
      <c r="AW188">
        <f>DC!AW65</f>
        <v>0</v>
      </c>
      <c r="AX188">
        <f>DC!AX65</f>
        <v>0</v>
      </c>
      <c r="AY188">
        <f>DC!AY65</f>
        <v>0</v>
      </c>
      <c r="AZ188">
        <f>DC!AZ65</f>
        <v>0</v>
      </c>
      <c r="BA188">
        <f>DC!BA65</f>
        <v>0</v>
      </c>
      <c r="BB188">
        <f>DC!BB65</f>
        <v>0</v>
      </c>
      <c r="BC188">
        <f>DC!BC65</f>
        <v>0</v>
      </c>
      <c r="BD188">
        <f>DC!BD65</f>
        <v>0</v>
      </c>
      <c r="BE188">
        <f>DC!BE65</f>
        <v>0</v>
      </c>
      <c r="BF188">
        <f>DC!BF65</f>
        <v>0</v>
      </c>
      <c r="BG188">
        <f>DC!BG65</f>
        <v>0</v>
      </c>
      <c r="BH188">
        <f>DC!BH65</f>
        <v>0</v>
      </c>
      <c r="BI188">
        <f>DC!BI65</f>
        <v>0</v>
      </c>
      <c r="BJ188">
        <f>DC!BJ65</f>
        <v>0</v>
      </c>
      <c r="BK188">
        <f>DC!BK65</f>
        <v>0</v>
      </c>
      <c r="BL188">
        <f>DC!BL65</f>
        <v>0</v>
      </c>
    </row>
    <row r="189" spans="1:64">
      <c r="A189">
        <f>DC!A66</f>
        <v>24</v>
      </c>
      <c r="B189" t="str">
        <f>DC!B66</f>
        <v>13:30-14:15</v>
      </c>
      <c r="C189">
        <f>DC!C66</f>
        <v>26</v>
      </c>
      <c r="D189" t="str">
        <f>DC!D66</f>
        <v>14:00-15:00</v>
      </c>
      <c r="E189">
        <f>DC!E66</f>
        <v>1</v>
      </c>
      <c r="F189">
        <f>DC!F66</f>
        <v>0</v>
      </c>
      <c r="G189">
        <f>DC!G66</f>
        <v>0</v>
      </c>
      <c r="H189">
        <f>DC!H66</f>
        <v>0</v>
      </c>
      <c r="I189">
        <f>DC!I66</f>
        <v>0</v>
      </c>
      <c r="J189">
        <f>DC!J66</f>
        <v>0</v>
      </c>
      <c r="K189">
        <f>DC!K66</f>
        <v>0</v>
      </c>
      <c r="L189">
        <f>DC!L66</f>
        <v>0</v>
      </c>
      <c r="M189">
        <f>DC!M66</f>
        <v>0</v>
      </c>
      <c r="N189">
        <f>DC!N66</f>
        <v>0</v>
      </c>
      <c r="O189">
        <f>DC!O66</f>
        <v>0</v>
      </c>
      <c r="P189">
        <f>DC!P66</f>
        <v>0</v>
      </c>
      <c r="Q189">
        <f>DC!Q66</f>
        <v>0</v>
      </c>
      <c r="R189">
        <f>DC!R66</f>
        <v>0</v>
      </c>
      <c r="S189">
        <f>DC!S66</f>
        <v>0</v>
      </c>
      <c r="T189">
        <f>DC!T66</f>
        <v>0</v>
      </c>
      <c r="U189">
        <f>DC!U66</f>
        <v>0</v>
      </c>
      <c r="V189">
        <f>DC!V66</f>
        <v>0</v>
      </c>
      <c r="W189">
        <f>DC!W66</f>
        <v>0</v>
      </c>
      <c r="X189">
        <f>DC!X66</f>
        <v>0</v>
      </c>
      <c r="Y189">
        <f>DC!Y66</f>
        <v>0</v>
      </c>
      <c r="Z189">
        <f>DC!Z66</f>
        <v>0</v>
      </c>
      <c r="AA189">
        <f>DC!AA66</f>
        <v>0</v>
      </c>
      <c r="AB189">
        <f>DC!AB66</f>
        <v>0</v>
      </c>
      <c r="AC189">
        <f>DC!AC66</f>
        <v>0</v>
      </c>
      <c r="AD189">
        <f>DC!AD66</f>
        <v>0</v>
      </c>
      <c r="AE189">
        <f>DC!AE66</f>
        <v>0</v>
      </c>
      <c r="AF189">
        <f>DC!AF66</f>
        <v>0</v>
      </c>
      <c r="AG189">
        <f>DC!AG66</f>
        <v>0</v>
      </c>
      <c r="AH189">
        <f>DC!AH66</f>
        <v>0</v>
      </c>
      <c r="AI189">
        <f>DC!AI66</f>
        <v>0</v>
      </c>
      <c r="AJ189">
        <f>DC!AJ66</f>
        <v>0</v>
      </c>
      <c r="AK189">
        <f>DC!AK66</f>
        <v>0</v>
      </c>
      <c r="AL189">
        <f>DC!AL66</f>
        <v>0</v>
      </c>
      <c r="AM189">
        <f>DC!AM66</f>
        <v>0</v>
      </c>
      <c r="AN189">
        <f>DC!AN66</f>
        <v>0</v>
      </c>
      <c r="AO189">
        <f>DC!AO66</f>
        <v>0</v>
      </c>
      <c r="AP189">
        <f>DC!AP66</f>
        <v>0</v>
      </c>
      <c r="AQ189">
        <f>DC!AQ66</f>
        <v>0</v>
      </c>
      <c r="AR189">
        <f>DC!AR66</f>
        <v>0</v>
      </c>
      <c r="AS189">
        <f>DC!AS66</f>
        <v>0</v>
      </c>
      <c r="AT189">
        <f>DC!AT66</f>
        <v>0</v>
      </c>
      <c r="AU189">
        <f>DC!AU66</f>
        <v>0</v>
      </c>
      <c r="AV189">
        <f>DC!AV66</f>
        <v>0</v>
      </c>
      <c r="AW189">
        <f>DC!AW66</f>
        <v>0</v>
      </c>
      <c r="AX189">
        <f>DC!AX66</f>
        <v>0</v>
      </c>
      <c r="AY189">
        <f>DC!AY66</f>
        <v>0</v>
      </c>
      <c r="AZ189">
        <f>DC!AZ66</f>
        <v>0</v>
      </c>
      <c r="BA189">
        <f>DC!BA66</f>
        <v>0</v>
      </c>
      <c r="BB189">
        <f>DC!BB66</f>
        <v>0</v>
      </c>
      <c r="BC189">
        <f>DC!BC66</f>
        <v>0</v>
      </c>
      <c r="BD189">
        <f>DC!BD66</f>
        <v>0</v>
      </c>
      <c r="BE189">
        <f>DC!BE66</f>
        <v>0</v>
      </c>
      <c r="BF189">
        <f>DC!BF66</f>
        <v>0</v>
      </c>
      <c r="BG189">
        <f>DC!BG66</f>
        <v>0</v>
      </c>
      <c r="BH189">
        <f>DC!BH66</f>
        <v>0</v>
      </c>
      <c r="BI189">
        <f>DC!BI66</f>
        <v>0</v>
      </c>
      <c r="BJ189">
        <f>DC!BJ66</f>
        <v>0</v>
      </c>
      <c r="BK189">
        <f>DC!BK66</f>
        <v>0</v>
      </c>
      <c r="BL189">
        <f>DC!BL66</f>
        <v>0</v>
      </c>
    </row>
    <row r="190" spans="1:64">
      <c r="A190">
        <f>DC!A67</f>
        <v>25</v>
      </c>
      <c r="B190" t="str">
        <f>DC!B67</f>
        <v>13:45-14:30</v>
      </c>
      <c r="C190">
        <f>DC!C67</f>
        <v>26</v>
      </c>
      <c r="D190" t="str">
        <f>DC!D67</f>
        <v>14:00-15:00</v>
      </c>
      <c r="E190">
        <f>DC!E67</f>
        <v>1</v>
      </c>
      <c r="F190">
        <f>DC!F67</f>
        <v>0</v>
      </c>
      <c r="G190">
        <f>DC!G67</f>
        <v>0</v>
      </c>
      <c r="H190">
        <f>DC!H67</f>
        <v>0</v>
      </c>
      <c r="I190">
        <f>DC!I67</f>
        <v>0</v>
      </c>
      <c r="J190">
        <f>DC!J67</f>
        <v>0</v>
      </c>
      <c r="K190">
        <f>DC!K67</f>
        <v>0</v>
      </c>
      <c r="L190">
        <f>DC!L67</f>
        <v>0</v>
      </c>
      <c r="M190">
        <f>DC!M67</f>
        <v>0</v>
      </c>
      <c r="N190">
        <f>DC!N67</f>
        <v>0</v>
      </c>
      <c r="O190">
        <f>DC!O67</f>
        <v>0</v>
      </c>
      <c r="P190">
        <f>DC!P67</f>
        <v>0</v>
      </c>
      <c r="Q190">
        <f>DC!Q67</f>
        <v>0</v>
      </c>
      <c r="R190">
        <f>DC!R67</f>
        <v>0</v>
      </c>
      <c r="S190">
        <f>DC!S67</f>
        <v>0</v>
      </c>
      <c r="T190">
        <f>DC!T67</f>
        <v>0</v>
      </c>
      <c r="U190">
        <f>DC!U67</f>
        <v>0</v>
      </c>
      <c r="V190">
        <f>DC!V67</f>
        <v>0</v>
      </c>
      <c r="W190">
        <f>DC!W67</f>
        <v>0</v>
      </c>
      <c r="X190">
        <f>DC!X67</f>
        <v>0</v>
      </c>
      <c r="Y190">
        <f>DC!Y67</f>
        <v>0</v>
      </c>
      <c r="Z190">
        <f>DC!Z67</f>
        <v>0</v>
      </c>
      <c r="AA190">
        <f>DC!AA67</f>
        <v>0</v>
      </c>
      <c r="AB190">
        <f>DC!AB67</f>
        <v>0</v>
      </c>
      <c r="AC190">
        <f>DC!AC67</f>
        <v>0</v>
      </c>
      <c r="AD190">
        <f>DC!AD67</f>
        <v>0</v>
      </c>
      <c r="AE190">
        <f>DC!AE67</f>
        <v>0</v>
      </c>
      <c r="AF190">
        <f>DC!AF67</f>
        <v>0</v>
      </c>
      <c r="AG190">
        <f>DC!AG67</f>
        <v>0</v>
      </c>
      <c r="AH190">
        <f>DC!AH67</f>
        <v>0</v>
      </c>
      <c r="AI190">
        <f>DC!AI67</f>
        <v>0</v>
      </c>
      <c r="AJ190">
        <f>DC!AJ67</f>
        <v>0</v>
      </c>
      <c r="AK190">
        <f>DC!AK67</f>
        <v>0</v>
      </c>
      <c r="AL190">
        <f>DC!AL67</f>
        <v>0</v>
      </c>
      <c r="AM190">
        <f>DC!AM67</f>
        <v>0</v>
      </c>
      <c r="AN190">
        <f>DC!AN67</f>
        <v>0</v>
      </c>
      <c r="AO190">
        <f>DC!AO67</f>
        <v>0</v>
      </c>
      <c r="AP190">
        <f>DC!AP67</f>
        <v>0</v>
      </c>
      <c r="AQ190">
        <f>DC!AQ67</f>
        <v>0</v>
      </c>
      <c r="AR190">
        <f>DC!AR67</f>
        <v>0</v>
      </c>
      <c r="AS190">
        <f>DC!AS67</f>
        <v>0</v>
      </c>
      <c r="AT190">
        <f>DC!AT67</f>
        <v>0</v>
      </c>
      <c r="AU190">
        <f>DC!AU67</f>
        <v>0</v>
      </c>
      <c r="AV190">
        <f>DC!AV67</f>
        <v>0</v>
      </c>
      <c r="AW190">
        <f>DC!AW67</f>
        <v>0</v>
      </c>
      <c r="AX190">
        <f>DC!AX67</f>
        <v>0</v>
      </c>
      <c r="AY190">
        <f>DC!AY67</f>
        <v>0</v>
      </c>
      <c r="AZ190">
        <f>DC!AZ67</f>
        <v>0</v>
      </c>
      <c r="BA190">
        <f>DC!BA67</f>
        <v>0</v>
      </c>
      <c r="BB190">
        <f>DC!BB67</f>
        <v>0</v>
      </c>
      <c r="BC190">
        <f>DC!BC67</f>
        <v>0</v>
      </c>
      <c r="BD190">
        <f>DC!BD67</f>
        <v>0</v>
      </c>
      <c r="BE190">
        <f>DC!BE67</f>
        <v>0</v>
      </c>
      <c r="BF190">
        <f>DC!BF67</f>
        <v>0</v>
      </c>
      <c r="BG190">
        <f>DC!BG67</f>
        <v>0</v>
      </c>
      <c r="BH190">
        <f>DC!BH67</f>
        <v>0</v>
      </c>
      <c r="BI190">
        <f>DC!BI67</f>
        <v>0</v>
      </c>
      <c r="BJ190">
        <f>DC!BJ67</f>
        <v>0</v>
      </c>
      <c r="BK190">
        <f>DC!BK67</f>
        <v>0</v>
      </c>
      <c r="BL190">
        <f>DC!BL67</f>
        <v>0</v>
      </c>
    </row>
    <row r="191" spans="1:64">
      <c r="A191">
        <f>DC!A68</f>
        <v>25</v>
      </c>
      <c r="B191" t="str">
        <f>DC!B68</f>
        <v>13:45-14:30</v>
      </c>
      <c r="C191">
        <f>DC!C68</f>
        <v>27</v>
      </c>
      <c r="D191" t="str">
        <f>DC!D68</f>
        <v>14:15-15:00</v>
      </c>
      <c r="E191">
        <f>DC!E68</f>
        <v>0</v>
      </c>
      <c r="F191">
        <f>DC!F68</f>
        <v>0</v>
      </c>
      <c r="G191">
        <f>DC!G68</f>
        <v>0</v>
      </c>
      <c r="H191">
        <f>DC!H68</f>
        <v>0</v>
      </c>
      <c r="I191">
        <f>DC!I68</f>
        <v>0</v>
      </c>
      <c r="J191">
        <f>DC!J68</f>
        <v>0</v>
      </c>
      <c r="K191">
        <f>DC!K68</f>
        <v>0</v>
      </c>
      <c r="L191">
        <f>DC!L68</f>
        <v>0</v>
      </c>
      <c r="M191">
        <f>DC!M68</f>
        <v>0</v>
      </c>
      <c r="N191">
        <f>DC!N68</f>
        <v>0</v>
      </c>
      <c r="O191">
        <f>DC!O68</f>
        <v>0</v>
      </c>
      <c r="P191">
        <f>DC!P68</f>
        <v>0</v>
      </c>
      <c r="Q191">
        <f>DC!Q68</f>
        <v>0</v>
      </c>
      <c r="R191">
        <f>DC!R68</f>
        <v>0</v>
      </c>
      <c r="S191">
        <f>DC!S68</f>
        <v>0</v>
      </c>
      <c r="T191">
        <f>DC!T68</f>
        <v>0</v>
      </c>
      <c r="U191">
        <f>DC!U68</f>
        <v>0</v>
      </c>
      <c r="V191">
        <f>DC!V68</f>
        <v>0</v>
      </c>
      <c r="W191">
        <f>DC!W68</f>
        <v>0</v>
      </c>
      <c r="X191">
        <f>DC!X68</f>
        <v>0</v>
      </c>
      <c r="Y191">
        <f>DC!Y68</f>
        <v>0</v>
      </c>
      <c r="Z191">
        <f>DC!Z68</f>
        <v>0</v>
      </c>
      <c r="AA191">
        <f>DC!AA68</f>
        <v>0</v>
      </c>
      <c r="AB191">
        <f>DC!AB68</f>
        <v>0</v>
      </c>
      <c r="AC191">
        <f>DC!AC68</f>
        <v>0</v>
      </c>
      <c r="AD191">
        <f>DC!AD68</f>
        <v>0</v>
      </c>
      <c r="AE191">
        <f>DC!AE68</f>
        <v>0</v>
      </c>
      <c r="AF191">
        <f>DC!AF68</f>
        <v>0</v>
      </c>
      <c r="AG191">
        <f>DC!AG68</f>
        <v>0</v>
      </c>
      <c r="AH191">
        <f>DC!AH68</f>
        <v>0</v>
      </c>
      <c r="AI191">
        <f>DC!AI68</f>
        <v>0</v>
      </c>
      <c r="AJ191">
        <f>DC!AJ68</f>
        <v>0</v>
      </c>
      <c r="AK191">
        <f>DC!AK68</f>
        <v>0</v>
      </c>
      <c r="AL191">
        <f>DC!AL68</f>
        <v>0</v>
      </c>
      <c r="AM191">
        <f>DC!AM68</f>
        <v>0</v>
      </c>
      <c r="AN191">
        <f>DC!AN68</f>
        <v>0</v>
      </c>
      <c r="AO191">
        <f>DC!AO68</f>
        <v>0</v>
      </c>
      <c r="AP191">
        <f>DC!AP68</f>
        <v>0</v>
      </c>
      <c r="AQ191">
        <f>DC!AQ68</f>
        <v>0</v>
      </c>
      <c r="AR191">
        <f>DC!AR68</f>
        <v>0</v>
      </c>
      <c r="AS191">
        <f>DC!AS68</f>
        <v>0</v>
      </c>
      <c r="AT191">
        <f>DC!AT68</f>
        <v>0</v>
      </c>
      <c r="AU191">
        <f>DC!AU68</f>
        <v>0</v>
      </c>
      <c r="AV191">
        <f>DC!AV68</f>
        <v>0</v>
      </c>
      <c r="AW191">
        <f>DC!AW68</f>
        <v>0</v>
      </c>
      <c r="AX191">
        <f>DC!AX68</f>
        <v>0</v>
      </c>
      <c r="AY191">
        <f>DC!AY68</f>
        <v>0</v>
      </c>
      <c r="AZ191">
        <f>DC!AZ68</f>
        <v>0</v>
      </c>
      <c r="BA191">
        <f>DC!BA68</f>
        <v>0</v>
      </c>
      <c r="BB191">
        <f>DC!BB68</f>
        <v>0</v>
      </c>
      <c r="BC191">
        <f>DC!BC68</f>
        <v>0</v>
      </c>
      <c r="BD191">
        <f>DC!BD68</f>
        <v>0</v>
      </c>
      <c r="BE191">
        <f>DC!BE68</f>
        <v>0</v>
      </c>
      <c r="BF191">
        <f>DC!BF68</f>
        <v>0</v>
      </c>
      <c r="BG191">
        <f>DC!BG68</f>
        <v>0</v>
      </c>
      <c r="BH191">
        <f>DC!BH68</f>
        <v>0</v>
      </c>
      <c r="BI191">
        <f>DC!BI68</f>
        <v>0</v>
      </c>
      <c r="BJ191">
        <f>DC!BJ68</f>
        <v>0</v>
      </c>
      <c r="BK191">
        <f>DC!BK68</f>
        <v>0</v>
      </c>
      <c r="BL191">
        <f>DC!BL68</f>
        <v>0</v>
      </c>
    </row>
    <row r="192" spans="1:64">
      <c r="A192">
        <f>DC!A69</f>
        <v>26</v>
      </c>
      <c r="B192" t="str">
        <f>DC!B69</f>
        <v>14:00-15:00</v>
      </c>
      <c r="C192">
        <f>DC!C69</f>
        <v>27</v>
      </c>
      <c r="D192" t="str">
        <f>DC!D69</f>
        <v>14:15-15:00</v>
      </c>
      <c r="E192">
        <f>DC!E69</f>
        <v>1</v>
      </c>
      <c r="F192">
        <f>DC!F69</f>
        <v>0</v>
      </c>
      <c r="G192">
        <f>DC!G69</f>
        <v>0</v>
      </c>
      <c r="H192">
        <f>DC!H69</f>
        <v>0</v>
      </c>
      <c r="I192">
        <f>DC!I69</f>
        <v>0</v>
      </c>
      <c r="J192">
        <f>DC!J69</f>
        <v>0</v>
      </c>
      <c r="K192">
        <f>DC!K69</f>
        <v>0</v>
      </c>
      <c r="L192">
        <f>DC!L69</f>
        <v>0</v>
      </c>
      <c r="M192">
        <f>DC!M69</f>
        <v>0</v>
      </c>
      <c r="N192">
        <f>DC!N69</f>
        <v>0</v>
      </c>
      <c r="O192">
        <f>DC!O69</f>
        <v>0</v>
      </c>
      <c r="P192">
        <f>DC!P69</f>
        <v>0</v>
      </c>
      <c r="Q192">
        <f>DC!Q69</f>
        <v>0</v>
      </c>
      <c r="R192">
        <f>DC!R69</f>
        <v>0</v>
      </c>
      <c r="S192">
        <f>DC!S69</f>
        <v>0</v>
      </c>
      <c r="T192">
        <f>DC!T69</f>
        <v>0</v>
      </c>
      <c r="U192">
        <f>DC!U69</f>
        <v>0</v>
      </c>
      <c r="V192">
        <f>DC!V69</f>
        <v>0</v>
      </c>
      <c r="W192">
        <f>DC!W69</f>
        <v>0</v>
      </c>
      <c r="X192">
        <f>DC!X69</f>
        <v>0</v>
      </c>
      <c r="Y192">
        <f>DC!Y69</f>
        <v>0</v>
      </c>
      <c r="Z192">
        <f>DC!Z69</f>
        <v>0</v>
      </c>
      <c r="AA192">
        <f>DC!AA69</f>
        <v>0</v>
      </c>
      <c r="AB192">
        <f>DC!AB69</f>
        <v>0</v>
      </c>
      <c r="AC192">
        <f>DC!AC69</f>
        <v>0</v>
      </c>
      <c r="AD192">
        <f>DC!AD69</f>
        <v>0</v>
      </c>
      <c r="AE192">
        <f>DC!AE69</f>
        <v>0</v>
      </c>
      <c r="AF192">
        <f>DC!AF69</f>
        <v>0</v>
      </c>
      <c r="AG192">
        <f>DC!AG69</f>
        <v>0</v>
      </c>
      <c r="AH192">
        <f>DC!AH69</f>
        <v>0</v>
      </c>
      <c r="AI192">
        <f>DC!AI69</f>
        <v>0</v>
      </c>
      <c r="AJ192">
        <f>DC!AJ69</f>
        <v>0</v>
      </c>
      <c r="AK192">
        <f>DC!AK69</f>
        <v>0</v>
      </c>
      <c r="AL192">
        <f>DC!AL69</f>
        <v>0</v>
      </c>
      <c r="AM192">
        <f>DC!AM69</f>
        <v>0</v>
      </c>
      <c r="AN192">
        <f>DC!AN69</f>
        <v>0</v>
      </c>
      <c r="AO192">
        <f>DC!AO69</f>
        <v>0</v>
      </c>
      <c r="AP192">
        <f>DC!AP69</f>
        <v>0</v>
      </c>
      <c r="AQ192">
        <f>DC!AQ69</f>
        <v>0</v>
      </c>
      <c r="AR192">
        <f>DC!AR69</f>
        <v>0</v>
      </c>
      <c r="AS192">
        <f>DC!AS69</f>
        <v>0</v>
      </c>
      <c r="AT192">
        <f>DC!AT69</f>
        <v>0</v>
      </c>
      <c r="AU192">
        <f>DC!AU69</f>
        <v>0</v>
      </c>
      <c r="AV192">
        <f>DC!AV69</f>
        <v>0</v>
      </c>
      <c r="AW192">
        <f>DC!AW69</f>
        <v>0</v>
      </c>
      <c r="AX192">
        <f>DC!AX69</f>
        <v>0</v>
      </c>
      <c r="AY192">
        <f>DC!AY69</f>
        <v>0</v>
      </c>
      <c r="AZ192">
        <f>DC!AZ69</f>
        <v>0</v>
      </c>
      <c r="BA192">
        <f>DC!BA69</f>
        <v>0</v>
      </c>
      <c r="BB192">
        <f>DC!BB69</f>
        <v>0</v>
      </c>
      <c r="BC192">
        <f>DC!BC69</f>
        <v>0</v>
      </c>
      <c r="BD192">
        <f>DC!BD69</f>
        <v>0</v>
      </c>
      <c r="BE192">
        <f>DC!BE69</f>
        <v>0</v>
      </c>
      <c r="BF192">
        <f>DC!BF69</f>
        <v>0</v>
      </c>
      <c r="BG192">
        <f>DC!BG69</f>
        <v>0</v>
      </c>
      <c r="BH192">
        <f>DC!BH69</f>
        <v>0</v>
      </c>
      <c r="BI192">
        <f>DC!BI69</f>
        <v>0</v>
      </c>
      <c r="BJ192">
        <f>DC!BJ69</f>
        <v>0</v>
      </c>
      <c r="BK192">
        <f>DC!BK69</f>
        <v>0</v>
      </c>
      <c r="BL192">
        <f>DC!BL69</f>
        <v>0</v>
      </c>
    </row>
    <row r="193" spans="1:64">
      <c r="A193">
        <f>DC!A70</f>
        <v>26</v>
      </c>
      <c r="B193" t="str">
        <f>DC!B70</f>
        <v>14:00-15:00</v>
      </c>
      <c r="C193">
        <f>DC!C70</f>
        <v>28</v>
      </c>
      <c r="D193" t="str">
        <f>DC!D70</f>
        <v>14:30-15:15</v>
      </c>
      <c r="E193">
        <f>DC!E70</f>
        <v>1</v>
      </c>
      <c r="F193">
        <f>DC!F70</f>
        <v>0</v>
      </c>
      <c r="G193">
        <f>DC!G70</f>
        <v>0</v>
      </c>
      <c r="H193">
        <f>DC!H70</f>
        <v>0</v>
      </c>
      <c r="I193">
        <f>DC!I70</f>
        <v>0</v>
      </c>
      <c r="J193">
        <f>DC!J70</f>
        <v>0</v>
      </c>
      <c r="K193">
        <f>DC!K70</f>
        <v>0</v>
      </c>
      <c r="L193">
        <f>DC!L70</f>
        <v>0</v>
      </c>
      <c r="M193">
        <f>DC!M70</f>
        <v>0</v>
      </c>
      <c r="N193">
        <f>DC!N70</f>
        <v>0</v>
      </c>
      <c r="O193">
        <f>DC!O70</f>
        <v>0</v>
      </c>
      <c r="P193">
        <f>DC!P70</f>
        <v>0</v>
      </c>
      <c r="Q193">
        <f>DC!Q70</f>
        <v>0</v>
      </c>
      <c r="R193">
        <f>DC!R70</f>
        <v>0</v>
      </c>
      <c r="S193">
        <f>DC!S70</f>
        <v>0</v>
      </c>
      <c r="T193">
        <f>DC!T70</f>
        <v>0</v>
      </c>
      <c r="U193">
        <f>DC!U70</f>
        <v>0</v>
      </c>
      <c r="V193">
        <f>DC!V70</f>
        <v>0</v>
      </c>
      <c r="W193">
        <f>DC!W70</f>
        <v>0</v>
      </c>
      <c r="X193">
        <f>DC!X70</f>
        <v>0</v>
      </c>
      <c r="Y193">
        <f>DC!Y70</f>
        <v>0</v>
      </c>
      <c r="Z193">
        <f>DC!Z70</f>
        <v>0</v>
      </c>
      <c r="AA193">
        <f>DC!AA70</f>
        <v>0</v>
      </c>
      <c r="AB193">
        <f>DC!AB70</f>
        <v>0</v>
      </c>
      <c r="AC193">
        <f>DC!AC70</f>
        <v>0</v>
      </c>
      <c r="AD193">
        <f>DC!AD70</f>
        <v>0</v>
      </c>
      <c r="AE193">
        <f>DC!AE70</f>
        <v>0</v>
      </c>
      <c r="AF193">
        <f>DC!AF70</f>
        <v>0</v>
      </c>
      <c r="AG193">
        <f>DC!AG70</f>
        <v>0</v>
      </c>
      <c r="AH193">
        <f>DC!AH70</f>
        <v>0</v>
      </c>
      <c r="AI193">
        <f>DC!AI70</f>
        <v>0</v>
      </c>
      <c r="AJ193">
        <f>DC!AJ70</f>
        <v>0</v>
      </c>
      <c r="AK193">
        <f>DC!AK70</f>
        <v>0</v>
      </c>
      <c r="AL193">
        <f>DC!AL70</f>
        <v>0</v>
      </c>
      <c r="AM193">
        <f>DC!AM70</f>
        <v>0</v>
      </c>
      <c r="AN193">
        <f>DC!AN70</f>
        <v>0</v>
      </c>
      <c r="AO193">
        <f>DC!AO70</f>
        <v>0</v>
      </c>
      <c r="AP193">
        <f>DC!AP70</f>
        <v>0</v>
      </c>
      <c r="AQ193">
        <f>DC!AQ70</f>
        <v>0</v>
      </c>
      <c r="AR193">
        <f>DC!AR70</f>
        <v>0</v>
      </c>
      <c r="AS193">
        <f>DC!AS70</f>
        <v>0</v>
      </c>
      <c r="AT193">
        <f>DC!AT70</f>
        <v>0</v>
      </c>
      <c r="AU193">
        <f>DC!AU70</f>
        <v>0</v>
      </c>
      <c r="AV193">
        <f>DC!AV70</f>
        <v>0</v>
      </c>
      <c r="AW193">
        <f>DC!AW70</f>
        <v>0</v>
      </c>
      <c r="AX193">
        <f>DC!AX70</f>
        <v>0</v>
      </c>
      <c r="AY193">
        <f>DC!AY70</f>
        <v>0</v>
      </c>
      <c r="AZ193">
        <f>DC!AZ70</f>
        <v>0</v>
      </c>
      <c r="BA193">
        <f>DC!BA70</f>
        <v>0</v>
      </c>
      <c r="BB193">
        <f>DC!BB70</f>
        <v>0</v>
      </c>
      <c r="BC193">
        <f>DC!BC70</f>
        <v>0</v>
      </c>
      <c r="BD193">
        <f>DC!BD70</f>
        <v>0</v>
      </c>
      <c r="BE193">
        <f>DC!BE70</f>
        <v>0</v>
      </c>
      <c r="BF193">
        <f>DC!BF70</f>
        <v>0</v>
      </c>
      <c r="BG193">
        <f>DC!BG70</f>
        <v>0</v>
      </c>
      <c r="BH193">
        <f>DC!BH70</f>
        <v>0</v>
      </c>
      <c r="BI193">
        <f>DC!BI70</f>
        <v>0</v>
      </c>
      <c r="BJ193">
        <f>DC!BJ70</f>
        <v>0</v>
      </c>
      <c r="BK193">
        <f>DC!BK70</f>
        <v>0</v>
      </c>
      <c r="BL193">
        <f>DC!BL70</f>
        <v>0</v>
      </c>
    </row>
    <row r="194" spans="1:64">
      <c r="A194">
        <f>DC!A71</f>
        <v>26</v>
      </c>
      <c r="B194" t="str">
        <f>DC!B71</f>
        <v>14:00-15:00</v>
      </c>
      <c r="C194">
        <f>DC!C71</f>
        <v>29</v>
      </c>
      <c r="D194" t="str">
        <f>DC!D71</f>
        <v>14:45-15:30</v>
      </c>
      <c r="E194">
        <f>DC!E71</f>
        <v>1</v>
      </c>
      <c r="F194">
        <f>DC!F71</f>
        <v>0</v>
      </c>
      <c r="G194">
        <f>DC!G71</f>
        <v>0</v>
      </c>
      <c r="H194">
        <f>DC!H71</f>
        <v>0</v>
      </c>
      <c r="I194">
        <f>DC!I71</f>
        <v>0</v>
      </c>
      <c r="J194">
        <f>DC!J71</f>
        <v>0</v>
      </c>
      <c r="K194">
        <f>DC!K71</f>
        <v>0</v>
      </c>
      <c r="L194">
        <f>DC!L71</f>
        <v>0</v>
      </c>
      <c r="M194">
        <f>DC!M71</f>
        <v>0</v>
      </c>
      <c r="N194">
        <f>DC!N71</f>
        <v>0</v>
      </c>
      <c r="O194">
        <f>DC!O71</f>
        <v>0</v>
      </c>
      <c r="P194">
        <f>DC!P71</f>
        <v>0</v>
      </c>
      <c r="Q194">
        <f>DC!Q71</f>
        <v>0</v>
      </c>
      <c r="R194">
        <f>DC!R71</f>
        <v>0</v>
      </c>
      <c r="S194">
        <f>DC!S71</f>
        <v>0</v>
      </c>
      <c r="T194">
        <f>DC!T71</f>
        <v>0</v>
      </c>
      <c r="U194">
        <f>DC!U71</f>
        <v>0</v>
      </c>
      <c r="V194">
        <f>DC!V71</f>
        <v>0</v>
      </c>
      <c r="W194">
        <f>DC!W71</f>
        <v>0</v>
      </c>
      <c r="X194">
        <f>DC!X71</f>
        <v>0</v>
      </c>
      <c r="Y194">
        <f>DC!Y71</f>
        <v>0</v>
      </c>
      <c r="Z194">
        <f>DC!Z71</f>
        <v>0</v>
      </c>
      <c r="AA194">
        <f>DC!AA71</f>
        <v>0</v>
      </c>
      <c r="AB194">
        <f>DC!AB71</f>
        <v>0</v>
      </c>
      <c r="AC194">
        <f>DC!AC71</f>
        <v>0</v>
      </c>
      <c r="AD194">
        <f>DC!AD71</f>
        <v>0</v>
      </c>
      <c r="AE194">
        <f>DC!AE71</f>
        <v>0</v>
      </c>
      <c r="AF194">
        <f>DC!AF71</f>
        <v>0</v>
      </c>
      <c r="AG194">
        <f>DC!AG71</f>
        <v>0</v>
      </c>
      <c r="AH194">
        <f>DC!AH71</f>
        <v>0</v>
      </c>
      <c r="AI194">
        <f>DC!AI71</f>
        <v>0</v>
      </c>
      <c r="AJ194">
        <f>DC!AJ71</f>
        <v>0</v>
      </c>
      <c r="AK194">
        <f>DC!AK71</f>
        <v>0</v>
      </c>
      <c r="AL194">
        <f>DC!AL71</f>
        <v>0</v>
      </c>
      <c r="AM194">
        <f>DC!AM71</f>
        <v>0</v>
      </c>
      <c r="AN194">
        <f>DC!AN71</f>
        <v>0</v>
      </c>
      <c r="AO194">
        <f>DC!AO71</f>
        <v>0</v>
      </c>
      <c r="AP194">
        <f>DC!AP71</f>
        <v>0</v>
      </c>
      <c r="AQ194">
        <f>DC!AQ71</f>
        <v>0</v>
      </c>
      <c r="AR194">
        <f>DC!AR71</f>
        <v>0</v>
      </c>
      <c r="AS194">
        <f>DC!AS71</f>
        <v>0</v>
      </c>
      <c r="AT194">
        <f>DC!AT71</f>
        <v>0</v>
      </c>
      <c r="AU194">
        <f>DC!AU71</f>
        <v>0</v>
      </c>
      <c r="AV194">
        <f>DC!AV71</f>
        <v>0</v>
      </c>
      <c r="AW194">
        <f>DC!AW71</f>
        <v>0</v>
      </c>
      <c r="AX194">
        <f>DC!AX71</f>
        <v>0</v>
      </c>
      <c r="AY194">
        <f>DC!AY71</f>
        <v>0</v>
      </c>
      <c r="AZ194">
        <f>DC!AZ71</f>
        <v>0</v>
      </c>
      <c r="BA194">
        <f>DC!BA71</f>
        <v>0</v>
      </c>
      <c r="BB194">
        <f>DC!BB71</f>
        <v>0</v>
      </c>
      <c r="BC194">
        <f>DC!BC71</f>
        <v>0</v>
      </c>
      <c r="BD194">
        <f>DC!BD71</f>
        <v>0</v>
      </c>
      <c r="BE194">
        <f>DC!BE71</f>
        <v>0</v>
      </c>
      <c r="BF194">
        <f>DC!BF71</f>
        <v>0</v>
      </c>
      <c r="BG194">
        <f>DC!BG71</f>
        <v>0</v>
      </c>
      <c r="BH194">
        <f>DC!BH71</f>
        <v>0</v>
      </c>
      <c r="BI194">
        <f>DC!BI71</f>
        <v>0</v>
      </c>
      <c r="BJ194">
        <f>DC!BJ71</f>
        <v>0</v>
      </c>
      <c r="BK194">
        <f>DC!BK71</f>
        <v>0</v>
      </c>
      <c r="BL194">
        <f>DC!BL71</f>
        <v>0</v>
      </c>
    </row>
    <row r="195" spans="1:64">
      <c r="A195">
        <f>DC!A72</f>
        <v>27</v>
      </c>
      <c r="B195" t="str">
        <f>DC!B72</f>
        <v>14:15-15:00</v>
      </c>
      <c r="C195">
        <f>DC!C72</f>
        <v>28</v>
      </c>
      <c r="D195" t="str">
        <f>DC!D72</f>
        <v>14:30-15:15</v>
      </c>
      <c r="E195">
        <f>DC!E72</f>
        <v>0</v>
      </c>
      <c r="F195">
        <f>DC!F72</f>
        <v>0</v>
      </c>
      <c r="G195">
        <f>DC!G72</f>
        <v>0</v>
      </c>
      <c r="H195">
        <f>DC!H72</f>
        <v>0</v>
      </c>
      <c r="I195">
        <f>DC!I72</f>
        <v>0</v>
      </c>
      <c r="J195">
        <f>DC!J72</f>
        <v>0</v>
      </c>
      <c r="K195">
        <f>DC!K72</f>
        <v>0</v>
      </c>
      <c r="L195">
        <f>DC!L72</f>
        <v>0</v>
      </c>
      <c r="M195">
        <f>DC!M72</f>
        <v>0</v>
      </c>
      <c r="N195">
        <f>DC!N72</f>
        <v>0</v>
      </c>
      <c r="O195">
        <f>DC!O72</f>
        <v>0</v>
      </c>
      <c r="P195">
        <f>DC!P72</f>
        <v>0</v>
      </c>
      <c r="Q195">
        <f>DC!Q72</f>
        <v>0</v>
      </c>
      <c r="R195">
        <f>DC!R72</f>
        <v>0</v>
      </c>
      <c r="S195">
        <f>DC!S72</f>
        <v>0</v>
      </c>
      <c r="T195">
        <f>DC!T72</f>
        <v>0</v>
      </c>
      <c r="U195">
        <f>DC!U72</f>
        <v>0</v>
      </c>
      <c r="V195">
        <f>DC!V72</f>
        <v>0</v>
      </c>
      <c r="W195">
        <f>DC!W72</f>
        <v>0</v>
      </c>
      <c r="X195">
        <f>DC!X72</f>
        <v>0</v>
      </c>
      <c r="Y195">
        <f>DC!Y72</f>
        <v>0</v>
      </c>
      <c r="Z195">
        <f>DC!Z72</f>
        <v>0</v>
      </c>
      <c r="AA195">
        <f>DC!AA72</f>
        <v>0</v>
      </c>
      <c r="AB195">
        <f>DC!AB72</f>
        <v>0</v>
      </c>
      <c r="AC195">
        <f>DC!AC72</f>
        <v>0</v>
      </c>
      <c r="AD195">
        <f>DC!AD72</f>
        <v>0</v>
      </c>
      <c r="AE195">
        <f>DC!AE72</f>
        <v>0</v>
      </c>
      <c r="AF195">
        <f>DC!AF72</f>
        <v>0</v>
      </c>
      <c r="AG195">
        <f>DC!AG72</f>
        <v>0</v>
      </c>
      <c r="AH195">
        <f>DC!AH72</f>
        <v>0</v>
      </c>
      <c r="AI195">
        <f>DC!AI72</f>
        <v>0</v>
      </c>
      <c r="AJ195">
        <f>DC!AJ72</f>
        <v>0</v>
      </c>
      <c r="AK195">
        <f>DC!AK72</f>
        <v>0</v>
      </c>
      <c r="AL195">
        <f>DC!AL72</f>
        <v>0</v>
      </c>
      <c r="AM195">
        <f>DC!AM72</f>
        <v>0</v>
      </c>
      <c r="AN195">
        <f>DC!AN72</f>
        <v>0</v>
      </c>
      <c r="AO195">
        <f>DC!AO72</f>
        <v>0</v>
      </c>
      <c r="AP195">
        <f>DC!AP72</f>
        <v>0</v>
      </c>
      <c r="AQ195">
        <f>DC!AQ72</f>
        <v>0</v>
      </c>
      <c r="AR195">
        <f>DC!AR72</f>
        <v>0</v>
      </c>
      <c r="AS195">
        <f>DC!AS72</f>
        <v>0</v>
      </c>
      <c r="AT195">
        <f>DC!AT72</f>
        <v>0</v>
      </c>
      <c r="AU195">
        <f>DC!AU72</f>
        <v>0</v>
      </c>
      <c r="AV195">
        <f>DC!AV72</f>
        <v>0</v>
      </c>
      <c r="AW195">
        <f>DC!AW72</f>
        <v>0</v>
      </c>
      <c r="AX195">
        <f>DC!AX72</f>
        <v>0</v>
      </c>
      <c r="AY195">
        <f>DC!AY72</f>
        <v>0</v>
      </c>
      <c r="AZ195">
        <f>DC!AZ72</f>
        <v>0</v>
      </c>
      <c r="BA195">
        <f>DC!BA72</f>
        <v>0</v>
      </c>
      <c r="BB195">
        <f>DC!BB72</f>
        <v>0</v>
      </c>
      <c r="BC195">
        <f>DC!BC72</f>
        <v>0</v>
      </c>
      <c r="BD195">
        <f>DC!BD72</f>
        <v>0</v>
      </c>
      <c r="BE195">
        <f>DC!BE72</f>
        <v>0</v>
      </c>
      <c r="BF195">
        <f>DC!BF72</f>
        <v>0</v>
      </c>
      <c r="BG195">
        <f>DC!BG72</f>
        <v>0</v>
      </c>
      <c r="BH195">
        <f>DC!BH72</f>
        <v>0</v>
      </c>
      <c r="BI195">
        <f>DC!BI72</f>
        <v>0</v>
      </c>
      <c r="BJ195">
        <f>DC!BJ72</f>
        <v>0</v>
      </c>
      <c r="BK195">
        <f>DC!BK72</f>
        <v>0</v>
      </c>
      <c r="BL195">
        <f>DC!BL72</f>
        <v>0</v>
      </c>
    </row>
    <row r="196" spans="1:64">
      <c r="A196">
        <f>DC!A73</f>
        <v>27</v>
      </c>
      <c r="B196" t="str">
        <f>DC!B73</f>
        <v>14:15-15:00</v>
      </c>
      <c r="C196">
        <f>DC!C73</f>
        <v>29</v>
      </c>
      <c r="D196" t="str">
        <f>DC!D73</f>
        <v>14:45-15:30</v>
      </c>
      <c r="E196">
        <f>DC!E73</f>
        <v>0</v>
      </c>
      <c r="F196">
        <f>DC!F73</f>
        <v>0</v>
      </c>
      <c r="G196">
        <f>DC!G73</f>
        <v>0</v>
      </c>
      <c r="H196">
        <f>DC!H73</f>
        <v>0</v>
      </c>
      <c r="I196">
        <f>DC!I73</f>
        <v>0</v>
      </c>
      <c r="J196">
        <f>DC!J73</f>
        <v>0</v>
      </c>
      <c r="K196">
        <f>DC!K73</f>
        <v>0</v>
      </c>
      <c r="L196">
        <f>DC!L73</f>
        <v>0</v>
      </c>
      <c r="M196">
        <f>DC!M73</f>
        <v>0</v>
      </c>
      <c r="N196">
        <f>DC!N73</f>
        <v>0</v>
      </c>
      <c r="O196">
        <f>DC!O73</f>
        <v>0</v>
      </c>
      <c r="P196">
        <f>DC!P73</f>
        <v>0</v>
      </c>
      <c r="Q196">
        <f>DC!Q73</f>
        <v>0</v>
      </c>
      <c r="R196">
        <f>DC!R73</f>
        <v>0</v>
      </c>
      <c r="S196">
        <f>DC!S73</f>
        <v>0</v>
      </c>
      <c r="T196">
        <f>DC!T73</f>
        <v>0</v>
      </c>
      <c r="U196">
        <f>DC!U73</f>
        <v>0</v>
      </c>
      <c r="V196">
        <f>DC!V73</f>
        <v>0</v>
      </c>
      <c r="W196">
        <f>DC!W73</f>
        <v>0</v>
      </c>
      <c r="X196">
        <f>DC!X73</f>
        <v>0</v>
      </c>
      <c r="Y196">
        <f>DC!Y73</f>
        <v>0</v>
      </c>
      <c r="Z196">
        <f>DC!Z73</f>
        <v>0</v>
      </c>
      <c r="AA196">
        <f>DC!AA73</f>
        <v>0</v>
      </c>
      <c r="AB196">
        <f>DC!AB73</f>
        <v>0</v>
      </c>
      <c r="AC196">
        <f>DC!AC73</f>
        <v>0</v>
      </c>
      <c r="AD196">
        <f>DC!AD73</f>
        <v>0</v>
      </c>
      <c r="AE196">
        <f>DC!AE73</f>
        <v>0</v>
      </c>
      <c r="AF196">
        <f>DC!AF73</f>
        <v>0</v>
      </c>
      <c r="AG196">
        <f>DC!AG73</f>
        <v>0</v>
      </c>
      <c r="AH196">
        <f>DC!AH73</f>
        <v>0</v>
      </c>
      <c r="AI196">
        <f>DC!AI73</f>
        <v>0</v>
      </c>
      <c r="AJ196">
        <f>DC!AJ73</f>
        <v>0</v>
      </c>
      <c r="AK196">
        <f>DC!AK73</f>
        <v>0</v>
      </c>
      <c r="AL196">
        <f>DC!AL73</f>
        <v>0</v>
      </c>
      <c r="AM196">
        <f>DC!AM73</f>
        <v>0</v>
      </c>
      <c r="AN196">
        <f>DC!AN73</f>
        <v>0</v>
      </c>
      <c r="AO196">
        <f>DC!AO73</f>
        <v>0</v>
      </c>
      <c r="AP196">
        <f>DC!AP73</f>
        <v>0</v>
      </c>
      <c r="AQ196">
        <f>DC!AQ73</f>
        <v>0</v>
      </c>
      <c r="AR196">
        <f>DC!AR73</f>
        <v>0</v>
      </c>
      <c r="AS196">
        <f>DC!AS73</f>
        <v>0</v>
      </c>
      <c r="AT196">
        <f>DC!AT73</f>
        <v>0</v>
      </c>
      <c r="AU196">
        <f>DC!AU73</f>
        <v>0</v>
      </c>
      <c r="AV196">
        <f>DC!AV73</f>
        <v>0</v>
      </c>
      <c r="AW196">
        <f>DC!AW73</f>
        <v>0</v>
      </c>
      <c r="AX196">
        <f>DC!AX73</f>
        <v>0</v>
      </c>
      <c r="AY196">
        <f>DC!AY73</f>
        <v>0</v>
      </c>
      <c r="AZ196">
        <f>DC!AZ73</f>
        <v>0</v>
      </c>
      <c r="BA196">
        <f>DC!BA73</f>
        <v>0</v>
      </c>
      <c r="BB196">
        <f>DC!BB73</f>
        <v>0</v>
      </c>
      <c r="BC196">
        <f>DC!BC73</f>
        <v>0</v>
      </c>
      <c r="BD196">
        <f>DC!BD73</f>
        <v>0</v>
      </c>
      <c r="BE196">
        <f>DC!BE73</f>
        <v>0</v>
      </c>
      <c r="BF196">
        <f>DC!BF73</f>
        <v>0</v>
      </c>
      <c r="BG196">
        <f>DC!BG73</f>
        <v>0</v>
      </c>
      <c r="BH196">
        <f>DC!BH73</f>
        <v>0</v>
      </c>
      <c r="BI196">
        <f>DC!BI73</f>
        <v>0</v>
      </c>
      <c r="BJ196">
        <f>DC!BJ73</f>
        <v>0</v>
      </c>
      <c r="BK196">
        <f>DC!BK73</f>
        <v>0</v>
      </c>
      <c r="BL196">
        <f>DC!BL73</f>
        <v>0</v>
      </c>
    </row>
    <row r="197" spans="1:64">
      <c r="A197">
        <f>DC!A74</f>
        <v>28</v>
      </c>
      <c r="B197" t="str">
        <f>DC!B74</f>
        <v>14:30-15:15</v>
      </c>
      <c r="C197">
        <f>DC!C74</f>
        <v>29</v>
      </c>
      <c r="D197" t="str">
        <f>DC!D74</f>
        <v>14:45-15:30</v>
      </c>
      <c r="E197">
        <f>DC!E74</f>
        <v>0</v>
      </c>
      <c r="F197">
        <f>DC!F74</f>
        <v>0</v>
      </c>
      <c r="G197">
        <f>DC!G74</f>
        <v>0</v>
      </c>
      <c r="H197">
        <f>DC!H74</f>
        <v>0</v>
      </c>
      <c r="I197">
        <f>DC!I74</f>
        <v>0</v>
      </c>
      <c r="J197">
        <f>DC!J74</f>
        <v>0</v>
      </c>
      <c r="K197">
        <f>DC!K74</f>
        <v>0</v>
      </c>
      <c r="L197">
        <f>DC!L74</f>
        <v>0</v>
      </c>
      <c r="M197">
        <f>DC!M74</f>
        <v>0</v>
      </c>
      <c r="N197">
        <f>DC!N74</f>
        <v>0</v>
      </c>
      <c r="O197">
        <f>DC!O74</f>
        <v>0</v>
      </c>
      <c r="P197">
        <f>DC!P74</f>
        <v>0</v>
      </c>
      <c r="Q197">
        <f>DC!Q74</f>
        <v>0</v>
      </c>
      <c r="R197">
        <f>DC!R74</f>
        <v>0</v>
      </c>
      <c r="S197">
        <f>DC!S74</f>
        <v>0</v>
      </c>
      <c r="T197">
        <f>DC!T74</f>
        <v>0</v>
      </c>
      <c r="U197">
        <f>DC!U74</f>
        <v>0</v>
      </c>
      <c r="V197">
        <f>DC!V74</f>
        <v>0</v>
      </c>
      <c r="W197">
        <f>DC!W74</f>
        <v>0</v>
      </c>
      <c r="X197">
        <f>DC!X74</f>
        <v>0</v>
      </c>
      <c r="Y197">
        <f>DC!Y74</f>
        <v>0</v>
      </c>
      <c r="Z197">
        <f>DC!Z74</f>
        <v>0</v>
      </c>
      <c r="AA197">
        <f>DC!AA74</f>
        <v>0</v>
      </c>
      <c r="AB197">
        <f>DC!AB74</f>
        <v>0</v>
      </c>
      <c r="AC197">
        <f>DC!AC74</f>
        <v>0</v>
      </c>
      <c r="AD197">
        <f>DC!AD74</f>
        <v>0</v>
      </c>
      <c r="AE197">
        <f>DC!AE74</f>
        <v>0</v>
      </c>
      <c r="AF197">
        <f>DC!AF74</f>
        <v>0</v>
      </c>
      <c r="AG197">
        <f>DC!AG74</f>
        <v>0</v>
      </c>
      <c r="AH197">
        <f>DC!AH74</f>
        <v>0</v>
      </c>
      <c r="AI197">
        <f>DC!AI74</f>
        <v>0</v>
      </c>
      <c r="AJ197">
        <f>DC!AJ74</f>
        <v>0</v>
      </c>
      <c r="AK197">
        <f>DC!AK74</f>
        <v>0</v>
      </c>
      <c r="AL197">
        <f>DC!AL74</f>
        <v>0</v>
      </c>
      <c r="AM197">
        <f>DC!AM74</f>
        <v>0</v>
      </c>
      <c r="AN197">
        <f>DC!AN74</f>
        <v>0</v>
      </c>
      <c r="AO197">
        <f>DC!AO74</f>
        <v>0</v>
      </c>
      <c r="AP197">
        <f>DC!AP74</f>
        <v>0</v>
      </c>
      <c r="AQ197">
        <f>DC!AQ74</f>
        <v>0</v>
      </c>
      <c r="AR197">
        <f>DC!AR74</f>
        <v>0</v>
      </c>
      <c r="AS197">
        <f>DC!AS74</f>
        <v>0</v>
      </c>
      <c r="AT197">
        <f>DC!AT74</f>
        <v>0</v>
      </c>
      <c r="AU197">
        <f>DC!AU74</f>
        <v>0</v>
      </c>
      <c r="AV197">
        <f>DC!AV74</f>
        <v>0</v>
      </c>
      <c r="AW197">
        <f>DC!AW74</f>
        <v>0</v>
      </c>
      <c r="AX197">
        <f>DC!AX74</f>
        <v>0</v>
      </c>
      <c r="AY197">
        <f>DC!AY74</f>
        <v>0</v>
      </c>
      <c r="AZ197">
        <f>DC!AZ74</f>
        <v>0</v>
      </c>
      <c r="BA197">
        <f>DC!BA74</f>
        <v>0</v>
      </c>
      <c r="BB197">
        <f>DC!BB74</f>
        <v>0</v>
      </c>
      <c r="BC197">
        <f>DC!BC74</f>
        <v>0</v>
      </c>
      <c r="BD197">
        <f>DC!BD74</f>
        <v>0</v>
      </c>
      <c r="BE197">
        <f>DC!BE74</f>
        <v>0</v>
      </c>
      <c r="BF197">
        <f>DC!BF74</f>
        <v>0</v>
      </c>
      <c r="BG197">
        <f>DC!BG74</f>
        <v>0</v>
      </c>
      <c r="BH197">
        <f>DC!BH74</f>
        <v>0</v>
      </c>
      <c r="BI197">
        <f>DC!BI74</f>
        <v>0</v>
      </c>
      <c r="BJ197">
        <f>DC!BJ74</f>
        <v>0</v>
      </c>
      <c r="BK197">
        <f>DC!BK74</f>
        <v>0</v>
      </c>
      <c r="BL197">
        <f>DC!BL74</f>
        <v>0</v>
      </c>
    </row>
    <row r="198" spans="1:64">
      <c r="A198">
        <f>DC!A75</f>
        <v>28</v>
      </c>
      <c r="B198" t="str">
        <f>DC!B75</f>
        <v>14:30-15:15</v>
      </c>
      <c r="C198">
        <f>DC!C75</f>
        <v>30</v>
      </c>
      <c r="D198" t="str">
        <f>DC!D75</f>
        <v>15:00-16:00</v>
      </c>
      <c r="E198">
        <f>DC!E75</f>
        <v>0</v>
      </c>
      <c r="F198">
        <f>DC!F75</f>
        <v>0</v>
      </c>
      <c r="G198">
        <f>DC!G75</f>
        <v>0</v>
      </c>
      <c r="H198">
        <f>DC!H75</f>
        <v>0</v>
      </c>
      <c r="I198">
        <f>DC!I75</f>
        <v>0</v>
      </c>
      <c r="J198">
        <f>DC!J75</f>
        <v>0</v>
      </c>
      <c r="K198">
        <f>DC!K75</f>
        <v>0</v>
      </c>
      <c r="L198">
        <f>DC!L75</f>
        <v>0</v>
      </c>
      <c r="M198">
        <f>DC!M75</f>
        <v>0</v>
      </c>
      <c r="N198">
        <f>DC!N75</f>
        <v>0</v>
      </c>
      <c r="O198">
        <f>DC!O75</f>
        <v>0</v>
      </c>
      <c r="P198">
        <f>DC!P75</f>
        <v>0</v>
      </c>
      <c r="Q198">
        <f>DC!Q75</f>
        <v>0</v>
      </c>
      <c r="R198">
        <f>DC!R75</f>
        <v>0</v>
      </c>
      <c r="S198">
        <f>DC!S75</f>
        <v>0</v>
      </c>
      <c r="T198">
        <f>DC!T75</f>
        <v>0</v>
      </c>
      <c r="U198">
        <f>DC!U75</f>
        <v>0</v>
      </c>
      <c r="V198">
        <f>DC!V75</f>
        <v>0</v>
      </c>
      <c r="W198">
        <f>DC!W75</f>
        <v>0</v>
      </c>
      <c r="X198">
        <f>DC!X75</f>
        <v>0</v>
      </c>
      <c r="Y198">
        <f>DC!Y75</f>
        <v>0</v>
      </c>
      <c r="Z198">
        <f>DC!Z75</f>
        <v>0</v>
      </c>
      <c r="AA198">
        <f>DC!AA75</f>
        <v>0</v>
      </c>
      <c r="AB198">
        <f>DC!AB75</f>
        <v>0</v>
      </c>
      <c r="AC198">
        <f>DC!AC75</f>
        <v>0</v>
      </c>
      <c r="AD198">
        <f>DC!AD75</f>
        <v>0</v>
      </c>
      <c r="AE198">
        <f>DC!AE75</f>
        <v>0</v>
      </c>
      <c r="AF198">
        <f>DC!AF75</f>
        <v>0</v>
      </c>
      <c r="AG198">
        <f>DC!AG75</f>
        <v>0</v>
      </c>
      <c r="AH198">
        <f>DC!AH75</f>
        <v>0</v>
      </c>
      <c r="AI198">
        <f>DC!AI75</f>
        <v>0</v>
      </c>
      <c r="AJ198">
        <f>DC!AJ75</f>
        <v>0</v>
      </c>
      <c r="AK198">
        <f>DC!AK75</f>
        <v>0</v>
      </c>
      <c r="AL198">
        <f>DC!AL75</f>
        <v>0</v>
      </c>
      <c r="AM198">
        <f>DC!AM75</f>
        <v>0</v>
      </c>
      <c r="AN198">
        <f>DC!AN75</f>
        <v>0</v>
      </c>
      <c r="AO198">
        <f>DC!AO75</f>
        <v>0</v>
      </c>
      <c r="AP198">
        <f>DC!AP75</f>
        <v>0</v>
      </c>
      <c r="AQ198">
        <f>DC!AQ75</f>
        <v>0</v>
      </c>
      <c r="AR198">
        <f>DC!AR75</f>
        <v>0</v>
      </c>
      <c r="AS198">
        <f>DC!AS75</f>
        <v>0</v>
      </c>
      <c r="AT198">
        <f>DC!AT75</f>
        <v>0</v>
      </c>
      <c r="AU198">
        <f>DC!AU75</f>
        <v>0</v>
      </c>
      <c r="AV198">
        <f>DC!AV75</f>
        <v>0</v>
      </c>
      <c r="AW198">
        <f>DC!AW75</f>
        <v>0</v>
      </c>
      <c r="AX198">
        <f>DC!AX75</f>
        <v>0</v>
      </c>
      <c r="AY198">
        <f>DC!AY75</f>
        <v>0</v>
      </c>
      <c r="AZ198">
        <f>DC!AZ75</f>
        <v>0</v>
      </c>
      <c r="BA198">
        <f>DC!BA75</f>
        <v>0</v>
      </c>
      <c r="BB198">
        <f>DC!BB75</f>
        <v>0</v>
      </c>
      <c r="BC198">
        <f>DC!BC75</f>
        <v>0</v>
      </c>
      <c r="BD198">
        <f>DC!BD75</f>
        <v>0</v>
      </c>
      <c r="BE198">
        <f>DC!BE75</f>
        <v>0</v>
      </c>
      <c r="BF198">
        <f>DC!BF75</f>
        <v>0</v>
      </c>
      <c r="BG198">
        <f>DC!BG75</f>
        <v>0</v>
      </c>
      <c r="BH198">
        <f>DC!BH75</f>
        <v>0</v>
      </c>
      <c r="BI198">
        <f>DC!BI75</f>
        <v>0</v>
      </c>
      <c r="BJ198">
        <f>DC!BJ75</f>
        <v>0</v>
      </c>
      <c r="BK198">
        <f>DC!BK75</f>
        <v>0</v>
      </c>
      <c r="BL198">
        <f>DC!BL75</f>
        <v>0</v>
      </c>
    </row>
    <row r="199" spans="1:64">
      <c r="A199">
        <f>DC!A76</f>
        <v>29</v>
      </c>
      <c r="B199" t="str">
        <f>DC!B76</f>
        <v>14:45-15:30</v>
      </c>
      <c r="C199">
        <f>DC!C76</f>
        <v>30</v>
      </c>
      <c r="D199" t="str">
        <f>DC!D76</f>
        <v>15:00-16:00</v>
      </c>
      <c r="E199">
        <f>DC!E76</f>
        <v>0</v>
      </c>
      <c r="F199">
        <f>DC!F76</f>
        <v>0</v>
      </c>
      <c r="G199">
        <f>DC!G76</f>
        <v>0</v>
      </c>
      <c r="H199">
        <f>DC!H76</f>
        <v>0</v>
      </c>
      <c r="I199">
        <f>DC!I76</f>
        <v>0</v>
      </c>
      <c r="J199">
        <f>DC!J76</f>
        <v>0</v>
      </c>
      <c r="K199">
        <f>DC!K76</f>
        <v>0</v>
      </c>
      <c r="L199">
        <f>DC!L76</f>
        <v>0</v>
      </c>
      <c r="M199">
        <f>DC!M76</f>
        <v>0</v>
      </c>
      <c r="N199">
        <f>DC!N76</f>
        <v>0</v>
      </c>
      <c r="O199">
        <f>DC!O76</f>
        <v>0</v>
      </c>
      <c r="P199">
        <f>DC!P76</f>
        <v>0</v>
      </c>
      <c r="Q199">
        <f>DC!Q76</f>
        <v>0</v>
      </c>
      <c r="R199">
        <f>DC!R76</f>
        <v>0</v>
      </c>
      <c r="S199">
        <f>DC!S76</f>
        <v>0</v>
      </c>
      <c r="T199">
        <f>DC!T76</f>
        <v>0</v>
      </c>
      <c r="U199">
        <f>DC!U76</f>
        <v>0</v>
      </c>
      <c r="V199">
        <f>DC!V76</f>
        <v>0</v>
      </c>
      <c r="W199">
        <f>DC!W76</f>
        <v>0</v>
      </c>
      <c r="X199">
        <f>DC!X76</f>
        <v>0</v>
      </c>
      <c r="Y199">
        <f>DC!Y76</f>
        <v>0</v>
      </c>
      <c r="Z199">
        <f>DC!Z76</f>
        <v>0</v>
      </c>
      <c r="AA199">
        <f>DC!AA76</f>
        <v>0</v>
      </c>
      <c r="AB199">
        <f>DC!AB76</f>
        <v>0</v>
      </c>
      <c r="AC199">
        <f>DC!AC76</f>
        <v>0</v>
      </c>
      <c r="AD199">
        <f>DC!AD76</f>
        <v>0</v>
      </c>
      <c r="AE199">
        <f>DC!AE76</f>
        <v>0</v>
      </c>
      <c r="AF199">
        <f>DC!AF76</f>
        <v>0</v>
      </c>
      <c r="AG199">
        <f>DC!AG76</f>
        <v>0</v>
      </c>
      <c r="AH199">
        <f>DC!AH76</f>
        <v>0</v>
      </c>
      <c r="AI199">
        <f>DC!AI76</f>
        <v>0</v>
      </c>
      <c r="AJ199">
        <f>DC!AJ76</f>
        <v>0</v>
      </c>
      <c r="AK199">
        <f>DC!AK76</f>
        <v>0</v>
      </c>
      <c r="AL199">
        <f>DC!AL76</f>
        <v>0</v>
      </c>
      <c r="AM199">
        <f>DC!AM76</f>
        <v>0</v>
      </c>
      <c r="AN199">
        <f>DC!AN76</f>
        <v>0</v>
      </c>
      <c r="AO199">
        <f>DC!AO76</f>
        <v>0</v>
      </c>
      <c r="AP199">
        <f>DC!AP76</f>
        <v>0</v>
      </c>
      <c r="AQ199">
        <f>DC!AQ76</f>
        <v>0</v>
      </c>
      <c r="AR199">
        <f>DC!AR76</f>
        <v>0</v>
      </c>
      <c r="AS199">
        <f>DC!AS76</f>
        <v>0</v>
      </c>
      <c r="AT199">
        <f>DC!AT76</f>
        <v>0</v>
      </c>
      <c r="AU199">
        <f>DC!AU76</f>
        <v>0</v>
      </c>
      <c r="AV199">
        <f>DC!AV76</f>
        <v>0</v>
      </c>
      <c r="AW199">
        <f>DC!AW76</f>
        <v>0</v>
      </c>
      <c r="AX199">
        <f>DC!AX76</f>
        <v>0</v>
      </c>
      <c r="AY199">
        <f>DC!AY76</f>
        <v>0</v>
      </c>
      <c r="AZ199">
        <f>DC!AZ76</f>
        <v>0</v>
      </c>
      <c r="BA199">
        <f>DC!BA76</f>
        <v>0</v>
      </c>
      <c r="BB199">
        <f>DC!BB76</f>
        <v>0</v>
      </c>
      <c r="BC199">
        <f>DC!BC76</f>
        <v>0</v>
      </c>
      <c r="BD199">
        <f>DC!BD76</f>
        <v>0</v>
      </c>
      <c r="BE199">
        <f>DC!BE76</f>
        <v>0</v>
      </c>
      <c r="BF199">
        <f>DC!BF76</f>
        <v>0</v>
      </c>
      <c r="BG199">
        <f>DC!BG76</f>
        <v>0</v>
      </c>
      <c r="BH199">
        <f>DC!BH76</f>
        <v>0</v>
      </c>
      <c r="BI199">
        <f>DC!BI76</f>
        <v>0</v>
      </c>
      <c r="BJ199">
        <f>DC!BJ76</f>
        <v>0</v>
      </c>
      <c r="BK199">
        <f>DC!BK76</f>
        <v>0</v>
      </c>
      <c r="BL199">
        <f>DC!BL76</f>
        <v>0</v>
      </c>
    </row>
    <row r="200" spans="1:64">
      <c r="A200">
        <f>DC!A77</f>
        <v>29</v>
      </c>
      <c r="B200" t="str">
        <f>DC!B77</f>
        <v>14:45-15:30</v>
      </c>
      <c r="C200">
        <f>DC!C77</f>
        <v>31</v>
      </c>
      <c r="D200" t="str">
        <f>DC!D77</f>
        <v>15:15-16:00</v>
      </c>
      <c r="E200">
        <f>DC!E77</f>
        <v>0</v>
      </c>
      <c r="F200">
        <f>DC!F77</f>
        <v>0</v>
      </c>
      <c r="G200">
        <f>DC!G77</f>
        <v>0</v>
      </c>
      <c r="H200">
        <f>DC!H77</f>
        <v>0</v>
      </c>
      <c r="I200">
        <f>DC!I77</f>
        <v>0</v>
      </c>
      <c r="J200">
        <f>DC!J77</f>
        <v>0</v>
      </c>
      <c r="K200">
        <f>DC!K77</f>
        <v>0</v>
      </c>
      <c r="L200">
        <f>DC!L77</f>
        <v>0</v>
      </c>
      <c r="M200">
        <f>DC!M77</f>
        <v>0</v>
      </c>
      <c r="N200">
        <f>DC!N77</f>
        <v>0</v>
      </c>
      <c r="O200">
        <f>DC!O77</f>
        <v>0</v>
      </c>
      <c r="P200">
        <f>DC!P77</f>
        <v>0</v>
      </c>
      <c r="Q200">
        <f>DC!Q77</f>
        <v>0</v>
      </c>
      <c r="R200">
        <f>DC!R77</f>
        <v>0</v>
      </c>
      <c r="S200">
        <f>DC!S77</f>
        <v>0</v>
      </c>
      <c r="T200">
        <f>DC!T77</f>
        <v>0</v>
      </c>
      <c r="U200">
        <f>DC!U77</f>
        <v>0</v>
      </c>
      <c r="V200">
        <f>DC!V77</f>
        <v>0</v>
      </c>
      <c r="W200">
        <f>DC!W77</f>
        <v>0</v>
      </c>
      <c r="X200">
        <f>DC!X77</f>
        <v>0</v>
      </c>
      <c r="Y200">
        <f>DC!Y77</f>
        <v>0</v>
      </c>
      <c r="Z200">
        <f>DC!Z77</f>
        <v>0</v>
      </c>
      <c r="AA200">
        <f>DC!AA77</f>
        <v>0</v>
      </c>
      <c r="AB200">
        <f>DC!AB77</f>
        <v>0</v>
      </c>
      <c r="AC200">
        <f>DC!AC77</f>
        <v>0</v>
      </c>
      <c r="AD200">
        <f>DC!AD77</f>
        <v>0</v>
      </c>
      <c r="AE200">
        <f>DC!AE77</f>
        <v>0</v>
      </c>
      <c r="AF200">
        <f>DC!AF77</f>
        <v>0</v>
      </c>
      <c r="AG200">
        <f>DC!AG77</f>
        <v>0</v>
      </c>
      <c r="AH200">
        <f>DC!AH77</f>
        <v>0</v>
      </c>
      <c r="AI200">
        <f>DC!AI77</f>
        <v>0</v>
      </c>
      <c r="AJ200">
        <f>DC!AJ77</f>
        <v>0</v>
      </c>
      <c r="AK200">
        <f>DC!AK77</f>
        <v>0</v>
      </c>
      <c r="AL200">
        <f>DC!AL77</f>
        <v>0</v>
      </c>
      <c r="AM200">
        <f>DC!AM77</f>
        <v>0</v>
      </c>
      <c r="AN200">
        <f>DC!AN77</f>
        <v>0</v>
      </c>
      <c r="AO200">
        <f>DC!AO77</f>
        <v>0</v>
      </c>
      <c r="AP200">
        <f>DC!AP77</f>
        <v>0</v>
      </c>
      <c r="AQ200">
        <f>DC!AQ77</f>
        <v>0</v>
      </c>
      <c r="AR200">
        <f>DC!AR77</f>
        <v>0</v>
      </c>
      <c r="AS200">
        <f>DC!AS77</f>
        <v>0</v>
      </c>
      <c r="AT200">
        <f>DC!AT77</f>
        <v>0</v>
      </c>
      <c r="AU200">
        <f>DC!AU77</f>
        <v>0</v>
      </c>
      <c r="AV200">
        <f>DC!AV77</f>
        <v>0</v>
      </c>
      <c r="AW200">
        <f>DC!AW77</f>
        <v>0</v>
      </c>
      <c r="AX200">
        <f>DC!AX77</f>
        <v>0</v>
      </c>
      <c r="AY200">
        <f>DC!AY77</f>
        <v>0</v>
      </c>
      <c r="AZ200">
        <f>DC!AZ77</f>
        <v>0</v>
      </c>
      <c r="BA200">
        <f>DC!BA77</f>
        <v>0</v>
      </c>
      <c r="BB200">
        <f>DC!BB77</f>
        <v>0</v>
      </c>
      <c r="BC200">
        <f>DC!BC77</f>
        <v>0</v>
      </c>
      <c r="BD200">
        <f>DC!BD77</f>
        <v>0</v>
      </c>
      <c r="BE200">
        <f>DC!BE77</f>
        <v>0</v>
      </c>
      <c r="BF200">
        <f>DC!BF77</f>
        <v>0</v>
      </c>
      <c r="BG200">
        <f>DC!BG77</f>
        <v>0</v>
      </c>
      <c r="BH200">
        <f>DC!BH77</f>
        <v>0</v>
      </c>
      <c r="BI200">
        <f>DC!BI77</f>
        <v>0</v>
      </c>
      <c r="BJ200">
        <f>DC!BJ77</f>
        <v>0</v>
      </c>
      <c r="BK200">
        <f>DC!BK77</f>
        <v>0</v>
      </c>
      <c r="BL200">
        <f>DC!BL77</f>
        <v>0</v>
      </c>
    </row>
    <row r="201" spans="1:64">
      <c r="A201">
        <f>DC!A78</f>
        <v>30</v>
      </c>
      <c r="B201" t="str">
        <f>DC!B78</f>
        <v>15:00-16:00</v>
      </c>
      <c r="C201">
        <f>DC!C78</f>
        <v>31</v>
      </c>
      <c r="D201" t="str">
        <f>DC!D78</f>
        <v>15:15-16:00</v>
      </c>
      <c r="E201">
        <f>DC!E78</f>
        <v>0</v>
      </c>
      <c r="F201">
        <f>DC!F78</f>
        <v>0</v>
      </c>
      <c r="G201">
        <f>DC!G78</f>
        <v>0</v>
      </c>
      <c r="H201">
        <f>DC!H78</f>
        <v>0</v>
      </c>
      <c r="I201">
        <f>DC!I78</f>
        <v>0</v>
      </c>
      <c r="J201">
        <f>DC!J78</f>
        <v>0</v>
      </c>
      <c r="K201">
        <f>DC!K78</f>
        <v>0</v>
      </c>
      <c r="L201">
        <f>DC!L78</f>
        <v>0</v>
      </c>
      <c r="M201">
        <f>DC!M78</f>
        <v>0</v>
      </c>
      <c r="N201">
        <f>DC!N78</f>
        <v>0</v>
      </c>
      <c r="O201">
        <f>DC!O78</f>
        <v>0</v>
      </c>
      <c r="P201">
        <f>DC!P78</f>
        <v>0</v>
      </c>
      <c r="Q201">
        <f>DC!Q78</f>
        <v>0</v>
      </c>
      <c r="R201">
        <f>DC!R78</f>
        <v>0</v>
      </c>
      <c r="S201">
        <f>DC!S78</f>
        <v>0</v>
      </c>
      <c r="T201">
        <f>DC!T78</f>
        <v>0</v>
      </c>
      <c r="U201">
        <f>DC!U78</f>
        <v>0</v>
      </c>
      <c r="V201">
        <f>DC!V78</f>
        <v>0</v>
      </c>
      <c r="W201">
        <f>DC!W78</f>
        <v>0</v>
      </c>
      <c r="X201">
        <f>DC!X78</f>
        <v>0</v>
      </c>
      <c r="Y201">
        <f>DC!Y78</f>
        <v>0</v>
      </c>
      <c r="Z201">
        <f>DC!Z78</f>
        <v>0</v>
      </c>
      <c r="AA201">
        <f>DC!AA78</f>
        <v>0</v>
      </c>
      <c r="AB201">
        <f>DC!AB78</f>
        <v>0</v>
      </c>
      <c r="AC201">
        <f>DC!AC78</f>
        <v>0</v>
      </c>
      <c r="AD201">
        <f>DC!AD78</f>
        <v>0</v>
      </c>
      <c r="AE201">
        <f>DC!AE78</f>
        <v>0</v>
      </c>
      <c r="AF201">
        <f>DC!AF78</f>
        <v>0</v>
      </c>
      <c r="AG201">
        <f>DC!AG78</f>
        <v>0</v>
      </c>
      <c r="AH201">
        <f>DC!AH78</f>
        <v>0</v>
      </c>
      <c r="AI201">
        <f>DC!AI78</f>
        <v>0</v>
      </c>
      <c r="AJ201">
        <f>DC!AJ78</f>
        <v>0</v>
      </c>
      <c r="AK201">
        <f>DC!AK78</f>
        <v>0</v>
      </c>
      <c r="AL201">
        <f>DC!AL78</f>
        <v>0</v>
      </c>
      <c r="AM201">
        <f>DC!AM78</f>
        <v>0</v>
      </c>
      <c r="AN201">
        <f>DC!AN78</f>
        <v>0</v>
      </c>
      <c r="AO201">
        <f>DC!AO78</f>
        <v>0</v>
      </c>
      <c r="AP201">
        <f>DC!AP78</f>
        <v>0</v>
      </c>
      <c r="AQ201">
        <f>DC!AQ78</f>
        <v>0</v>
      </c>
      <c r="AR201">
        <f>DC!AR78</f>
        <v>0</v>
      </c>
      <c r="AS201">
        <f>DC!AS78</f>
        <v>0</v>
      </c>
      <c r="AT201">
        <f>DC!AT78</f>
        <v>0</v>
      </c>
      <c r="AU201">
        <f>DC!AU78</f>
        <v>0</v>
      </c>
      <c r="AV201">
        <f>DC!AV78</f>
        <v>0</v>
      </c>
      <c r="AW201">
        <f>DC!AW78</f>
        <v>0</v>
      </c>
      <c r="AX201">
        <f>DC!AX78</f>
        <v>0</v>
      </c>
      <c r="AY201">
        <f>DC!AY78</f>
        <v>0</v>
      </c>
      <c r="AZ201">
        <f>DC!AZ78</f>
        <v>0</v>
      </c>
      <c r="BA201">
        <f>DC!BA78</f>
        <v>0</v>
      </c>
      <c r="BB201">
        <f>DC!BB78</f>
        <v>0</v>
      </c>
      <c r="BC201">
        <f>DC!BC78</f>
        <v>0</v>
      </c>
      <c r="BD201">
        <f>DC!BD78</f>
        <v>0</v>
      </c>
      <c r="BE201">
        <f>DC!BE78</f>
        <v>0</v>
      </c>
      <c r="BF201">
        <f>DC!BF78</f>
        <v>0</v>
      </c>
      <c r="BG201">
        <f>DC!BG78</f>
        <v>0</v>
      </c>
      <c r="BH201">
        <f>DC!BH78</f>
        <v>0</v>
      </c>
      <c r="BI201">
        <f>DC!BI78</f>
        <v>0</v>
      </c>
      <c r="BJ201">
        <f>DC!BJ78</f>
        <v>0</v>
      </c>
      <c r="BK201">
        <f>DC!BK78</f>
        <v>0</v>
      </c>
      <c r="BL201">
        <f>DC!BL78</f>
        <v>0</v>
      </c>
    </row>
    <row r="202" spans="1:64">
      <c r="A202">
        <f>DC!A79</f>
        <v>30</v>
      </c>
      <c r="B202" t="str">
        <f>DC!B79</f>
        <v>15:00-16:00</v>
      </c>
      <c r="C202">
        <f>DC!C79</f>
        <v>32</v>
      </c>
      <c r="D202" t="str">
        <f>DC!D79</f>
        <v>15:30-16:15</v>
      </c>
      <c r="E202">
        <f>DC!E79</f>
        <v>0</v>
      </c>
      <c r="F202">
        <f>DC!F79</f>
        <v>0</v>
      </c>
      <c r="G202">
        <f>DC!G79</f>
        <v>0</v>
      </c>
      <c r="H202">
        <f>DC!H79</f>
        <v>0</v>
      </c>
      <c r="I202">
        <f>DC!I79</f>
        <v>0</v>
      </c>
      <c r="J202">
        <f>DC!J79</f>
        <v>0</v>
      </c>
      <c r="K202">
        <f>DC!K79</f>
        <v>0</v>
      </c>
      <c r="L202">
        <f>DC!L79</f>
        <v>0</v>
      </c>
      <c r="M202">
        <f>DC!M79</f>
        <v>0</v>
      </c>
      <c r="N202">
        <f>DC!N79</f>
        <v>0</v>
      </c>
      <c r="O202">
        <f>DC!O79</f>
        <v>0</v>
      </c>
      <c r="P202">
        <f>DC!P79</f>
        <v>0</v>
      </c>
      <c r="Q202">
        <f>DC!Q79</f>
        <v>0</v>
      </c>
      <c r="R202">
        <f>DC!R79</f>
        <v>0</v>
      </c>
      <c r="S202">
        <f>DC!S79</f>
        <v>0</v>
      </c>
      <c r="T202">
        <f>DC!T79</f>
        <v>0</v>
      </c>
      <c r="U202">
        <f>DC!U79</f>
        <v>0</v>
      </c>
      <c r="V202">
        <f>DC!V79</f>
        <v>0</v>
      </c>
      <c r="W202">
        <f>DC!W79</f>
        <v>0</v>
      </c>
      <c r="X202">
        <f>DC!X79</f>
        <v>0</v>
      </c>
      <c r="Y202">
        <f>DC!Y79</f>
        <v>0</v>
      </c>
      <c r="Z202">
        <f>DC!Z79</f>
        <v>0</v>
      </c>
      <c r="AA202">
        <f>DC!AA79</f>
        <v>0</v>
      </c>
      <c r="AB202">
        <f>DC!AB79</f>
        <v>0</v>
      </c>
      <c r="AC202">
        <f>DC!AC79</f>
        <v>0</v>
      </c>
      <c r="AD202">
        <f>DC!AD79</f>
        <v>0</v>
      </c>
      <c r="AE202">
        <f>DC!AE79</f>
        <v>0</v>
      </c>
      <c r="AF202">
        <f>DC!AF79</f>
        <v>0</v>
      </c>
      <c r="AG202">
        <f>DC!AG79</f>
        <v>0</v>
      </c>
      <c r="AH202">
        <f>DC!AH79</f>
        <v>0</v>
      </c>
      <c r="AI202">
        <f>DC!AI79</f>
        <v>0</v>
      </c>
      <c r="AJ202">
        <f>DC!AJ79</f>
        <v>0</v>
      </c>
      <c r="AK202">
        <f>DC!AK79</f>
        <v>0</v>
      </c>
      <c r="AL202">
        <f>DC!AL79</f>
        <v>0</v>
      </c>
      <c r="AM202">
        <f>DC!AM79</f>
        <v>0</v>
      </c>
      <c r="AN202">
        <f>DC!AN79</f>
        <v>0</v>
      </c>
      <c r="AO202">
        <f>DC!AO79</f>
        <v>0</v>
      </c>
      <c r="AP202">
        <f>DC!AP79</f>
        <v>0</v>
      </c>
      <c r="AQ202">
        <f>DC!AQ79</f>
        <v>0</v>
      </c>
      <c r="AR202">
        <f>DC!AR79</f>
        <v>0</v>
      </c>
      <c r="AS202">
        <f>DC!AS79</f>
        <v>0</v>
      </c>
      <c r="AT202">
        <f>DC!AT79</f>
        <v>0</v>
      </c>
      <c r="AU202">
        <f>DC!AU79</f>
        <v>0</v>
      </c>
      <c r="AV202">
        <f>DC!AV79</f>
        <v>0</v>
      </c>
      <c r="AW202">
        <f>DC!AW79</f>
        <v>0</v>
      </c>
      <c r="AX202">
        <f>DC!AX79</f>
        <v>0</v>
      </c>
      <c r="AY202">
        <f>DC!AY79</f>
        <v>0</v>
      </c>
      <c r="AZ202">
        <f>DC!AZ79</f>
        <v>0</v>
      </c>
      <c r="BA202">
        <f>DC!BA79</f>
        <v>0</v>
      </c>
      <c r="BB202">
        <f>DC!BB79</f>
        <v>0</v>
      </c>
      <c r="BC202">
        <f>DC!BC79</f>
        <v>0</v>
      </c>
      <c r="BD202">
        <f>DC!BD79</f>
        <v>0</v>
      </c>
      <c r="BE202">
        <f>DC!BE79</f>
        <v>0</v>
      </c>
      <c r="BF202">
        <f>DC!BF79</f>
        <v>0</v>
      </c>
      <c r="BG202">
        <f>DC!BG79</f>
        <v>0</v>
      </c>
      <c r="BH202">
        <f>DC!BH79</f>
        <v>0</v>
      </c>
      <c r="BI202">
        <f>DC!BI79</f>
        <v>0</v>
      </c>
      <c r="BJ202">
        <f>DC!BJ79</f>
        <v>0</v>
      </c>
      <c r="BK202">
        <f>DC!BK79</f>
        <v>0</v>
      </c>
      <c r="BL202">
        <f>DC!BL79</f>
        <v>0</v>
      </c>
    </row>
    <row r="203" spans="1:64">
      <c r="A203">
        <f>DC!A80</f>
        <v>30</v>
      </c>
      <c r="B203" t="str">
        <f>DC!B80</f>
        <v>15:00-16:00</v>
      </c>
      <c r="C203">
        <f>DC!C80</f>
        <v>33</v>
      </c>
      <c r="D203" t="str">
        <f>DC!D80</f>
        <v>15:45-16:30</v>
      </c>
      <c r="E203">
        <f>DC!E80</f>
        <v>0</v>
      </c>
      <c r="F203">
        <f>DC!F80</f>
        <v>0</v>
      </c>
      <c r="G203">
        <f>DC!G80</f>
        <v>0</v>
      </c>
      <c r="H203">
        <f>DC!H80</f>
        <v>0</v>
      </c>
      <c r="I203">
        <f>DC!I80</f>
        <v>0</v>
      </c>
      <c r="J203">
        <f>DC!J80</f>
        <v>0</v>
      </c>
      <c r="K203">
        <f>DC!K80</f>
        <v>0</v>
      </c>
      <c r="L203">
        <f>DC!L80</f>
        <v>0</v>
      </c>
      <c r="M203">
        <f>DC!M80</f>
        <v>0</v>
      </c>
      <c r="N203">
        <f>DC!N80</f>
        <v>0</v>
      </c>
      <c r="O203">
        <f>DC!O80</f>
        <v>0</v>
      </c>
      <c r="P203">
        <f>DC!P80</f>
        <v>0</v>
      </c>
      <c r="Q203">
        <f>DC!Q80</f>
        <v>0</v>
      </c>
      <c r="R203">
        <f>DC!R80</f>
        <v>0</v>
      </c>
      <c r="S203">
        <f>DC!S80</f>
        <v>0</v>
      </c>
      <c r="T203">
        <f>DC!T80</f>
        <v>0</v>
      </c>
      <c r="U203">
        <f>DC!U80</f>
        <v>0</v>
      </c>
      <c r="V203">
        <f>DC!V80</f>
        <v>0</v>
      </c>
      <c r="W203">
        <f>DC!W80</f>
        <v>0</v>
      </c>
      <c r="X203">
        <f>DC!X80</f>
        <v>0</v>
      </c>
      <c r="Y203">
        <f>DC!Y80</f>
        <v>0</v>
      </c>
      <c r="Z203">
        <f>DC!Z80</f>
        <v>0</v>
      </c>
      <c r="AA203">
        <f>DC!AA80</f>
        <v>0</v>
      </c>
      <c r="AB203">
        <f>DC!AB80</f>
        <v>0</v>
      </c>
      <c r="AC203">
        <f>DC!AC80</f>
        <v>0</v>
      </c>
      <c r="AD203">
        <f>DC!AD80</f>
        <v>0</v>
      </c>
      <c r="AE203">
        <f>DC!AE80</f>
        <v>0</v>
      </c>
      <c r="AF203">
        <f>DC!AF80</f>
        <v>0</v>
      </c>
      <c r="AG203">
        <f>DC!AG80</f>
        <v>0</v>
      </c>
      <c r="AH203">
        <f>DC!AH80</f>
        <v>0</v>
      </c>
      <c r="AI203">
        <f>DC!AI80</f>
        <v>0</v>
      </c>
      <c r="AJ203">
        <f>DC!AJ80</f>
        <v>0</v>
      </c>
      <c r="AK203">
        <f>DC!AK80</f>
        <v>0</v>
      </c>
      <c r="AL203">
        <f>DC!AL80</f>
        <v>0</v>
      </c>
      <c r="AM203">
        <f>DC!AM80</f>
        <v>0</v>
      </c>
      <c r="AN203">
        <f>DC!AN80</f>
        <v>0</v>
      </c>
      <c r="AO203">
        <f>DC!AO80</f>
        <v>0</v>
      </c>
      <c r="AP203">
        <f>DC!AP80</f>
        <v>0</v>
      </c>
      <c r="AQ203">
        <f>DC!AQ80</f>
        <v>0</v>
      </c>
      <c r="AR203">
        <f>DC!AR80</f>
        <v>0</v>
      </c>
      <c r="AS203">
        <f>DC!AS80</f>
        <v>0</v>
      </c>
      <c r="AT203">
        <f>DC!AT80</f>
        <v>0</v>
      </c>
      <c r="AU203">
        <f>DC!AU80</f>
        <v>0</v>
      </c>
      <c r="AV203">
        <f>DC!AV80</f>
        <v>0</v>
      </c>
      <c r="AW203">
        <f>DC!AW80</f>
        <v>0</v>
      </c>
      <c r="AX203">
        <f>DC!AX80</f>
        <v>0</v>
      </c>
      <c r="AY203">
        <f>DC!AY80</f>
        <v>0</v>
      </c>
      <c r="AZ203">
        <f>DC!AZ80</f>
        <v>0</v>
      </c>
      <c r="BA203">
        <f>DC!BA80</f>
        <v>0</v>
      </c>
      <c r="BB203">
        <f>DC!BB80</f>
        <v>0</v>
      </c>
      <c r="BC203">
        <f>DC!BC80</f>
        <v>0</v>
      </c>
      <c r="BD203">
        <f>DC!BD80</f>
        <v>0</v>
      </c>
      <c r="BE203">
        <f>DC!BE80</f>
        <v>0</v>
      </c>
      <c r="BF203">
        <f>DC!BF80</f>
        <v>0</v>
      </c>
      <c r="BG203">
        <f>DC!BG80</f>
        <v>0</v>
      </c>
      <c r="BH203">
        <f>DC!BH80</f>
        <v>0</v>
      </c>
      <c r="BI203">
        <f>DC!BI80</f>
        <v>0</v>
      </c>
      <c r="BJ203">
        <f>DC!BJ80</f>
        <v>0</v>
      </c>
      <c r="BK203">
        <f>DC!BK80</f>
        <v>0</v>
      </c>
      <c r="BL203">
        <f>DC!BL80</f>
        <v>0</v>
      </c>
    </row>
    <row r="204" spans="1:64">
      <c r="A204">
        <f>DC!A81</f>
        <v>31</v>
      </c>
      <c r="B204" t="str">
        <f>DC!B81</f>
        <v>15:15-16:00</v>
      </c>
      <c r="C204">
        <f>DC!C81</f>
        <v>32</v>
      </c>
      <c r="D204" t="str">
        <f>DC!D81</f>
        <v>15:30-16:15</v>
      </c>
      <c r="E204">
        <f>DC!E81</f>
        <v>0</v>
      </c>
      <c r="F204">
        <f>DC!F81</f>
        <v>0</v>
      </c>
      <c r="G204">
        <f>DC!G81</f>
        <v>0</v>
      </c>
      <c r="H204">
        <f>DC!H81</f>
        <v>0</v>
      </c>
      <c r="I204">
        <f>DC!I81</f>
        <v>0</v>
      </c>
      <c r="J204">
        <f>DC!J81</f>
        <v>0</v>
      </c>
      <c r="K204">
        <f>DC!K81</f>
        <v>0</v>
      </c>
      <c r="L204">
        <f>DC!L81</f>
        <v>0</v>
      </c>
      <c r="M204">
        <f>DC!M81</f>
        <v>0</v>
      </c>
      <c r="N204">
        <f>DC!N81</f>
        <v>0</v>
      </c>
      <c r="O204">
        <f>DC!O81</f>
        <v>0</v>
      </c>
      <c r="P204">
        <f>DC!P81</f>
        <v>0</v>
      </c>
      <c r="Q204">
        <f>DC!Q81</f>
        <v>0</v>
      </c>
      <c r="R204">
        <f>DC!R81</f>
        <v>0</v>
      </c>
      <c r="S204">
        <f>DC!S81</f>
        <v>0</v>
      </c>
      <c r="T204">
        <f>DC!T81</f>
        <v>0</v>
      </c>
      <c r="U204">
        <f>DC!U81</f>
        <v>0</v>
      </c>
      <c r="V204">
        <f>DC!V81</f>
        <v>0</v>
      </c>
      <c r="W204">
        <f>DC!W81</f>
        <v>0</v>
      </c>
      <c r="X204">
        <f>DC!X81</f>
        <v>0</v>
      </c>
      <c r="Y204">
        <f>DC!Y81</f>
        <v>0</v>
      </c>
      <c r="Z204">
        <f>DC!Z81</f>
        <v>0</v>
      </c>
      <c r="AA204">
        <f>DC!AA81</f>
        <v>0</v>
      </c>
      <c r="AB204">
        <f>DC!AB81</f>
        <v>0</v>
      </c>
      <c r="AC204">
        <f>DC!AC81</f>
        <v>0</v>
      </c>
      <c r="AD204">
        <f>DC!AD81</f>
        <v>0</v>
      </c>
      <c r="AE204">
        <f>DC!AE81</f>
        <v>0</v>
      </c>
      <c r="AF204">
        <f>DC!AF81</f>
        <v>0</v>
      </c>
      <c r="AG204">
        <f>DC!AG81</f>
        <v>0</v>
      </c>
      <c r="AH204">
        <f>DC!AH81</f>
        <v>0</v>
      </c>
      <c r="AI204">
        <f>DC!AI81</f>
        <v>0</v>
      </c>
      <c r="AJ204">
        <f>DC!AJ81</f>
        <v>0</v>
      </c>
      <c r="AK204">
        <f>DC!AK81</f>
        <v>0</v>
      </c>
      <c r="AL204">
        <f>DC!AL81</f>
        <v>0</v>
      </c>
      <c r="AM204">
        <f>DC!AM81</f>
        <v>0</v>
      </c>
      <c r="AN204">
        <f>DC!AN81</f>
        <v>0</v>
      </c>
      <c r="AO204">
        <f>DC!AO81</f>
        <v>0</v>
      </c>
      <c r="AP204">
        <f>DC!AP81</f>
        <v>0</v>
      </c>
      <c r="AQ204">
        <f>DC!AQ81</f>
        <v>0</v>
      </c>
      <c r="AR204">
        <f>DC!AR81</f>
        <v>0</v>
      </c>
      <c r="AS204">
        <f>DC!AS81</f>
        <v>0</v>
      </c>
      <c r="AT204">
        <f>DC!AT81</f>
        <v>0</v>
      </c>
      <c r="AU204">
        <f>DC!AU81</f>
        <v>0</v>
      </c>
      <c r="AV204">
        <f>DC!AV81</f>
        <v>0</v>
      </c>
      <c r="AW204">
        <f>DC!AW81</f>
        <v>0</v>
      </c>
      <c r="AX204">
        <f>DC!AX81</f>
        <v>0</v>
      </c>
      <c r="AY204">
        <f>DC!AY81</f>
        <v>0</v>
      </c>
      <c r="AZ204">
        <f>DC!AZ81</f>
        <v>0</v>
      </c>
      <c r="BA204">
        <f>DC!BA81</f>
        <v>0</v>
      </c>
      <c r="BB204">
        <f>DC!BB81</f>
        <v>0</v>
      </c>
      <c r="BC204">
        <f>DC!BC81</f>
        <v>0</v>
      </c>
      <c r="BD204">
        <f>DC!BD81</f>
        <v>0</v>
      </c>
      <c r="BE204">
        <f>DC!BE81</f>
        <v>0</v>
      </c>
      <c r="BF204">
        <f>DC!BF81</f>
        <v>0</v>
      </c>
      <c r="BG204">
        <f>DC!BG81</f>
        <v>0</v>
      </c>
      <c r="BH204">
        <f>DC!BH81</f>
        <v>0</v>
      </c>
      <c r="BI204">
        <f>DC!BI81</f>
        <v>0</v>
      </c>
      <c r="BJ204">
        <f>DC!BJ81</f>
        <v>0</v>
      </c>
      <c r="BK204">
        <f>DC!BK81</f>
        <v>0</v>
      </c>
      <c r="BL204">
        <f>DC!BL81</f>
        <v>0</v>
      </c>
    </row>
    <row r="205" spans="1:64">
      <c r="A205">
        <f>DC!A82</f>
        <v>31</v>
      </c>
      <c r="B205" t="str">
        <f>DC!B82</f>
        <v>15:15-16:00</v>
      </c>
      <c r="C205">
        <f>DC!C82</f>
        <v>33</v>
      </c>
      <c r="D205" t="str">
        <f>DC!D82</f>
        <v>15:45-16:30</v>
      </c>
      <c r="E205">
        <f>DC!E82</f>
        <v>0</v>
      </c>
      <c r="F205">
        <f>DC!F82</f>
        <v>0</v>
      </c>
      <c r="G205">
        <f>DC!G82</f>
        <v>0</v>
      </c>
      <c r="H205">
        <f>DC!H82</f>
        <v>0</v>
      </c>
      <c r="I205">
        <f>DC!I82</f>
        <v>0</v>
      </c>
      <c r="J205">
        <f>DC!J82</f>
        <v>0</v>
      </c>
      <c r="K205">
        <f>DC!K82</f>
        <v>0</v>
      </c>
      <c r="L205">
        <f>DC!L82</f>
        <v>0</v>
      </c>
      <c r="M205">
        <f>DC!M82</f>
        <v>0</v>
      </c>
      <c r="N205">
        <f>DC!N82</f>
        <v>0</v>
      </c>
      <c r="O205">
        <f>DC!O82</f>
        <v>0</v>
      </c>
      <c r="P205">
        <f>DC!P82</f>
        <v>0</v>
      </c>
      <c r="Q205">
        <f>DC!Q82</f>
        <v>0</v>
      </c>
      <c r="R205">
        <f>DC!R82</f>
        <v>0</v>
      </c>
      <c r="S205">
        <f>DC!S82</f>
        <v>0</v>
      </c>
      <c r="T205">
        <f>DC!T82</f>
        <v>0</v>
      </c>
      <c r="U205">
        <f>DC!U82</f>
        <v>0</v>
      </c>
      <c r="V205">
        <f>DC!V82</f>
        <v>0</v>
      </c>
      <c r="W205">
        <f>DC!W82</f>
        <v>0</v>
      </c>
      <c r="X205">
        <f>DC!X82</f>
        <v>0</v>
      </c>
      <c r="Y205">
        <f>DC!Y82</f>
        <v>0</v>
      </c>
      <c r="Z205">
        <f>DC!Z82</f>
        <v>0</v>
      </c>
      <c r="AA205">
        <f>DC!AA82</f>
        <v>0</v>
      </c>
      <c r="AB205">
        <f>DC!AB82</f>
        <v>0</v>
      </c>
      <c r="AC205">
        <f>DC!AC82</f>
        <v>0</v>
      </c>
      <c r="AD205">
        <f>DC!AD82</f>
        <v>0</v>
      </c>
      <c r="AE205">
        <f>DC!AE82</f>
        <v>0</v>
      </c>
      <c r="AF205">
        <f>DC!AF82</f>
        <v>0</v>
      </c>
      <c r="AG205">
        <f>DC!AG82</f>
        <v>0</v>
      </c>
      <c r="AH205">
        <f>DC!AH82</f>
        <v>0</v>
      </c>
      <c r="AI205">
        <f>DC!AI82</f>
        <v>0</v>
      </c>
      <c r="AJ205">
        <f>DC!AJ82</f>
        <v>0</v>
      </c>
      <c r="AK205">
        <f>DC!AK82</f>
        <v>0</v>
      </c>
      <c r="AL205">
        <f>DC!AL82</f>
        <v>0</v>
      </c>
      <c r="AM205">
        <f>DC!AM82</f>
        <v>0</v>
      </c>
      <c r="AN205">
        <f>DC!AN82</f>
        <v>0</v>
      </c>
      <c r="AO205">
        <f>DC!AO82</f>
        <v>0</v>
      </c>
      <c r="AP205">
        <f>DC!AP82</f>
        <v>0</v>
      </c>
      <c r="AQ205">
        <f>DC!AQ82</f>
        <v>0</v>
      </c>
      <c r="AR205">
        <f>DC!AR82</f>
        <v>0</v>
      </c>
      <c r="AS205">
        <f>DC!AS82</f>
        <v>0</v>
      </c>
      <c r="AT205">
        <f>DC!AT82</f>
        <v>0</v>
      </c>
      <c r="AU205">
        <f>DC!AU82</f>
        <v>0</v>
      </c>
      <c r="AV205">
        <f>DC!AV82</f>
        <v>0</v>
      </c>
      <c r="AW205">
        <f>DC!AW82</f>
        <v>0</v>
      </c>
      <c r="AX205">
        <f>DC!AX82</f>
        <v>0</v>
      </c>
      <c r="AY205">
        <f>DC!AY82</f>
        <v>0</v>
      </c>
      <c r="AZ205">
        <f>DC!AZ82</f>
        <v>0</v>
      </c>
      <c r="BA205">
        <f>DC!BA82</f>
        <v>0</v>
      </c>
      <c r="BB205">
        <f>DC!BB82</f>
        <v>0</v>
      </c>
      <c r="BC205">
        <f>DC!BC82</f>
        <v>0</v>
      </c>
      <c r="BD205">
        <f>DC!BD82</f>
        <v>0</v>
      </c>
      <c r="BE205">
        <f>DC!BE82</f>
        <v>0</v>
      </c>
      <c r="BF205">
        <f>DC!BF82</f>
        <v>0</v>
      </c>
      <c r="BG205">
        <f>DC!BG82</f>
        <v>0</v>
      </c>
      <c r="BH205">
        <f>DC!BH82</f>
        <v>0</v>
      </c>
      <c r="BI205">
        <f>DC!BI82</f>
        <v>0</v>
      </c>
      <c r="BJ205">
        <f>DC!BJ82</f>
        <v>0</v>
      </c>
      <c r="BK205">
        <f>DC!BK82</f>
        <v>0</v>
      </c>
      <c r="BL205">
        <f>DC!BL82</f>
        <v>0</v>
      </c>
    </row>
    <row r="206" spans="1:64">
      <c r="A206">
        <f>DC!A83</f>
        <v>32</v>
      </c>
      <c r="B206" t="str">
        <f>DC!B83</f>
        <v>15:30-16:15</v>
      </c>
      <c r="C206">
        <f>DC!C83</f>
        <v>33</v>
      </c>
      <c r="D206" t="str">
        <f>DC!D83</f>
        <v>15:45-16:30</v>
      </c>
      <c r="E206">
        <f>DC!E83</f>
        <v>0</v>
      </c>
      <c r="F206">
        <f>DC!F83</f>
        <v>0</v>
      </c>
      <c r="G206">
        <f>DC!G83</f>
        <v>0</v>
      </c>
      <c r="H206">
        <f>DC!H83</f>
        <v>0</v>
      </c>
      <c r="I206">
        <f>DC!I83</f>
        <v>0</v>
      </c>
      <c r="J206">
        <f>DC!J83</f>
        <v>0</v>
      </c>
      <c r="K206">
        <f>DC!K83</f>
        <v>0</v>
      </c>
      <c r="L206">
        <f>DC!L83</f>
        <v>0</v>
      </c>
      <c r="M206">
        <f>DC!M83</f>
        <v>0</v>
      </c>
      <c r="N206">
        <f>DC!N83</f>
        <v>0</v>
      </c>
      <c r="O206">
        <f>DC!O83</f>
        <v>0</v>
      </c>
      <c r="P206">
        <f>DC!P83</f>
        <v>0</v>
      </c>
      <c r="Q206">
        <f>DC!Q83</f>
        <v>0</v>
      </c>
      <c r="R206">
        <f>DC!R83</f>
        <v>0</v>
      </c>
      <c r="S206">
        <f>DC!S83</f>
        <v>0</v>
      </c>
      <c r="T206">
        <f>DC!T83</f>
        <v>0</v>
      </c>
      <c r="U206">
        <f>DC!U83</f>
        <v>0</v>
      </c>
      <c r="V206">
        <f>DC!V83</f>
        <v>0</v>
      </c>
      <c r="W206">
        <f>DC!W83</f>
        <v>0</v>
      </c>
      <c r="X206">
        <f>DC!X83</f>
        <v>0</v>
      </c>
      <c r="Y206">
        <f>DC!Y83</f>
        <v>0</v>
      </c>
      <c r="Z206">
        <f>DC!Z83</f>
        <v>0</v>
      </c>
      <c r="AA206">
        <f>DC!AA83</f>
        <v>0</v>
      </c>
      <c r="AB206">
        <f>DC!AB83</f>
        <v>0</v>
      </c>
      <c r="AC206">
        <f>DC!AC83</f>
        <v>0</v>
      </c>
      <c r="AD206">
        <f>DC!AD83</f>
        <v>0</v>
      </c>
      <c r="AE206">
        <f>DC!AE83</f>
        <v>0</v>
      </c>
      <c r="AF206">
        <f>DC!AF83</f>
        <v>0</v>
      </c>
      <c r="AG206">
        <f>DC!AG83</f>
        <v>0</v>
      </c>
      <c r="AH206">
        <f>DC!AH83</f>
        <v>0</v>
      </c>
      <c r="AI206">
        <f>DC!AI83</f>
        <v>0</v>
      </c>
      <c r="AJ206">
        <f>DC!AJ83</f>
        <v>0</v>
      </c>
      <c r="AK206">
        <f>DC!AK83</f>
        <v>0</v>
      </c>
      <c r="AL206">
        <f>DC!AL83</f>
        <v>0</v>
      </c>
      <c r="AM206">
        <f>DC!AM83</f>
        <v>0</v>
      </c>
      <c r="AN206">
        <f>DC!AN83</f>
        <v>0</v>
      </c>
      <c r="AO206">
        <f>DC!AO83</f>
        <v>0</v>
      </c>
      <c r="AP206">
        <f>DC!AP83</f>
        <v>0</v>
      </c>
      <c r="AQ206">
        <f>DC!AQ83</f>
        <v>0</v>
      </c>
      <c r="AR206">
        <f>DC!AR83</f>
        <v>0</v>
      </c>
      <c r="AS206">
        <f>DC!AS83</f>
        <v>0</v>
      </c>
      <c r="AT206">
        <f>DC!AT83</f>
        <v>0</v>
      </c>
      <c r="AU206">
        <f>DC!AU83</f>
        <v>0</v>
      </c>
      <c r="AV206">
        <f>DC!AV83</f>
        <v>0</v>
      </c>
      <c r="AW206">
        <f>DC!AW83</f>
        <v>0</v>
      </c>
      <c r="AX206">
        <f>DC!AX83</f>
        <v>0</v>
      </c>
      <c r="AY206">
        <f>DC!AY83</f>
        <v>0</v>
      </c>
      <c r="AZ206">
        <f>DC!AZ83</f>
        <v>0</v>
      </c>
      <c r="BA206">
        <f>DC!BA83</f>
        <v>0</v>
      </c>
      <c r="BB206">
        <f>DC!BB83</f>
        <v>0</v>
      </c>
      <c r="BC206">
        <f>DC!BC83</f>
        <v>0</v>
      </c>
      <c r="BD206">
        <f>DC!BD83</f>
        <v>0</v>
      </c>
      <c r="BE206">
        <f>DC!BE83</f>
        <v>0</v>
      </c>
      <c r="BF206">
        <f>DC!BF83</f>
        <v>0</v>
      </c>
      <c r="BG206">
        <f>DC!BG83</f>
        <v>0</v>
      </c>
      <c r="BH206">
        <f>DC!BH83</f>
        <v>0</v>
      </c>
      <c r="BI206">
        <f>DC!BI83</f>
        <v>0</v>
      </c>
      <c r="BJ206">
        <f>DC!BJ83</f>
        <v>0</v>
      </c>
      <c r="BK206">
        <f>DC!BK83</f>
        <v>0</v>
      </c>
      <c r="BL206">
        <f>DC!BL83</f>
        <v>0</v>
      </c>
    </row>
    <row r="207" spans="1:64">
      <c r="A207">
        <f>DC!A84</f>
        <v>32</v>
      </c>
      <c r="B207" t="str">
        <f>DC!B84</f>
        <v>15:30-16:15</v>
      </c>
      <c r="C207">
        <f>DC!C84</f>
        <v>34</v>
      </c>
      <c r="D207" t="str">
        <f>DC!D84</f>
        <v>16:00-17:00</v>
      </c>
      <c r="E207">
        <f>DC!E84</f>
        <v>0</v>
      </c>
      <c r="F207">
        <f>DC!F84</f>
        <v>0</v>
      </c>
      <c r="G207">
        <f>DC!G84</f>
        <v>0</v>
      </c>
      <c r="H207">
        <f>DC!H84</f>
        <v>0</v>
      </c>
      <c r="I207">
        <f>DC!I84</f>
        <v>0</v>
      </c>
      <c r="J207">
        <f>DC!J84</f>
        <v>0</v>
      </c>
      <c r="K207">
        <f>DC!K84</f>
        <v>0</v>
      </c>
      <c r="L207">
        <f>DC!L84</f>
        <v>0</v>
      </c>
      <c r="M207">
        <f>DC!M84</f>
        <v>0</v>
      </c>
      <c r="N207">
        <f>DC!N84</f>
        <v>0</v>
      </c>
      <c r="O207">
        <f>DC!O84</f>
        <v>0</v>
      </c>
      <c r="P207">
        <f>DC!P84</f>
        <v>0</v>
      </c>
      <c r="Q207">
        <f>DC!Q84</f>
        <v>0</v>
      </c>
      <c r="R207">
        <f>DC!R84</f>
        <v>0</v>
      </c>
      <c r="S207">
        <f>DC!S84</f>
        <v>0</v>
      </c>
      <c r="T207">
        <f>DC!T84</f>
        <v>0</v>
      </c>
      <c r="U207">
        <f>DC!U84</f>
        <v>0</v>
      </c>
      <c r="V207">
        <f>DC!V84</f>
        <v>0</v>
      </c>
      <c r="W207">
        <f>DC!W84</f>
        <v>0</v>
      </c>
      <c r="X207">
        <f>DC!X84</f>
        <v>0</v>
      </c>
      <c r="Y207">
        <f>DC!Y84</f>
        <v>0</v>
      </c>
      <c r="Z207">
        <f>DC!Z84</f>
        <v>0</v>
      </c>
      <c r="AA207">
        <f>DC!AA84</f>
        <v>0</v>
      </c>
      <c r="AB207">
        <f>DC!AB84</f>
        <v>0</v>
      </c>
      <c r="AC207">
        <f>DC!AC84</f>
        <v>0</v>
      </c>
      <c r="AD207">
        <f>DC!AD84</f>
        <v>0</v>
      </c>
      <c r="AE207">
        <f>DC!AE84</f>
        <v>0</v>
      </c>
      <c r="AF207">
        <f>DC!AF84</f>
        <v>0</v>
      </c>
      <c r="AG207">
        <f>DC!AG84</f>
        <v>0</v>
      </c>
      <c r="AH207">
        <f>DC!AH84</f>
        <v>0</v>
      </c>
      <c r="AI207">
        <f>DC!AI84</f>
        <v>0</v>
      </c>
      <c r="AJ207">
        <f>DC!AJ84</f>
        <v>0</v>
      </c>
      <c r="AK207">
        <f>DC!AK84</f>
        <v>0</v>
      </c>
      <c r="AL207">
        <f>DC!AL84</f>
        <v>0</v>
      </c>
      <c r="AM207">
        <f>DC!AM84</f>
        <v>0</v>
      </c>
      <c r="AN207">
        <f>DC!AN84</f>
        <v>0</v>
      </c>
      <c r="AO207">
        <f>DC!AO84</f>
        <v>0</v>
      </c>
      <c r="AP207">
        <f>DC!AP84</f>
        <v>0</v>
      </c>
      <c r="AQ207">
        <f>DC!AQ84</f>
        <v>0</v>
      </c>
      <c r="AR207">
        <f>DC!AR84</f>
        <v>0</v>
      </c>
      <c r="AS207">
        <f>DC!AS84</f>
        <v>0</v>
      </c>
      <c r="AT207">
        <f>DC!AT84</f>
        <v>0</v>
      </c>
      <c r="AU207">
        <f>DC!AU84</f>
        <v>0</v>
      </c>
      <c r="AV207">
        <f>DC!AV84</f>
        <v>0</v>
      </c>
      <c r="AW207">
        <f>DC!AW84</f>
        <v>0</v>
      </c>
      <c r="AX207">
        <f>DC!AX84</f>
        <v>0</v>
      </c>
      <c r="AY207">
        <f>DC!AY84</f>
        <v>0</v>
      </c>
      <c r="AZ207">
        <f>DC!AZ84</f>
        <v>0</v>
      </c>
      <c r="BA207">
        <f>DC!BA84</f>
        <v>0</v>
      </c>
      <c r="BB207">
        <f>DC!BB84</f>
        <v>0</v>
      </c>
      <c r="BC207">
        <f>DC!BC84</f>
        <v>0</v>
      </c>
      <c r="BD207">
        <f>DC!BD84</f>
        <v>0</v>
      </c>
      <c r="BE207">
        <f>DC!BE84</f>
        <v>0</v>
      </c>
      <c r="BF207">
        <f>DC!BF84</f>
        <v>0</v>
      </c>
      <c r="BG207">
        <f>DC!BG84</f>
        <v>0</v>
      </c>
      <c r="BH207">
        <f>DC!BH84</f>
        <v>0</v>
      </c>
      <c r="BI207">
        <f>DC!BI84</f>
        <v>0</v>
      </c>
      <c r="BJ207">
        <f>DC!BJ84</f>
        <v>0</v>
      </c>
      <c r="BK207">
        <f>DC!BK84</f>
        <v>0</v>
      </c>
      <c r="BL207">
        <f>DC!BL84</f>
        <v>0</v>
      </c>
    </row>
    <row r="208" spans="1:64">
      <c r="A208">
        <f>DC!A85</f>
        <v>33</v>
      </c>
      <c r="B208" t="str">
        <f>DC!B85</f>
        <v>15:45-16:30</v>
      </c>
      <c r="C208">
        <f>DC!C85</f>
        <v>34</v>
      </c>
      <c r="D208" t="str">
        <f>DC!D85</f>
        <v>16:00-17:00</v>
      </c>
      <c r="E208">
        <f>DC!E85</f>
        <v>0</v>
      </c>
      <c r="F208">
        <f>DC!F85</f>
        <v>0</v>
      </c>
      <c r="G208">
        <f>DC!G85</f>
        <v>0</v>
      </c>
      <c r="H208">
        <f>DC!H85</f>
        <v>0</v>
      </c>
      <c r="I208">
        <f>DC!I85</f>
        <v>0</v>
      </c>
      <c r="J208">
        <f>DC!J85</f>
        <v>0</v>
      </c>
      <c r="K208">
        <f>DC!K85</f>
        <v>0</v>
      </c>
      <c r="L208">
        <f>DC!L85</f>
        <v>0</v>
      </c>
      <c r="M208">
        <f>DC!M85</f>
        <v>0</v>
      </c>
      <c r="N208">
        <f>DC!N85</f>
        <v>0</v>
      </c>
      <c r="O208">
        <f>DC!O85</f>
        <v>0</v>
      </c>
      <c r="P208">
        <f>DC!P85</f>
        <v>0</v>
      </c>
      <c r="Q208">
        <f>DC!Q85</f>
        <v>0</v>
      </c>
      <c r="R208">
        <f>DC!R85</f>
        <v>0</v>
      </c>
      <c r="S208">
        <f>DC!S85</f>
        <v>0</v>
      </c>
      <c r="T208">
        <f>DC!T85</f>
        <v>0</v>
      </c>
      <c r="U208">
        <f>DC!U85</f>
        <v>0</v>
      </c>
      <c r="V208">
        <f>DC!V85</f>
        <v>0</v>
      </c>
      <c r="W208">
        <f>DC!W85</f>
        <v>0</v>
      </c>
      <c r="X208">
        <f>DC!X85</f>
        <v>0</v>
      </c>
      <c r="Y208">
        <f>DC!Y85</f>
        <v>0</v>
      </c>
      <c r="Z208">
        <f>DC!Z85</f>
        <v>0</v>
      </c>
      <c r="AA208">
        <f>DC!AA85</f>
        <v>0</v>
      </c>
      <c r="AB208">
        <f>DC!AB85</f>
        <v>0</v>
      </c>
      <c r="AC208">
        <f>DC!AC85</f>
        <v>0</v>
      </c>
      <c r="AD208">
        <f>DC!AD85</f>
        <v>0</v>
      </c>
      <c r="AE208">
        <f>DC!AE85</f>
        <v>0</v>
      </c>
      <c r="AF208">
        <f>DC!AF85</f>
        <v>0</v>
      </c>
      <c r="AG208">
        <f>DC!AG85</f>
        <v>0</v>
      </c>
      <c r="AH208">
        <f>DC!AH85</f>
        <v>0</v>
      </c>
      <c r="AI208">
        <f>DC!AI85</f>
        <v>0</v>
      </c>
      <c r="AJ208">
        <f>DC!AJ85</f>
        <v>0</v>
      </c>
      <c r="AK208">
        <f>DC!AK85</f>
        <v>0</v>
      </c>
      <c r="AL208">
        <f>DC!AL85</f>
        <v>0</v>
      </c>
      <c r="AM208">
        <f>DC!AM85</f>
        <v>0</v>
      </c>
      <c r="AN208">
        <f>DC!AN85</f>
        <v>0</v>
      </c>
      <c r="AO208">
        <f>DC!AO85</f>
        <v>0</v>
      </c>
      <c r="AP208">
        <f>DC!AP85</f>
        <v>0</v>
      </c>
      <c r="AQ208">
        <f>DC!AQ85</f>
        <v>0</v>
      </c>
      <c r="AR208">
        <f>DC!AR85</f>
        <v>0</v>
      </c>
      <c r="AS208">
        <f>DC!AS85</f>
        <v>0</v>
      </c>
      <c r="AT208">
        <f>DC!AT85</f>
        <v>0</v>
      </c>
      <c r="AU208">
        <f>DC!AU85</f>
        <v>0</v>
      </c>
      <c r="AV208">
        <f>DC!AV85</f>
        <v>0</v>
      </c>
      <c r="AW208">
        <f>DC!AW85</f>
        <v>0</v>
      </c>
      <c r="AX208">
        <f>DC!AX85</f>
        <v>0</v>
      </c>
      <c r="AY208">
        <f>DC!AY85</f>
        <v>0</v>
      </c>
      <c r="AZ208">
        <f>DC!AZ85</f>
        <v>0</v>
      </c>
      <c r="BA208">
        <f>DC!BA85</f>
        <v>0</v>
      </c>
      <c r="BB208">
        <f>DC!BB85</f>
        <v>0</v>
      </c>
      <c r="BC208">
        <f>DC!BC85</f>
        <v>0</v>
      </c>
      <c r="BD208">
        <f>DC!BD85</f>
        <v>0</v>
      </c>
      <c r="BE208">
        <f>DC!BE85</f>
        <v>0</v>
      </c>
      <c r="BF208">
        <f>DC!BF85</f>
        <v>0</v>
      </c>
      <c r="BG208">
        <f>DC!BG85</f>
        <v>0</v>
      </c>
      <c r="BH208">
        <f>DC!BH85</f>
        <v>0</v>
      </c>
      <c r="BI208">
        <f>DC!BI85</f>
        <v>0</v>
      </c>
      <c r="BJ208">
        <f>DC!BJ85</f>
        <v>0</v>
      </c>
      <c r="BK208">
        <f>DC!BK85</f>
        <v>0</v>
      </c>
      <c r="BL208">
        <f>DC!BL85</f>
        <v>0</v>
      </c>
    </row>
    <row r="209" spans="1:64">
      <c r="A209">
        <f>DC!A86</f>
        <v>33</v>
      </c>
      <c r="B209" t="str">
        <f>DC!B86</f>
        <v>15:45-16:30</v>
      </c>
      <c r="C209">
        <f>DC!C86</f>
        <v>35</v>
      </c>
      <c r="D209" t="str">
        <f>DC!D86</f>
        <v>16:15-17:00</v>
      </c>
      <c r="E209">
        <f>DC!E86</f>
        <v>0</v>
      </c>
      <c r="F209">
        <f>DC!F86</f>
        <v>0</v>
      </c>
      <c r="G209">
        <f>DC!G86</f>
        <v>0</v>
      </c>
      <c r="H209">
        <f>DC!H86</f>
        <v>0</v>
      </c>
      <c r="I209">
        <f>DC!I86</f>
        <v>0</v>
      </c>
      <c r="J209">
        <f>DC!J86</f>
        <v>0</v>
      </c>
      <c r="K209">
        <f>DC!K86</f>
        <v>0</v>
      </c>
      <c r="L209">
        <f>DC!L86</f>
        <v>0</v>
      </c>
      <c r="M209">
        <f>DC!M86</f>
        <v>0</v>
      </c>
      <c r="N209">
        <f>DC!N86</f>
        <v>0</v>
      </c>
      <c r="O209">
        <f>DC!O86</f>
        <v>0</v>
      </c>
      <c r="P209">
        <f>DC!P86</f>
        <v>0</v>
      </c>
      <c r="Q209">
        <f>DC!Q86</f>
        <v>0</v>
      </c>
      <c r="R209">
        <f>DC!R86</f>
        <v>0</v>
      </c>
      <c r="S209">
        <f>DC!S86</f>
        <v>0</v>
      </c>
      <c r="T209">
        <f>DC!T86</f>
        <v>0</v>
      </c>
      <c r="U209">
        <f>DC!U86</f>
        <v>0</v>
      </c>
      <c r="V209">
        <f>DC!V86</f>
        <v>0</v>
      </c>
      <c r="W209">
        <f>DC!W86</f>
        <v>0</v>
      </c>
      <c r="X209">
        <f>DC!X86</f>
        <v>0</v>
      </c>
      <c r="Y209">
        <f>DC!Y86</f>
        <v>0</v>
      </c>
      <c r="Z209">
        <f>DC!Z86</f>
        <v>0</v>
      </c>
      <c r="AA209">
        <f>DC!AA86</f>
        <v>0</v>
      </c>
      <c r="AB209">
        <f>DC!AB86</f>
        <v>0</v>
      </c>
      <c r="AC209">
        <f>DC!AC86</f>
        <v>0</v>
      </c>
      <c r="AD209">
        <f>DC!AD86</f>
        <v>0</v>
      </c>
      <c r="AE209">
        <f>DC!AE86</f>
        <v>0</v>
      </c>
      <c r="AF209">
        <f>DC!AF86</f>
        <v>0</v>
      </c>
      <c r="AG209">
        <f>DC!AG86</f>
        <v>0</v>
      </c>
      <c r="AH209">
        <f>DC!AH86</f>
        <v>0</v>
      </c>
      <c r="AI209">
        <f>DC!AI86</f>
        <v>0</v>
      </c>
      <c r="AJ209">
        <f>DC!AJ86</f>
        <v>0</v>
      </c>
      <c r="AK209">
        <f>DC!AK86</f>
        <v>0</v>
      </c>
      <c r="AL209">
        <f>DC!AL86</f>
        <v>0</v>
      </c>
      <c r="AM209">
        <f>DC!AM86</f>
        <v>0</v>
      </c>
      <c r="AN209">
        <f>DC!AN86</f>
        <v>0</v>
      </c>
      <c r="AO209">
        <f>DC!AO86</f>
        <v>0</v>
      </c>
      <c r="AP209">
        <f>DC!AP86</f>
        <v>0</v>
      </c>
      <c r="AQ209">
        <f>DC!AQ86</f>
        <v>0</v>
      </c>
      <c r="AR209">
        <f>DC!AR86</f>
        <v>0</v>
      </c>
      <c r="AS209">
        <f>DC!AS86</f>
        <v>0</v>
      </c>
      <c r="AT209">
        <f>DC!AT86</f>
        <v>0</v>
      </c>
      <c r="AU209">
        <f>DC!AU86</f>
        <v>0</v>
      </c>
      <c r="AV209">
        <f>DC!AV86</f>
        <v>0</v>
      </c>
      <c r="AW209">
        <f>DC!AW86</f>
        <v>0</v>
      </c>
      <c r="AX209">
        <f>DC!AX86</f>
        <v>0</v>
      </c>
      <c r="AY209">
        <f>DC!AY86</f>
        <v>0</v>
      </c>
      <c r="AZ209">
        <f>DC!AZ86</f>
        <v>0</v>
      </c>
      <c r="BA209">
        <f>DC!BA86</f>
        <v>0</v>
      </c>
      <c r="BB209">
        <f>DC!BB86</f>
        <v>0</v>
      </c>
      <c r="BC209">
        <f>DC!BC86</f>
        <v>0</v>
      </c>
      <c r="BD209">
        <f>DC!BD86</f>
        <v>0</v>
      </c>
      <c r="BE209">
        <f>DC!BE86</f>
        <v>0</v>
      </c>
      <c r="BF209">
        <f>DC!BF86</f>
        <v>0</v>
      </c>
      <c r="BG209">
        <f>DC!BG86</f>
        <v>0</v>
      </c>
      <c r="BH209">
        <f>DC!BH86</f>
        <v>0</v>
      </c>
      <c r="BI209">
        <f>DC!BI86</f>
        <v>0</v>
      </c>
      <c r="BJ209">
        <f>DC!BJ86</f>
        <v>0</v>
      </c>
      <c r="BK209">
        <f>DC!BK86</f>
        <v>0</v>
      </c>
      <c r="BL209">
        <f>DC!BL86</f>
        <v>0</v>
      </c>
    </row>
    <row r="210" spans="1:64">
      <c r="A210">
        <f>DC!A87</f>
        <v>34</v>
      </c>
      <c r="B210" t="str">
        <f>DC!B87</f>
        <v>16:00-17:00</v>
      </c>
      <c r="C210">
        <f>DC!C87</f>
        <v>35</v>
      </c>
      <c r="D210" t="str">
        <f>DC!D87</f>
        <v>16:15-17:00</v>
      </c>
      <c r="E210">
        <f>DC!E87</f>
        <v>0</v>
      </c>
      <c r="F210">
        <f>DC!F87</f>
        <v>0</v>
      </c>
      <c r="G210">
        <f>DC!G87</f>
        <v>0</v>
      </c>
      <c r="H210">
        <f>DC!H87</f>
        <v>0</v>
      </c>
      <c r="I210">
        <f>DC!I87</f>
        <v>0</v>
      </c>
      <c r="J210">
        <f>DC!J87</f>
        <v>0</v>
      </c>
      <c r="K210">
        <f>DC!K87</f>
        <v>0</v>
      </c>
      <c r="L210">
        <f>DC!L87</f>
        <v>0</v>
      </c>
      <c r="M210">
        <f>DC!M87</f>
        <v>0</v>
      </c>
      <c r="N210">
        <f>DC!N87</f>
        <v>0</v>
      </c>
      <c r="O210">
        <f>DC!O87</f>
        <v>0</v>
      </c>
      <c r="P210">
        <f>DC!P87</f>
        <v>0</v>
      </c>
      <c r="Q210">
        <f>DC!Q87</f>
        <v>0</v>
      </c>
      <c r="R210">
        <f>DC!R87</f>
        <v>0</v>
      </c>
      <c r="S210">
        <f>DC!S87</f>
        <v>0</v>
      </c>
      <c r="T210">
        <f>DC!T87</f>
        <v>0</v>
      </c>
      <c r="U210">
        <f>DC!U87</f>
        <v>0</v>
      </c>
      <c r="V210">
        <f>DC!V87</f>
        <v>0</v>
      </c>
      <c r="W210">
        <f>DC!W87</f>
        <v>0</v>
      </c>
      <c r="X210">
        <f>DC!X87</f>
        <v>0</v>
      </c>
      <c r="Y210">
        <f>DC!Y87</f>
        <v>0</v>
      </c>
      <c r="Z210">
        <f>DC!Z87</f>
        <v>0</v>
      </c>
      <c r="AA210">
        <f>DC!AA87</f>
        <v>0</v>
      </c>
      <c r="AB210">
        <f>DC!AB87</f>
        <v>0</v>
      </c>
      <c r="AC210">
        <f>DC!AC87</f>
        <v>0</v>
      </c>
      <c r="AD210">
        <f>DC!AD87</f>
        <v>0</v>
      </c>
      <c r="AE210">
        <f>DC!AE87</f>
        <v>0</v>
      </c>
      <c r="AF210">
        <f>DC!AF87</f>
        <v>0</v>
      </c>
      <c r="AG210">
        <f>DC!AG87</f>
        <v>0</v>
      </c>
      <c r="AH210">
        <f>DC!AH87</f>
        <v>0</v>
      </c>
      <c r="AI210">
        <f>DC!AI87</f>
        <v>0</v>
      </c>
      <c r="AJ210">
        <f>DC!AJ87</f>
        <v>0</v>
      </c>
      <c r="AK210">
        <f>DC!AK87</f>
        <v>0</v>
      </c>
      <c r="AL210">
        <f>DC!AL87</f>
        <v>0</v>
      </c>
      <c r="AM210">
        <f>DC!AM87</f>
        <v>0</v>
      </c>
      <c r="AN210">
        <f>DC!AN87</f>
        <v>0</v>
      </c>
      <c r="AO210">
        <f>DC!AO87</f>
        <v>0</v>
      </c>
      <c r="AP210">
        <f>DC!AP87</f>
        <v>0</v>
      </c>
      <c r="AQ210">
        <f>DC!AQ87</f>
        <v>0</v>
      </c>
      <c r="AR210">
        <f>DC!AR87</f>
        <v>0</v>
      </c>
      <c r="AS210">
        <f>DC!AS87</f>
        <v>0</v>
      </c>
      <c r="AT210">
        <f>DC!AT87</f>
        <v>0</v>
      </c>
      <c r="AU210">
        <f>DC!AU87</f>
        <v>0</v>
      </c>
      <c r="AV210">
        <f>DC!AV87</f>
        <v>0</v>
      </c>
      <c r="AW210">
        <f>DC!AW87</f>
        <v>0</v>
      </c>
      <c r="AX210">
        <f>DC!AX87</f>
        <v>0</v>
      </c>
      <c r="AY210">
        <f>DC!AY87</f>
        <v>0</v>
      </c>
      <c r="AZ210">
        <f>DC!AZ87</f>
        <v>0</v>
      </c>
      <c r="BA210">
        <f>DC!BA87</f>
        <v>0</v>
      </c>
      <c r="BB210">
        <f>DC!BB87</f>
        <v>0</v>
      </c>
      <c r="BC210">
        <f>DC!BC87</f>
        <v>0</v>
      </c>
      <c r="BD210">
        <f>DC!BD87</f>
        <v>0</v>
      </c>
      <c r="BE210">
        <f>DC!BE87</f>
        <v>0</v>
      </c>
      <c r="BF210">
        <f>DC!BF87</f>
        <v>0</v>
      </c>
      <c r="BG210">
        <f>DC!BG87</f>
        <v>0</v>
      </c>
      <c r="BH210">
        <f>DC!BH87</f>
        <v>0</v>
      </c>
      <c r="BI210">
        <f>DC!BI87</f>
        <v>0</v>
      </c>
      <c r="BJ210">
        <f>DC!BJ87</f>
        <v>0</v>
      </c>
      <c r="BK210">
        <f>DC!BK87</f>
        <v>0</v>
      </c>
      <c r="BL210">
        <f>DC!BL87</f>
        <v>0</v>
      </c>
    </row>
    <row r="211" spans="1:64">
      <c r="A211">
        <f>DC!A88</f>
        <v>34</v>
      </c>
      <c r="B211" t="str">
        <f>DC!B88</f>
        <v>16:00-17:00</v>
      </c>
      <c r="C211">
        <f>DC!C88</f>
        <v>36</v>
      </c>
      <c r="D211" t="str">
        <f>DC!D88</f>
        <v>16:30-17:15</v>
      </c>
      <c r="E211">
        <f>DC!E88</f>
        <v>0</v>
      </c>
      <c r="F211">
        <f>DC!F88</f>
        <v>0</v>
      </c>
      <c r="G211">
        <f>DC!G88</f>
        <v>0</v>
      </c>
      <c r="H211">
        <f>DC!H88</f>
        <v>0</v>
      </c>
      <c r="I211">
        <f>DC!I88</f>
        <v>0</v>
      </c>
      <c r="J211">
        <f>DC!J88</f>
        <v>0</v>
      </c>
      <c r="K211">
        <f>DC!K88</f>
        <v>0</v>
      </c>
      <c r="L211">
        <f>DC!L88</f>
        <v>0</v>
      </c>
      <c r="M211">
        <f>DC!M88</f>
        <v>0</v>
      </c>
      <c r="N211">
        <f>DC!N88</f>
        <v>0</v>
      </c>
      <c r="O211">
        <f>DC!O88</f>
        <v>0</v>
      </c>
      <c r="P211">
        <f>DC!P88</f>
        <v>0</v>
      </c>
      <c r="Q211">
        <f>DC!Q88</f>
        <v>0</v>
      </c>
      <c r="R211">
        <f>DC!R88</f>
        <v>0</v>
      </c>
      <c r="S211">
        <f>DC!S88</f>
        <v>0</v>
      </c>
      <c r="T211">
        <f>DC!T88</f>
        <v>0</v>
      </c>
      <c r="U211">
        <f>DC!U88</f>
        <v>0</v>
      </c>
      <c r="V211">
        <f>DC!V88</f>
        <v>0</v>
      </c>
      <c r="W211">
        <f>DC!W88</f>
        <v>0</v>
      </c>
      <c r="X211">
        <f>DC!X88</f>
        <v>0</v>
      </c>
      <c r="Y211">
        <f>DC!Y88</f>
        <v>0</v>
      </c>
      <c r="Z211">
        <f>DC!Z88</f>
        <v>0</v>
      </c>
      <c r="AA211">
        <f>DC!AA88</f>
        <v>0</v>
      </c>
      <c r="AB211">
        <f>DC!AB88</f>
        <v>0</v>
      </c>
      <c r="AC211">
        <f>DC!AC88</f>
        <v>0</v>
      </c>
      <c r="AD211">
        <f>DC!AD88</f>
        <v>0</v>
      </c>
      <c r="AE211">
        <f>DC!AE88</f>
        <v>0</v>
      </c>
      <c r="AF211">
        <f>DC!AF88</f>
        <v>0</v>
      </c>
      <c r="AG211">
        <f>DC!AG88</f>
        <v>0</v>
      </c>
      <c r="AH211">
        <f>DC!AH88</f>
        <v>0</v>
      </c>
      <c r="AI211">
        <f>DC!AI88</f>
        <v>0</v>
      </c>
      <c r="AJ211">
        <f>DC!AJ88</f>
        <v>0</v>
      </c>
      <c r="AK211">
        <f>DC!AK88</f>
        <v>0</v>
      </c>
      <c r="AL211">
        <f>DC!AL88</f>
        <v>0</v>
      </c>
      <c r="AM211">
        <f>DC!AM88</f>
        <v>0</v>
      </c>
      <c r="AN211">
        <f>DC!AN88</f>
        <v>0</v>
      </c>
      <c r="AO211">
        <f>DC!AO88</f>
        <v>0</v>
      </c>
      <c r="AP211">
        <f>DC!AP88</f>
        <v>0</v>
      </c>
      <c r="AQ211">
        <f>DC!AQ88</f>
        <v>0</v>
      </c>
      <c r="AR211">
        <f>DC!AR88</f>
        <v>0</v>
      </c>
      <c r="AS211">
        <f>DC!AS88</f>
        <v>0</v>
      </c>
      <c r="AT211">
        <f>DC!AT88</f>
        <v>0</v>
      </c>
      <c r="AU211">
        <f>DC!AU88</f>
        <v>0</v>
      </c>
      <c r="AV211">
        <f>DC!AV88</f>
        <v>0</v>
      </c>
      <c r="AW211">
        <f>DC!AW88</f>
        <v>0</v>
      </c>
      <c r="AX211">
        <f>DC!AX88</f>
        <v>0</v>
      </c>
      <c r="AY211">
        <f>DC!AY88</f>
        <v>0</v>
      </c>
      <c r="AZ211">
        <f>DC!AZ88</f>
        <v>0</v>
      </c>
      <c r="BA211">
        <f>DC!BA88</f>
        <v>0</v>
      </c>
      <c r="BB211">
        <f>DC!BB88</f>
        <v>0</v>
      </c>
      <c r="BC211">
        <f>DC!BC88</f>
        <v>0</v>
      </c>
      <c r="BD211">
        <f>DC!BD88</f>
        <v>0</v>
      </c>
      <c r="BE211">
        <f>DC!BE88</f>
        <v>0</v>
      </c>
      <c r="BF211">
        <f>DC!BF88</f>
        <v>0</v>
      </c>
      <c r="BG211">
        <f>DC!BG88</f>
        <v>0</v>
      </c>
      <c r="BH211">
        <f>DC!BH88</f>
        <v>0</v>
      </c>
      <c r="BI211">
        <f>DC!BI88</f>
        <v>0</v>
      </c>
      <c r="BJ211">
        <f>DC!BJ88</f>
        <v>0</v>
      </c>
      <c r="BK211">
        <f>DC!BK88</f>
        <v>0</v>
      </c>
      <c r="BL211">
        <f>DC!BL88</f>
        <v>0</v>
      </c>
    </row>
    <row r="212" spans="1:64">
      <c r="A212">
        <f>DC!A89</f>
        <v>34</v>
      </c>
      <c r="B212" t="str">
        <f>DC!B89</f>
        <v>16:00-17:00</v>
      </c>
      <c r="C212">
        <f>DC!C89</f>
        <v>37</v>
      </c>
      <c r="D212" t="str">
        <f>DC!D89</f>
        <v>16:45-17:30</v>
      </c>
      <c r="E212">
        <f>DC!E89</f>
        <v>0</v>
      </c>
      <c r="F212">
        <f>DC!F89</f>
        <v>0</v>
      </c>
      <c r="G212">
        <f>DC!G89</f>
        <v>0</v>
      </c>
      <c r="H212">
        <f>DC!H89</f>
        <v>0</v>
      </c>
      <c r="I212">
        <f>DC!I89</f>
        <v>0</v>
      </c>
      <c r="J212">
        <f>DC!J89</f>
        <v>0</v>
      </c>
      <c r="K212">
        <f>DC!K89</f>
        <v>0</v>
      </c>
      <c r="L212">
        <f>DC!L89</f>
        <v>0</v>
      </c>
      <c r="M212">
        <f>DC!M89</f>
        <v>0</v>
      </c>
      <c r="N212">
        <f>DC!N89</f>
        <v>0</v>
      </c>
      <c r="O212">
        <f>DC!O89</f>
        <v>0</v>
      </c>
      <c r="P212">
        <f>DC!P89</f>
        <v>0</v>
      </c>
      <c r="Q212">
        <f>DC!Q89</f>
        <v>0</v>
      </c>
      <c r="R212">
        <f>DC!R89</f>
        <v>0</v>
      </c>
      <c r="S212">
        <f>DC!S89</f>
        <v>0</v>
      </c>
      <c r="T212">
        <f>DC!T89</f>
        <v>0</v>
      </c>
      <c r="U212">
        <f>DC!U89</f>
        <v>0</v>
      </c>
      <c r="V212">
        <f>DC!V89</f>
        <v>0</v>
      </c>
      <c r="W212">
        <f>DC!W89</f>
        <v>0</v>
      </c>
      <c r="X212">
        <f>DC!X89</f>
        <v>0</v>
      </c>
      <c r="Y212">
        <f>DC!Y89</f>
        <v>0</v>
      </c>
      <c r="Z212">
        <f>DC!Z89</f>
        <v>0</v>
      </c>
      <c r="AA212">
        <f>DC!AA89</f>
        <v>0</v>
      </c>
      <c r="AB212">
        <f>DC!AB89</f>
        <v>0</v>
      </c>
      <c r="AC212">
        <f>DC!AC89</f>
        <v>0</v>
      </c>
      <c r="AD212">
        <f>DC!AD89</f>
        <v>0</v>
      </c>
      <c r="AE212">
        <f>DC!AE89</f>
        <v>0</v>
      </c>
      <c r="AF212">
        <f>DC!AF89</f>
        <v>0</v>
      </c>
      <c r="AG212">
        <f>DC!AG89</f>
        <v>0</v>
      </c>
      <c r="AH212">
        <f>DC!AH89</f>
        <v>0</v>
      </c>
      <c r="AI212">
        <f>DC!AI89</f>
        <v>0</v>
      </c>
      <c r="AJ212">
        <f>DC!AJ89</f>
        <v>0</v>
      </c>
      <c r="AK212">
        <f>DC!AK89</f>
        <v>0</v>
      </c>
      <c r="AL212">
        <f>DC!AL89</f>
        <v>0</v>
      </c>
      <c r="AM212">
        <f>DC!AM89</f>
        <v>0</v>
      </c>
      <c r="AN212">
        <f>DC!AN89</f>
        <v>0</v>
      </c>
      <c r="AO212">
        <f>DC!AO89</f>
        <v>0</v>
      </c>
      <c r="AP212">
        <f>DC!AP89</f>
        <v>0</v>
      </c>
      <c r="AQ212">
        <f>DC!AQ89</f>
        <v>0</v>
      </c>
      <c r="AR212">
        <f>DC!AR89</f>
        <v>0</v>
      </c>
      <c r="AS212">
        <f>DC!AS89</f>
        <v>0</v>
      </c>
      <c r="AT212">
        <f>DC!AT89</f>
        <v>0</v>
      </c>
      <c r="AU212">
        <f>DC!AU89</f>
        <v>0</v>
      </c>
      <c r="AV212">
        <f>DC!AV89</f>
        <v>0</v>
      </c>
      <c r="AW212">
        <f>DC!AW89</f>
        <v>0</v>
      </c>
      <c r="AX212">
        <f>DC!AX89</f>
        <v>0</v>
      </c>
      <c r="AY212">
        <f>DC!AY89</f>
        <v>0</v>
      </c>
      <c r="AZ212">
        <f>DC!AZ89</f>
        <v>0</v>
      </c>
      <c r="BA212">
        <f>DC!BA89</f>
        <v>0</v>
      </c>
      <c r="BB212">
        <f>DC!BB89</f>
        <v>0</v>
      </c>
      <c r="BC212">
        <f>DC!BC89</f>
        <v>0</v>
      </c>
      <c r="BD212">
        <f>DC!BD89</f>
        <v>0</v>
      </c>
      <c r="BE212">
        <f>DC!BE89</f>
        <v>0</v>
      </c>
      <c r="BF212">
        <f>DC!BF89</f>
        <v>0</v>
      </c>
      <c r="BG212">
        <f>DC!BG89</f>
        <v>0</v>
      </c>
      <c r="BH212">
        <f>DC!BH89</f>
        <v>0</v>
      </c>
      <c r="BI212">
        <f>DC!BI89</f>
        <v>0</v>
      </c>
      <c r="BJ212">
        <f>DC!BJ89</f>
        <v>0</v>
      </c>
      <c r="BK212">
        <f>DC!BK89</f>
        <v>0</v>
      </c>
      <c r="BL212">
        <f>DC!BL89</f>
        <v>0</v>
      </c>
    </row>
    <row r="213" spans="1:64">
      <c r="A213">
        <f>DC!A90</f>
        <v>35</v>
      </c>
      <c r="B213" t="str">
        <f>DC!B90</f>
        <v>16:15-17:00</v>
      </c>
      <c r="C213">
        <f>DC!C90</f>
        <v>36</v>
      </c>
      <c r="D213" t="str">
        <f>DC!D90</f>
        <v>16:30-17:15</v>
      </c>
      <c r="E213">
        <f>DC!E90</f>
        <v>0</v>
      </c>
      <c r="F213">
        <f>DC!F90</f>
        <v>0</v>
      </c>
      <c r="G213">
        <f>DC!G90</f>
        <v>0</v>
      </c>
      <c r="H213">
        <f>DC!H90</f>
        <v>0</v>
      </c>
      <c r="I213">
        <f>DC!I90</f>
        <v>0</v>
      </c>
      <c r="J213">
        <f>DC!J90</f>
        <v>0</v>
      </c>
      <c r="K213">
        <f>DC!K90</f>
        <v>0</v>
      </c>
      <c r="L213">
        <f>DC!L90</f>
        <v>0</v>
      </c>
      <c r="M213">
        <f>DC!M90</f>
        <v>0</v>
      </c>
      <c r="N213">
        <f>DC!N90</f>
        <v>0</v>
      </c>
      <c r="O213">
        <f>DC!O90</f>
        <v>0</v>
      </c>
      <c r="P213">
        <f>DC!P90</f>
        <v>0</v>
      </c>
      <c r="Q213">
        <f>DC!Q90</f>
        <v>0</v>
      </c>
      <c r="R213">
        <f>DC!R90</f>
        <v>0</v>
      </c>
      <c r="S213">
        <f>DC!S90</f>
        <v>0</v>
      </c>
      <c r="T213">
        <f>DC!T90</f>
        <v>0</v>
      </c>
      <c r="U213">
        <f>DC!U90</f>
        <v>0</v>
      </c>
      <c r="V213">
        <f>DC!V90</f>
        <v>0</v>
      </c>
      <c r="W213">
        <f>DC!W90</f>
        <v>0</v>
      </c>
      <c r="X213">
        <f>DC!X90</f>
        <v>0</v>
      </c>
      <c r="Y213">
        <f>DC!Y90</f>
        <v>0</v>
      </c>
      <c r="Z213">
        <f>DC!Z90</f>
        <v>0</v>
      </c>
      <c r="AA213">
        <f>DC!AA90</f>
        <v>0</v>
      </c>
      <c r="AB213">
        <f>DC!AB90</f>
        <v>0</v>
      </c>
      <c r="AC213">
        <f>DC!AC90</f>
        <v>0</v>
      </c>
      <c r="AD213">
        <f>DC!AD90</f>
        <v>0</v>
      </c>
      <c r="AE213">
        <f>DC!AE90</f>
        <v>0</v>
      </c>
      <c r="AF213">
        <f>DC!AF90</f>
        <v>0</v>
      </c>
      <c r="AG213">
        <f>DC!AG90</f>
        <v>0</v>
      </c>
      <c r="AH213">
        <f>DC!AH90</f>
        <v>0</v>
      </c>
      <c r="AI213">
        <f>DC!AI90</f>
        <v>0</v>
      </c>
      <c r="AJ213">
        <f>DC!AJ90</f>
        <v>0</v>
      </c>
      <c r="AK213">
        <f>DC!AK90</f>
        <v>0</v>
      </c>
      <c r="AL213">
        <f>DC!AL90</f>
        <v>0</v>
      </c>
      <c r="AM213">
        <f>DC!AM90</f>
        <v>0</v>
      </c>
      <c r="AN213">
        <f>DC!AN90</f>
        <v>0</v>
      </c>
      <c r="AO213">
        <f>DC!AO90</f>
        <v>0</v>
      </c>
      <c r="AP213">
        <f>DC!AP90</f>
        <v>0</v>
      </c>
      <c r="AQ213">
        <f>DC!AQ90</f>
        <v>0</v>
      </c>
      <c r="AR213">
        <f>DC!AR90</f>
        <v>0</v>
      </c>
      <c r="AS213">
        <f>DC!AS90</f>
        <v>0</v>
      </c>
      <c r="AT213">
        <f>DC!AT90</f>
        <v>0</v>
      </c>
      <c r="AU213">
        <f>DC!AU90</f>
        <v>0</v>
      </c>
      <c r="AV213">
        <f>DC!AV90</f>
        <v>0</v>
      </c>
      <c r="AW213">
        <f>DC!AW90</f>
        <v>0</v>
      </c>
      <c r="AX213">
        <f>DC!AX90</f>
        <v>0</v>
      </c>
      <c r="AY213">
        <f>DC!AY90</f>
        <v>0</v>
      </c>
      <c r="AZ213">
        <f>DC!AZ90</f>
        <v>0</v>
      </c>
      <c r="BA213">
        <f>DC!BA90</f>
        <v>0</v>
      </c>
      <c r="BB213">
        <f>DC!BB90</f>
        <v>0</v>
      </c>
      <c r="BC213">
        <f>DC!BC90</f>
        <v>0</v>
      </c>
      <c r="BD213">
        <f>DC!BD90</f>
        <v>0</v>
      </c>
      <c r="BE213">
        <f>DC!BE90</f>
        <v>0</v>
      </c>
      <c r="BF213">
        <f>DC!BF90</f>
        <v>0</v>
      </c>
      <c r="BG213">
        <f>DC!BG90</f>
        <v>0</v>
      </c>
      <c r="BH213">
        <f>DC!BH90</f>
        <v>0</v>
      </c>
      <c r="BI213">
        <f>DC!BI90</f>
        <v>0</v>
      </c>
      <c r="BJ213">
        <f>DC!BJ90</f>
        <v>0</v>
      </c>
      <c r="BK213">
        <f>DC!BK90</f>
        <v>0</v>
      </c>
      <c r="BL213">
        <f>DC!BL90</f>
        <v>0</v>
      </c>
    </row>
    <row r="214" spans="1:64">
      <c r="A214">
        <f>DC!A91</f>
        <v>35</v>
      </c>
      <c r="B214" t="str">
        <f>DC!B91</f>
        <v>16:15-17:00</v>
      </c>
      <c r="C214">
        <f>DC!C91</f>
        <v>37</v>
      </c>
      <c r="D214" t="str">
        <f>DC!D91</f>
        <v>16:45-17:30</v>
      </c>
      <c r="E214">
        <f>DC!E91</f>
        <v>0</v>
      </c>
      <c r="F214">
        <f>DC!F91</f>
        <v>0</v>
      </c>
      <c r="G214">
        <f>DC!G91</f>
        <v>0</v>
      </c>
      <c r="H214">
        <f>DC!H91</f>
        <v>0</v>
      </c>
      <c r="I214">
        <f>DC!I91</f>
        <v>0</v>
      </c>
      <c r="J214">
        <f>DC!J91</f>
        <v>0</v>
      </c>
      <c r="K214">
        <f>DC!K91</f>
        <v>0</v>
      </c>
      <c r="L214">
        <f>DC!L91</f>
        <v>0</v>
      </c>
      <c r="M214">
        <f>DC!M91</f>
        <v>0</v>
      </c>
      <c r="N214">
        <f>DC!N91</f>
        <v>0</v>
      </c>
      <c r="O214">
        <f>DC!O91</f>
        <v>0</v>
      </c>
      <c r="P214">
        <f>DC!P91</f>
        <v>0</v>
      </c>
      <c r="Q214">
        <f>DC!Q91</f>
        <v>0</v>
      </c>
      <c r="R214">
        <f>DC!R91</f>
        <v>0</v>
      </c>
      <c r="S214">
        <f>DC!S91</f>
        <v>0</v>
      </c>
      <c r="T214">
        <f>DC!T91</f>
        <v>0</v>
      </c>
      <c r="U214">
        <f>DC!U91</f>
        <v>0</v>
      </c>
      <c r="V214">
        <f>DC!V91</f>
        <v>0</v>
      </c>
      <c r="W214">
        <f>DC!W91</f>
        <v>0</v>
      </c>
      <c r="X214">
        <f>DC!X91</f>
        <v>0</v>
      </c>
      <c r="Y214">
        <f>DC!Y91</f>
        <v>0</v>
      </c>
      <c r="Z214">
        <f>DC!Z91</f>
        <v>0</v>
      </c>
      <c r="AA214">
        <f>DC!AA91</f>
        <v>0</v>
      </c>
      <c r="AB214">
        <f>DC!AB91</f>
        <v>0</v>
      </c>
      <c r="AC214">
        <f>DC!AC91</f>
        <v>0</v>
      </c>
      <c r="AD214">
        <f>DC!AD91</f>
        <v>0</v>
      </c>
      <c r="AE214">
        <f>DC!AE91</f>
        <v>0</v>
      </c>
      <c r="AF214">
        <f>DC!AF91</f>
        <v>0</v>
      </c>
      <c r="AG214">
        <f>DC!AG91</f>
        <v>0</v>
      </c>
      <c r="AH214">
        <f>DC!AH91</f>
        <v>0</v>
      </c>
      <c r="AI214">
        <f>DC!AI91</f>
        <v>0</v>
      </c>
      <c r="AJ214">
        <f>DC!AJ91</f>
        <v>0</v>
      </c>
      <c r="AK214">
        <f>DC!AK91</f>
        <v>0</v>
      </c>
      <c r="AL214">
        <f>DC!AL91</f>
        <v>0</v>
      </c>
      <c r="AM214">
        <f>DC!AM91</f>
        <v>0</v>
      </c>
      <c r="AN214">
        <f>DC!AN91</f>
        <v>0</v>
      </c>
      <c r="AO214">
        <f>DC!AO91</f>
        <v>0</v>
      </c>
      <c r="AP214">
        <f>DC!AP91</f>
        <v>0</v>
      </c>
      <c r="AQ214">
        <f>DC!AQ91</f>
        <v>0</v>
      </c>
      <c r="AR214">
        <f>DC!AR91</f>
        <v>0</v>
      </c>
      <c r="AS214">
        <f>DC!AS91</f>
        <v>0</v>
      </c>
      <c r="AT214">
        <f>DC!AT91</f>
        <v>0</v>
      </c>
      <c r="AU214">
        <f>DC!AU91</f>
        <v>0</v>
      </c>
      <c r="AV214">
        <f>DC!AV91</f>
        <v>0</v>
      </c>
      <c r="AW214">
        <f>DC!AW91</f>
        <v>0</v>
      </c>
      <c r="AX214">
        <f>DC!AX91</f>
        <v>0</v>
      </c>
      <c r="AY214">
        <f>DC!AY91</f>
        <v>0</v>
      </c>
      <c r="AZ214">
        <f>DC!AZ91</f>
        <v>0</v>
      </c>
      <c r="BA214">
        <f>DC!BA91</f>
        <v>0</v>
      </c>
      <c r="BB214">
        <f>DC!BB91</f>
        <v>0</v>
      </c>
      <c r="BC214">
        <f>DC!BC91</f>
        <v>0</v>
      </c>
      <c r="BD214">
        <f>DC!BD91</f>
        <v>0</v>
      </c>
      <c r="BE214">
        <f>DC!BE91</f>
        <v>0</v>
      </c>
      <c r="BF214">
        <f>DC!BF91</f>
        <v>0</v>
      </c>
      <c r="BG214">
        <f>DC!BG91</f>
        <v>0</v>
      </c>
      <c r="BH214">
        <f>DC!BH91</f>
        <v>0</v>
      </c>
      <c r="BI214">
        <f>DC!BI91</f>
        <v>0</v>
      </c>
      <c r="BJ214">
        <f>DC!BJ91</f>
        <v>0</v>
      </c>
      <c r="BK214">
        <f>DC!BK91</f>
        <v>0</v>
      </c>
      <c r="BL214">
        <f>DC!BL91</f>
        <v>0</v>
      </c>
    </row>
    <row r="215" spans="1:64">
      <c r="A215">
        <f>DC!A92</f>
        <v>36</v>
      </c>
      <c r="B215" t="str">
        <f>DC!B92</f>
        <v>16:30-17:15</v>
      </c>
      <c r="C215">
        <f>DC!C92</f>
        <v>37</v>
      </c>
      <c r="D215" t="str">
        <f>DC!D92</f>
        <v>16:45-17:30</v>
      </c>
      <c r="E215">
        <f>DC!E92</f>
        <v>0</v>
      </c>
      <c r="F215">
        <f>DC!F92</f>
        <v>0</v>
      </c>
      <c r="G215">
        <f>DC!G92</f>
        <v>0</v>
      </c>
      <c r="H215">
        <f>DC!H92</f>
        <v>0</v>
      </c>
      <c r="I215">
        <f>DC!I92</f>
        <v>0</v>
      </c>
      <c r="J215">
        <f>DC!J92</f>
        <v>0</v>
      </c>
      <c r="K215">
        <f>DC!K92</f>
        <v>0</v>
      </c>
      <c r="L215">
        <f>DC!L92</f>
        <v>0</v>
      </c>
      <c r="M215">
        <f>DC!M92</f>
        <v>0</v>
      </c>
      <c r="N215">
        <f>DC!N92</f>
        <v>0</v>
      </c>
      <c r="O215">
        <f>DC!O92</f>
        <v>0</v>
      </c>
      <c r="P215">
        <f>DC!P92</f>
        <v>0</v>
      </c>
      <c r="Q215">
        <f>DC!Q92</f>
        <v>0</v>
      </c>
      <c r="R215">
        <f>DC!R92</f>
        <v>0</v>
      </c>
      <c r="S215">
        <f>DC!S92</f>
        <v>0</v>
      </c>
      <c r="T215">
        <f>DC!T92</f>
        <v>0</v>
      </c>
      <c r="U215">
        <f>DC!U92</f>
        <v>0</v>
      </c>
      <c r="V215">
        <f>DC!V92</f>
        <v>0</v>
      </c>
      <c r="W215">
        <f>DC!W92</f>
        <v>0</v>
      </c>
      <c r="X215">
        <f>DC!X92</f>
        <v>0</v>
      </c>
      <c r="Y215">
        <f>DC!Y92</f>
        <v>0</v>
      </c>
      <c r="Z215">
        <f>DC!Z92</f>
        <v>0</v>
      </c>
      <c r="AA215">
        <f>DC!AA92</f>
        <v>0</v>
      </c>
      <c r="AB215">
        <f>DC!AB92</f>
        <v>0</v>
      </c>
      <c r="AC215">
        <f>DC!AC92</f>
        <v>0</v>
      </c>
      <c r="AD215">
        <f>DC!AD92</f>
        <v>0</v>
      </c>
      <c r="AE215">
        <f>DC!AE92</f>
        <v>0</v>
      </c>
      <c r="AF215">
        <f>DC!AF92</f>
        <v>0</v>
      </c>
      <c r="AG215">
        <f>DC!AG92</f>
        <v>0</v>
      </c>
      <c r="AH215">
        <f>DC!AH92</f>
        <v>0</v>
      </c>
      <c r="AI215">
        <f>DC!AI92</f>
        <v>0</v>
      </c>
      <c r="AJ215">
        <f>DC!AJ92</f>
        <v>0</v>
      </c>
      <c r="AK215">
        <f>DC!AK92</f>
        <v>0</v>
      </c>
      <c r="AL215">
        <f>DC!AL92</f>
        <v>0</v>
      </c>
      <c r="AM215">
        <f>DC!AM92</f>
        <v>0</v>
      </c>
      <c r="AN215">
        <f>DC!AN92</f>
        <v>0</v>
      </c>
      <c r="AO215">
        <f>DC!AO92</f>
        <v>0</v>
      </c>
      <c r="AP215">
        <f>DC!AP92</f>
        <v>0</v>
      </c>
      <c r="AQ215">
        <f>DC!AQ92</f>
        <v>0</v>
      </c>
      <c r="AR215">
        <f>DC!AR92</f>
        <v>0</v>
      </c>
      <c r="AS215">
        <f>DC!AS92</f>
        <v>0</v>
      </c>
      <c r="AT215">
        <f>DC!AT92</f>
        <v>0</v>
      </c>
      <c r="AU215">
        <f>DC!AU92</f>
        <v>0</v>
      </c>
      <c r="AV215">
        <f>DC!AV92</f>
        <v>0</v>
      </c>
      <c r="AW215">
        <f>DC!AW92</f>
        <v>0</v>
      </c>
      <c r="AX215">
        <f>DC!AX92</f>
        <v>0</v>
      </c>
      <c r="AY215">
        <f>DC!AY92</f>
        <v>0</v>
      </c>
      <c r="AZ215">
        <f>DC!AZ92</f>
        <v>0</v>
      </c>
      <c r="BA215">
        <f>DC!BA92</f>
        <v>0</v>
      </c>
      <c r="BB215">
        <f>DC!BB92</f>
        <v>0</v>
      </c>
      <c r="BC215">
        <f>DC!BC92</f>
        <v>0</v>
      </c>
      <c r="BD215">
        <f>DC!BD92</f>
        <v>0</v>
      </c>
      <c r="BE215">
        <f>DC!BE92</f>
        <v>0</v>
      </c>
      <c r="BF215">
        <f>DC!BF92</f>
        <v>0</v>
      </c>
      <c r="BG215">
        <f>DC!BG92</f>
        <v>0</v>
      </c>
      <c r="BH215">
        <f>DC!BH92</f>
        <v>0</v>
      </c>
      <c r="BI215">
        <f>DC!BI92</f>
        <v>0</v>
      </c>
      <c r="BJ215">
        <f>DC!BJ92</f>
        <v>0</v>
      </c>
      <c r="BK215">
        <f>DC!BK92</f>
        <v>0</v>
      </c>
      <c r="BL215">
        <f>DC!BL92</f>
        <v>0</v>
      </c>
    </row>
    <row r="216" spans="1:64">
      <c r="A216">
        <f>DC!A93</f>
        <v>36</v>
      </c>
      <c r="B216" t="str">
        <f>DC!B93</f>
        <v>16:30-17:15</v>
      </c>
      <c r="C216">
        <f>DC!C93</f>
        <v>38</v>
      </c>
      <c r="D216" t="str">
        <f>DC!D93</f>
        <v>17:00-18:00</v>
      </c>
      <c r="E216">
        <f>DC!E93</f>
        <v>0</v>
      </c>
      <c r="F216">
        <f>DC!F93</f>
        <v>0</v>
      </c>
      <c r="G216">
        <f>DC!G93</f>
        <v>0</v>
      </c>
      <c r="H216">
        <f>DC!H93</f>
        <v>0</v>
      </c>
      <c r="I216">
        <f>DC!I93</f>
        <v>0</v>
      </c>
      <c r="J216">
        <f>DC!J93</f>
        <v>0</v>
      </c>
      <c r="K216">
        <f>DC!K93</f>
        <v>0</v>
      </c>
      <c r="L216">
        <f>DC!L93</f>
        <v>0</v>
      </c>
      <c r="M216">
        <f>DC!M93</f>
        <v>0</v>
      </c>
      <c r="N216">
        <f>DC!N93</f>
        <v>0</v>
      </c>
      <c r="O216">
        <f>DC!O93</f>
        <v>0</v>
      </c>
      <c r="P216">
        <f>DC!P93</f>
        <v>0</v>
      </c>
      <c r="Q216">
        <f>DC!Q93</f>
        <v>0</v>
      </c>
      <c r="R216">
        <f>DC!R93</f>
        <v>0</v>
      </c>
      <c r="S216">
        <f>DC!S93</f>
        <v>0</v>
      </c>
      <c r="T216">
        <f>DC!T93</f>
        <v>0</v>
      </c>
      <c r="U216">
        <f>DC!U93</f>
        <v>0</v>
      </c>
      <c r="V216">
        <f>DC!V93</f>
        <v>0</v>
      </c>
      <c r="W216">
        <f>DC!W93</f>
        <v>0</v>
      </c>
      <c r="X216">
        <f>DC!X93</f>
        <v>0</v>
      </c>
      <c r="Y216">
        <f>DC!Y93</f>
        <v>0</v>
      </c>
      <c r="Z216">
        <f>DC!Z93</f>
        <v>0</v>
      </c>
      <c r="AA216">
        <f>DC!AA93</f>
        <v>0</v>
      </c>
      <c r="AB216">
        <f>DC!AB93</f>
        <v>0</v>
      </c>
      <c r="AC216">
        <f>DC!AC93</f>
        <v>0</v>
      </c>
      <c r="AD216">
        <f>DC!AD93</f>
        <v>0</v>
      </c>
      <c r="AE216">
        <f>DC!AE93</f>
        <v>0</v>
      </c>
      <c r="AF216">
        <f>DC!AF93</f>
        <v>0</v>
      </c>
      <c r="AG216">
        <f>DC!AG93</f>
        <v>0</v>
      </c>
      <c r="AH216">
        <f>DC!AH93</f>
        <v>0</v>
      </c>
      <c r="AI216">
        <f>DC!AI93</f>
        <v>0</v>
      </c>
      <c r="AJ216">
        <f>DC!AJ93</f>
        <v>0</v>
      </c>
      <c r="AK216">
        <f>DC!AK93</f>
        <v>0</v>
      </c>
      <c r="AL216">
        <f>DC!AL93</f>
        <v>0</v>
      </c>
      <c r="AM216">
        <f>DC!AM93</f>
        <v>0</v>
      </c>
      <c r="AN216">
        <f>DC!AN93</f>
        <v>0</v>
      </c>
      <c r="AO216">
        <f>DC!AO93</f>
        <v>0</v>
      </c>
      <c r="AP216">
        <f>DC!AP93</f>
        <v>0</v>
      </c>
      <c r="AQ216">
        <f>DC!AQ93</f>
        <v>0</v>
      </c>
      <c r="AR216">
        <f>DC!AR93</f>
        <v>0</v>
      </c>
      <c r="AS216">
        <f>DC!AS93</f>
        <v>0</v>
      </c>
      <c r="AT216">
        <f>DC!AT93</f>
        <v>0</v>
      </c>
      <c r="AU216">
        <f>DC!AU93</f>
        <v>0</v>
      </c>
      <c r="AV216">
        <f>DC!AV93</f>
        <v>0</v>
      </c>
      <c r="AW216">
        <f>DC!AW93</f>
        <v>0</v>
      </c>
      <c r="AX216">
        <f>DC!AX93</f>
        <v>0</v>
      </c>
      <c r="AY216">
        <f>DC!AY93</f>
        <v>0</v>
      </c>
      <c r="AZ216">
        <f>DC!AZ93</f>
        <v>0</v>
      </c>
      <c r="BA216">
        <f>DC!BA93</f>
        <v>0</v>
      </c>
      <c r="BB216">
        <f>DC!BB93</f>
        <v>0</v>
      </c>
      <c r="BC216">
        <f>DC!BC93</f>
        <v>0</v>
      </c>
      <c r="BD216">
        <f>DC!BD93</f>
        <v>0</v>
      </c>
      <c r="BE216">
        <f>DC!BE93</f>
        <v>0</v>
      </c>
      <c r="BF216">
        <f>DC!BF93</f>
        <v>0</v>
      </c>
      <c r="BG216">
        <f>DC!BG93</f>
        <v>0</v>
      </c>
      <c r="BH216">
        <f>DC!BH93</f>
        <v>0</v>
      </c>
      <c r="BI216">
        <f>DC!BI93</f>
        <v>0</v>
      </c>
      <c r="BJ216">
        <f>DC!BJ93</f>
        <v>0</v>
      </c>
      <c r="BK216">
        <f>DC!BK93</f>
        <v>0</v>
      </c>
      <c r="BL216">
        <f>DC!BL93</f>
        <v>0</v>
      </c>
    </row>
    <row r="217" spans="1:64">
      <c r="A217">
        <f>DC!A94</f>
        <v>37</v>
      </c>
      <c r="B217" t="str">
        <f>DC!B94</f>
        <v>16:45-17:30</v>
      </c>
      <c r="C217">
        <f>DC!C94</f>
        <v>38</v>
      </c>
      <c r="D217" t="str">
        <f>DC!D94</f>
        <v>17:00-18:00</v>
      </c>
      <c r="E217">
        <f>DC!E94</f>
        <v>0</v>
      </c>
      <c r="F217">
        <f>DC!F94</f>
        <v>0</v>
      </c>
      <c r="G217">
        <f>DC!G94</f>
        <v>0</v>
      </c>
      <c r="H217">
        <f>DC!H94</f>
        <v>0</v>
      </c>
      <c r="I217">
        <f>DC!I94</f>
        <v>0</v>
      </c>
      <c r="J217">
        <f>DC!J94</f>
        <v>0</v>
      </c>
      <c r="K217">
        <f>DC!K94</f>
        <v>0</v>
      </c>
      <c r="L217">
        <f>DC!L94</f>
        <v>0</v>
      </c>
      <c r="M217">
        <f>DC!M94</f>
        <v>0</v>
      </c>
      <c r="N217">
        <f>DC!N94</f>
        <v>0</v>
      </c>
      <c r="O217">
        <f>DC!O94</f>
        <v>0</v>
      </c>
      <c r="P217">
        <f>DC!P94</f>
        <v>0</v>
      </c>
      <c r="Q217">
        <f>DC!Q94</f>
        <v>0</v>
      </c>
      <c r="R217">
        <f>DC!R94</f>
        <v>0</v>
      </c>
      <c r="S217">
        <f>DC!S94</f>
        <v>0</v>
      </c>
      <c r="T217">
        <f>DC!T94</f>
        <v>0</v>
      </c>
      <c r="U217">
        <f>DC!U94</f>
        <v>0</v>
      </c>
      <c r="V217">
        <f>DC!V94</f>
        <v>0</v>
      </c>
      <c r="W217">
        <f>DC!W94</f>
        <v>0</v>
      </c>
      <c r="X217">
        <f>DC!X94</f>
        <v>0</v>
      </c>
      <c r="Y217">
        <f>DC!Y94</f>
        <v>0</v>
      </c>
      <c r="Z217">
        <f>DC!Z94</f>
        <v>0</v>
      </c>
      <c r="AA217">
        <f>DC!AA94</f>
        <v>0</v>
      </c>
      <c r="AB217">
        <f>DC!AB94</f>
        <v>0</v>
      </c>
      <c r="AC217">
        <f>DC!AC94</f>
        <v>0</v>
      </c>
      <c r="AD217">
        <f>DC!AD94</f>
        <v>0</v>
      </c>
      <c r="AE217">
        <f>DC!AE94</f>
        <v>0</v>
      </c>
      <c r="AF217">
        <f>DC!AF94</f>
        <v>0</v>
      </c>
      <c r="AG217">
        <f>DC!AG94</f>
        <v>0</v>
      </c>
      <c r="AH217">
        <f>DC!AH94</f>
        <v>0</v>
      </c>
      <c r="AI217">
        <f>DC!AI94</f>
        <v>0</v>
      </c>
      <c r="AJ217">
        <f>DC!AJ94</f>
        <v>0</v>
      </c>
      <c r="AK217">
        <f>DC!AK94</f>
        <v>0</v>
      </c>
      <c r="AL217">
        <f>DC!AL94</f>
        <v>0</v>
      </c>
      <c r="AM217">
        <f>DC!AM94</f>
        <v>0</v>
      </c>
      <c r="AN217">
        <f>DC!AN94</f>
        <v>0</v>
      </c>
      <c r="AO217">
        <f>DC!AO94</f>
        <v>0</v>
      </c>
      <c r="AP217">
        <f>DC!AP94</f>
        <v>0</v>
      </c>
      <c r="AQ217">
        <f>DC!AQ94</f>
        <v>0</v>
      </c>
      <c r="AR217">
        <f>DC!AR94</f>
        <v>0</v>
      </c>
      <c r="AS217">
        <f>DC!AS94</f>
        <v>0</v>
      </c>
      <c r="AT217">
        <f>DC!AT94</f>
        <v>0</v>
      </c>
      <c r="AU217">
        <f>DC!AU94</f>
        <v>0</v>
      </c>
      <c r="AV217">
        <f>DC!AV94</f>
        <v>0</v>
      </c>
      <c r="AW217">
        <f>DC!AW94</f>
        <v>0</v>
      </c>
      <c r="AX217">
        <f>DC!AX94</f>
        <v>0</v>
      </c>
      <c r="AY217">
        <f>DC!AY94</f>
        <v>0</v>
      </c>
      <c r="AZ217">
        <f>DC!AZ94</f>
        <v>0</v>
      </c>
      <c r="BA217">
        <f>DC!BA94</f>
        <v>0</v>
      </c>
      <c r="BB217">
        <f>DC!BB94</f>
        <v>0</v>
      </c>
      <c r="BC217">
        <f>DC!BC94</f>
        <v>0</v>
      </c>
      <c r="BD217">
        <f>DC!BD94</f>
        <v>0</v>
      </c>
      <c r="BE217">
        <f>DC!BE94</f>
        <v>0</v>
      </c>
      <c r="BF217">
        <f>DC!BF94</f>
        <v>0</v>
      </c>
      <c r="BG217">
        <f>DC!BG94</f>
        <v>0</v>
      </c>
      <c r="BH217">
        <f>DC!BH94</f>
        <v>0</v>
      </c>
      <c r="BI217">
        <f>DC!BI94</f>
        <v>0</v>
      </c>
      <c r="BJ217">
        <f>DC!BJ94</f>
        <v>0</v>
      </c>
      <c r="BK217">
        <f>DC!BK94</f>
        <v>0</v>
      </c>
      <c r="BL217">
        <f>DC!BL94</f>
        <v>0</v>
      </c>
    </row>
    <row r="218" spans="1:64">
      <c r="A218">
        <f>DC!A95</f>
        <v>37</v>
      </c>
      <c r="B218" t="str">
        <f>DC!B95</f>
        <v>16:45-17:30</v>
      </c>
      <c r="C218">
        <f>DC!C95</f>
        <v>39</v>
      </c>
      <c r="D218" t="str">
        <f>DC!D95</f>
        <v>17:15-18:00</v>
      </c>
      <c r="E218">
        <f>DC!E95</f>
        <v>0</v>
      </c>
      <c r="F218">
        <f>DC!F95</f>
        <v>1</v>
      </c>
      <c r="G218">
        <f>DC!G95</f>
        <v>0</v>
      </c>
      <c r="H218">
        <f>DC!H95</f>
        <v>1</v>
      </c>
      <c r="I218">
        <f>DC!I95</f>
        <v>0</v>
      </c>
      <c r="J218">
        <f>DC!J95</f>
        <v>0</v>
      </c>
      <c r="K218">
        <f>DC!K95</f>
        <v>0</v>
      </c>
      <c r="L218">
        <f>DC!L95</f>
        <v>0</v>
      </c>
      <c r="M218">
        <f>DC!M95</f>
        <v>0</v>
      </c>
      <c r="N218">
        <f>DC!N95</f>
        <v>0</v>
      </c>
      <c r="O218">
        <f>DC!O95</f>
        <v>0</v>
      </c>
      <c r="P218">
        <f>DC!P95</f>
        <v>0</v>
      </c>
      <c r="Q218">
        <f>DC!Q95</f>
        <v>0</v>
      </c>
      <c r="R218">
        <f>DC!R95</f>
        <v>0</v>
      </c>
      <c r="S218">
        <f>DC!S95</f>
        <v>0</v>
      </c>
      <c r="T218">
        <f>DC!T95</f>
        <v>0</v>
      </c>
      <c r="U218">
        <f>DC!U95</f>
        <v>0</v>
      </c>
      <c r="V218">
        <f>DC!V95</f>
        <v>0</v>
      </c>
      <c r="W218">
        <f>DC!W95</f>
        <v>0</v>
      </c>
      <c r="X218">
        <f>DC!X95</f>
        <v>0</v>
      </c>
      <c r="Y218">
        <f>DC!Y95</f>
        <v>0</v>
      </c>
      <c r="Z218">
        <f>DC!Z95</f>
        <v>0</v>
      </c>
      <c r="AA218">
        <f>DC!AA95</f>
        <v>0</v>
      </c>
      <c r="AB218">
        <f>DC!AB95</f>
        <v>0</v>
      </c>
      <c r="AC218">
        <f>DC!AC95</f>
        <v>0</v>
      </c>
      <c r="AD218">
        <f>DC!AD95</f>
        <v>0</v>
      </c>
      <c r="AE218">
        <f>DC!AE95</f>
        <v>0</v>
      </c>
      <c r="AF218">
        <f>DC!AF95</f>
        <v>0</v>
      </c>
      <c r="AG218">
        <f>DC!AG95</f>
        <v>0</v>
      </c>
      <c r="AH218">
        <f>DC!AH95</f>
        <v>0</v>
      </c>
      <c r="AI218">
        <f>DC!AI95</f>
        <v>0</v>
      </c>
      <c r="AJ218">
        <f>DC!AJ95</f>
        <v>0</v>
      </c>
      <c r="AK218">
        <f>DC!AK95</f>
        <v>0</v>
      </c>
      <c r="AL218">
        <f>DC!AL95</f>
        <v>0</v>
      </c>
      <c r="AM218">
        <f>DC!AM95</f>
        <v>0</v>
      </c>
      <c r="AN218">
        <f>DC!AN95</f>
        <v>0</v>
      </c>
      <c r="AO218">
        <f>DC!AO95</f>
        <v>0</v>
      </c>
      <c r="AP218">
        <f>DC!AP95</f>
        <v>0</v>
      </c>
      <c r="AQ218">
        <f>DC!AQ95</f>
        <v>0</v>
      </c>
      <c r="AR218">
        <f>DC!AR95</f>
        <v>0</v>
      </c>
      <c r="AS218">
        <f>DC!AS95</f>
        <v>0</v>
      </c>
      <c r="AT218">
        <f>DC!AT95</f>
        <v>0</v>
      </c>
      <c r="AU218">
        <f>DC!AU95</f>
        <v>0</v>
      </c>
      <c r="AV218">
        <f>DC!AV95</f>
        <v>0</v>
      </c>
      <c r="AW218">
        <f>DC!AW95</f>
        <v>0</v>
      </c>
      <c r="AX218">
        <f>DC!AX95</f>
        <v>0</v>
      </c>
      <c r="AY218">
        <f>DC!AY95</f>
        <v>0</v>
      </c>
      <c r="AZ218">
        <f>DC!AZ95</f>
        <v>0</v>
      </c>
      <c r="BA218">
        <f>DC!BA95</f>
        <v>0</v>
      </c>
      <c r="BB218">
        <f>DC!BB95</f>
        <v>0</v>
      </c>
      <c r="BC218">
        <f>DC!BC95</f>
        <v>0</v>
      </c>
      <c r="BD218">
        <f>DC!BD95</f>
        <v>0</v>
      </c>
      <c r="BE218">
        <f>DC!BE95</f>
        <v>0</v>
      </c>
      <c r="BF218">
        <f>DC!BF95</f>
        <v>0</v>
      </c>
      <c r="BG218">
        <f>DC!BG95</f>
        <v>0</v>
      </c>
      <c r="BH218">
        <f>DC!BH95</f>
        <v>0</v>
      </c>
      <c r="BI218">
        <f>DC!BI95</f>
        <v>0</v>
      </c>
      <c r="BJ218">
        <f>DC!BJ95</f>
        <v>0</v>
      </c>
      <c r="BK218">
        <f>DC!BK95</f>
        <v>0</v>
      </c>
      <c r="BL218">
        <f>DC!BL95</f>
        <v>0</v>
      </c>
    </row>
    <row r="219" spans="1:64">
      <c r="A219">
        <f>DC!A96</f>
        <v>38</v>
      </c>
      <c r="B219" t="str">
        <f>DC!B96</f>
        <v>17:00-18:00</v>
      </c>
      <c r="C219">
        <f>DC!C96</f>
        <v>39</v>
      </c>
      <c r="D219" t="str">
        <f>DC!D96</f>
        <v>17:15-18:00</v>
      </c>
      <c r="E219">
        <f>DC!E96</f>
        <v>0</v>
      </c>
      <c r="F219">
        <f>DC!F96</f>
        <v>1</v>
      </c>
      <c r="G219">
        <f>DC!G96</f>
        <v>0</v>
      </c>
      <c r="H219">
        <f>DC!H96</f>
        <v>1</v>
      </c>
      <c r="I219">
        <f>DC!I96</f>
        <v>0</v>
      </c>
      <c r="J219">
        <f>DC!J96</f>
        <v>0</v>
      </c>
      <c r="K219">
        <f>DC!K96</f>
        <v>0</v>
      </c>
      <c r="L219">
        <f>DC!L96</f>
        <v>0</v>
      </c>
      <c r="M219">
        <f>DC!M96</f>
        <v>0</v>
      </c>
      <c r="N219">
        <f>DC!N96</f>
        <v>0</v>
      </c>
      <c r="O219">
        <f>DC!O96</f>
        <v>0</v>
      </c>
      <c r="P219">
        <f>DC!P96</f>
        <v>0</v>
      </c>
      <c r="Q219">
        <f>DC!Q96</f>
        <v>0</v>
      </c>
      <c r="R219">
        <f>DC!R96</f>
        <v>0</v>
      </c>
      <c r="S219">
        <f>DC!S96</f>
        <v>0</v>
      </c>
      <c r="T219">
        <f>DC!T96</f>
        <v>0</v>
      </c>
      <c r="U219">
        <f>DC!U96</f>
        <v>0</v>
      </c>
      <c r="V219">
        <f>DC!V96</f>
        <v>0</v>
      </c>
      <c r="W219">
        <f>DC!W96</f>
        <v>0</v>
      </c>
      <c r="X219">
        <f>DC!X96</f>
        <v>0</v>
      </c>
      <c r="Y219">
        <f>DC!Y96</f>
        <v>0</v>
      </c>
      <c r="Z219">
        <f>DC!Z96</f>
        <v>0</v>
      </c>
      <c r="AA219">
        <f>DC!AA96</f>
        <v>0</v>
      </c>
      <c r="AB219">
        <f>DC!AB96</f>
        <v>0</v>
      </c>
      <c r="AC219">
        <f>DC!AC96</f>
        <v>0</v>
      </c>
      <c r="AD219">
        <f>DC!AD96</f>
        <v>0</v>
      </c>
      <c r="AE219">
        <f>DC!AE96</f>
        <v>0</v>
      </c>
      <c r="AF219">
        <f>DC!AF96</f>
        <v>0</v>
      </c>
      <c r="AG219">
        <f>DC!AG96</f>
        <v>0</v>
      </c>
      <c r="AH219">
        <f>DC!AH96</f>
        <v>0</v>
      </c>
      <c r="AI219">
        <f>DC!AI96</f>
        <v>0</v>
      </c>
      <c r="AJ219">
        <f>DC!AJ96</f>
        <v>0</v>
      </c>
      <c r="AK219">
        <f>DC!AK96</f>
        <v>0</v>
      </c>
      <c r="AL219">
        <f>DC!AL96</f>
        <v>0</v>
      </c>
      <c r="AM219">
        <f>DC!AM96</f>
        <v>0</v>
      </c>
      <c r="AN219">
        <f>DC!AN96</f>
        <v>0</v>
      </c>
      <c r="AO219">
        <f>DC!AO96</f>
        <v>0</v>
      </c>
      <c r="AP219">
        <f>DC!AP96</f>
        <v>0</v>
      </c>
      <c r="AQ219">
        <f>DC!AQ96</f>
        <v>0</v>
      </c>
      <c r="AR219">
        <f>DC!AR96</f>
        <v>0</v>
      </c>
      <c r="AS219">
        <f>DC!AS96</f>
        <v>0</v>
      </c>
      <c r="AT219">
        <f>DC!AT96</f>
        <v>0</v>
      </c>
      <c r="AU219">
        <f>DC!AU96</f>
        <v>0</v>
      </c>
      <c r="AV219">
        <f>DC!AV96</f>
        <v>0</v>
      </c>
      <c r="AW219">
        <f>DC!AW96</f>
        <v>0</v>
      </c>
      <c r="AX219">
        <f>DC!AX96</f>
        <v>0</v>
      </c>
      <c r="AY219">
        <f>DC!AY96</f>
        <v>0</v>
      </c>
      <c r="AZ219">
        <f>DC!AZ96</f>
        <v>0</v>
      </c>
      <c r="BA219">
        <f>DC!BA96</f>
        <v>0</v>
      </c>
      <c r="BB219">
        <f>DC!BB96</f>
        <v>0</v>
      </c>
      <c r="BC219">
        <f>DC!BC96</f>
        <v>0</v>
      </c>
      <c r="BD219">
        <f>DC!BD96</f>
        <v>0</v>
      </c>
      <c r="BE219">
        <f>DC!BE96</f>
        <v>0</v>
      </c>
      <c r="BF219">
        <f>DC!BF96</f>
        <v>0</v>
      </c>
      <c r="BG219">
        <f>DC!BG96</f>
        <v>0</v>
      </c>
      <c r="BH219">
        <f>DC!BH96</f>
        <v>0</v>
      </c>
      <c r="BI219">
        <f>DC!BI96</f>
        <v>0</v>
      </c>
      <c r="BJ219">
        <f>DC!BJ96</f>
        <v>0</v>
      </c>
      <c r="BK219">
        <f>DC!BK96</f>
        <v>0</v>
      </c>
      <c r="BL219">
        <f>DC!BL96</f>
        <v>0</v>
      </c>
    </row>
    <row r="220" spans="1:64">
      <c r="A220">
        <f>DC!A97</f>
        <v>38</v>
      </c>
      <c r="B220" t="str">
        <f>DC!B97</f>
        <v>17:00-18:00</v>
      </c>
      <c r="C220">
        <f>DC!C97</f>
        <v>40</v>
      </c>
      <c r="D220" t="str">
        <f>DC!D97</f>
        <v>17:30-18:15</v>
      </c>
      <c r="E220">
        <f>DC!E97</f>
        <v>0</v>
      </c>
      <c r="F220">
        <f>DC!F97</f>
        <v>0</v>
      </c>
      <c r="G220">
        <f>DC!G97</f>
        <v>0</v>
      </c>
      <c r="H220">
        <f>DC!H97</f>
        <v>0</v>
      </c>
      <c r="I220">
        <f>DC!I97</f>
        <v>0</v>
      </c>
      <c r="J220">
        <f>DC!J97</f>
        <v>0</v>
      </c>
      <c r="K220">
        <f>DC!K97</f>
        <v>0</v>
      </c>
      <c r="L220">
        <f>DC!L97</f>
        <v>0</v>
      </c>
      <c r="M220">
        <f>DC!M97</f>
        <v>0</v>
      </c>
      <c r="N220">
        <f>DC!N97</f>
        <v>0</v>
      </c>
      <c r="O220">
        <f>DC!O97</f>
        <v>0</v>
      </c>
      <c r="P220">
        <f>DC!P97</f>
        <v>0</v>
      </c>
      <c r="Q220">
        <f>DC!Q97</f>
        <v>0</v>
      </c>
      <c r="R220">
        <f>DC!R97</f>
        <v>0</v>
      </c>
      <c r="S220">
        <f>DC!S97</f>
        <v>0</v>
      </c>
      <c r="T220">
        <f>DC!T97</f>
        <v>0</v>
      </c>
      <c r="U220">
        <f>DC!U97</f>
        <v>0</v>
      </c>
      <c r="V220">
        <f>DC!V97</f>
        <v>0</v>
      </c>
      <c r="W220">
        <f>DC!W97</f>
        <v>0</v>
      </c>
      <c r="X220">
        <f>DC!X97</f>
        <v>0</v>
      </c>
      <c r="Y220">
        <f>DC!Y97</f>
        <v>0</v>
      </c>
      <c r="Z220">
        <f>DC!Z97</f>
        <v>0</v>
      </c>
      <c r="AA220">
        <f>DC!AA97</f>
        <v>0</v>
      </c>
      <c r="AB220">
        <f>DC!AB97</f>
        <v>0</v>
      </c>
      <c r="AC220">
        <f>DC!AC97</f>
        <v>0</v>
      </c>
      <c r="AD220">
        <f>DC!AD97</f>
        <v>0</v>
      </c>
      <c r="AE220">
        <f>DC!AE97</f>
        <v>0</v>
      </c>
      <c r="AF220">
        <f>DC!AF97</f>
        <v>0</v>
      </c>
      <c r="AG220">
        <f>DC!AG97</f>
        <v>0</v>
      </c>
      <c r="AH220">
        <f>DC!AH97</f>
        <v>0</v>
      </c>
      <c r="AI220">
        <f>DC!AI97</f>
        <v>0</v>
      </c>
      <c r="AJ220">
        <f>DC!AJ97</f>
        <v>0</v>
      </c>
      <c r="AK220">
        <f>DC!AK97</f>
        <v>0</v>
      </c>
      <c r="AL220">
        <f>DC!AL97</f>
        <v>0</v>
      </c>
      <c r="AM220">
        <f>DC!AM97</f>
        <v>0</v>
      </c>
      <c r="AN220">
        <f>DC!AN97</f>
        <v>0</v>
      </c>
      <c r="AO220">
        <f>DC!AO97</f>
        <v>0</v>
      </c>
      <c r="AP220">
        <f>DC!AP97</f>
        <v>0</v>
      </c>
      <c r="AQ220">
        <f>DC!AQ97</f>
        <v>0</v>
      </c>
      <c r="AR220">
        <f>DC!AR97</f>
        <v>0</v>
      </c>
      <c r="AS220">
        <f>DC!AS97</f>
        <v>0</v>
      </c>
      <c r="AT220">
        <f>DC!AT97</f>
        <v>0</v>
      </c>
      <c r="AU220">
        <f>DC!AU97</f>
        <v>0</v>
      </c>
      <c r="AV220">
        <f>DC!AV97</f>
        <v>0</v>
      </c>
      <c r="AW220">
        <f>DC!AW97</f>
        <v>0</v>
      </c>
      <c r="AX220">
        <f>DC!AX97</f>
        <v>0</v>
      </c>
      <c r="AY220">
        <f>DC!AY97</f>
        <v>0</v>
      </c>
      <c r="AZ220">
        <f>DC!AZ97</f>
        <v>0</v>
      </c>
      <c r="BA220">
        <f>DC!BA97</f>
        <v>0</v>
      </c>
      <c r="BB220">
        <f>DC!BB97</f>
        <v>0</v>
      </c>
      <c r="BC220">
        <f>DC!BC97</f>
        <v>0</v>
      </c>
      <c r="BD220">
        <f>DC!BD97</f>
        <v>0</v>
      </c>
      <c r="BE220">
        <f>DC!BE97</f>
        <v>0</v>
      </c>
      <c r="BF220">
        <f>DC!BF97</f>
        <v>0</v>
      </c>
      <c r="BG220">
        <f>DC!BG97</f>
        <v>0</v>
      </c>
      <c r="BH220">
        <f>DC!BH97</f>
        <v>0</v>
      </c>
      <c r="BI220">
        <f>DC!BI97</f>
        <v>0</v>
      </c>
      <c r="BJ220">
        <f>DC!BJ97</f>
        <v>0</v>
      </c>
      <c r="BK220">
        <f>DC!BK97</f>
        <v>0</v>
      </c>
      <c r="BL220">
        <f>DC!BL97</f>
        <v>0</v>
      </c>
    </row>
    <row r="221" spans="1:64">
      <c r="A221">
        <f>DC!A98</f>
        <v>38</v>
      </c>
      <c r="B221" t="str">
        <f>DC!B98</f>
        <v>17:00-18:00</v>
      </c>
      <c r="C221">
        <f>DC!C98</f>
        <v>41</v>
      </c>
      <c r="D221" t="str">
        <f>DC!D98</f>
        <v>17:45-18:30</v>
      </c>
      <c r="E221">
        <f>DC!E98</f>
        <v>0</v>
      </c>
      <c r="F221">
        <f>DC!F98</f>
        <v>0</v>
      </c>
      <c r="G221">
        <f>DC!G98</f>
        <v>0</v>
      </c>
      <c r="H221">
        <f>DC!H98</f>
        <v>0</v>
      </c>
      <c r="I221">
        <f>DC!I98</f>
        <v>0</v>
      </c>
      <c r="J221">
        <f>DC!J98</f>
        <v>0</v>
      </c>
      <c r="K221">
        <f>DC!K98</f>
        <v>0</v>
      </c>
      <c r="L221">
        <f>DC!L98</f>
        <v>0</v>
      </c>
      <c r="M221">
        <f>DC!M98</f>
        <v>0</v>
      </c>
      <c r="N221">
        <f>DC!N98</f>
        <v>0</v>
      </c>
      <c r="O221">
        <f>DC!O98</f>
        <v>0</v>
      </c>
      <c r="P221">
        <f>DC!P98</f>
        <v>0</v>
      </c>
      <c r="Q221">
        <f>DC!Q98</f>
        <v>0</v>
      </c>
      <c r="R221">
        <f>DC!R98</f>
        <v>0</v>
      </c>
      <c r="S221">
        <f>DC!S98</f>
        <v>0</v>
      </c>
      <c r="T221">
        <f>DC!T98</f>
        <v>0</v>
      </c>
      <c r="U221">
        <f>DC!U98</f>
        <v>0</v>
      </c>
      <c r="V221">
        <f>DC!V98</f>
        <v>0</v>
      </c>
      <c r="W221">
        <f>DC!W98</f>
        <v>0</v>
      </c>
      <c r="X221">
        <f>DC!X98</f>
        <v>0</v>
      </c>
      <c r="Y221">
        <f>DC!Y98</f>
        <v>0</v>
      </c>
      <c r="Z221">
        <f>DC!Z98</f>
        <v>0</v>
      </c>
      <c r="AA221">
        <f>DC!AA98</f>
        <v>0</v>
      </c>
      <c r="AB221">
        <f>DC!AB98</f>
        <v>0</v>
      </c>
      <c r="AC221">
        <f>DC!AC98</f>
        <v>0</v>
      </c>
      <c r="AD221">
        <f>DC!AD98</f>
        <v>0</v>
      </c>
      <c r="AE221">
        <f>DC!AE98</f>
        <v>0</v>
      </c>
      <c r="AF221">
        <f>DC!AF98</f>
        <v>0</v>
      </c>
      <c r="AG221">
        <f>DC!AG98</f>
        <v>0</v>
      </c>
      <c r="AH221">
        <f>DC!AH98</f>
        <v>0</v>
      </c>
      <c r="AI221">
        <f>DC!AI98</f>
        <v>0</v>
      </c>
      <c r="AJ221">
        <f>DC!AJ98</f>
        <v>0</v>
      </c>
      <c r="AK221">
        <f>DC!AK98</f>
        <v>0</v>
      </c>
      <c r="AL221">
        <f>DC!AL98</f>
        <v>0</v>
      </c>
      <c r="AM221">
        <f>DC!AM98</f>
        <v>0</v>
      </c>
      <c r="AN221">
        <f>DC!AN98</f>
        <v>0</v>
      </c>
      <c r="AO221">
        <f>DC!AO98</f>
        <v>0</v>
      </c>
      <c r="AP221">
        <f>DC!AP98</f>
        <v>0</v>
      </c>
      <c r="AQ221">
        <f>DC!AQ98</f>
        <v>0</v>
      </c>
      <c r="AR221">
        <f>DC!AR98</f>
        <v>0</v>
      </c>
      <c r="AS221">
        <f>DC!AS98</f>
        <v>0</v>
      </c>
      <c r="AT221">
        <f>DC!AT98</f>
        <v>0</v>
      </c>
      <c r="AU221">
        <f>DC!AU98</f>
        <v>0</v>
      </c>
      <c r="AV221">
        <f>DC!AV98</f>
        <v>0</v>
      </c>
      <c r="AW221">
        <f>DC!AW98</f>
        <v>0</v>
      </c>
      <c r="AX221">
        <f>DC!AX98</f>
        <v>0</v>
      </c>
      <c r="AY221">
        <f>DC!AY98</f>
        <v>0</v>
      </c>
      <c r="AZ221">
        <f>DC!AZ98</f>
        <v>0</v>
      </c>
      <c r="BA221">
        <f>DC!BA98</f>
        <v>0</v>
      </c>
      <c r="BB221">
        <f>DC!BB98</f>
        <v>0</v>
      </c>
      <c r="BC221">
        <f>DC!BC98</f>
        <v>0</v>
      </c>
      <c r="BD221">
        <f>DC!BD98</f>
        <v>0</v>
      </c>
      <c r="BE221">
        <f>DC!BE98</f>
        <v>0</v>
      </c>
      <c r="BF221">
        <f>DC!BF98</f>
        <v>0</v>
      </c>
      <c r="BG221">
        <f>DC!BG98</f>
        <v>0</v>
      </c>
      <c r="BH221">
        <f>DC!BH98</f>
        <v>0</v>
      </c>
      <c r="BI221">
        <f>DC!BI98</f>
        <v>0</v>
      </c>
      <c r="BJ221">
        <f>DC!BJ98</f>
        <v>0</v>
      </c>
      <c r="BK221">
        <f>DC!BK98</f>
        <v>0</v>
      </c>
      <c r="BL221">
        <f>DC!BL98</f>
        <v>0</v>
      </c>
    </row>
    <row r="222" spans="1:64">
      <c r="A222">
        <f>DC!A99</f>
        <v>39</v>
      </c>
      <c r="B222" t="str">
        <f>DC!B99</f>
        <v>17:15-18:00</v>
      </c>
      <c r="C222">
        <f>DC!C99</f>
        <v>40</v>
      </c>
      <c r="D222" t="str">
        <f>DC!D99</f>
        <v>17:30-18:15</v>
      </c>
      <c r="E222">
        <f>DC!E99</f>
        <v>0</v>
      </c>
      <c r="F222">
        <f>DC!F99</f>
        <v>1</v>
      </c>
      <c r="G222">
        <f>DC!G99</f>
        <v>0</v>
      </c>
      <c r="H222">
        <f>DC!H99</f>
        <v>1</v>
      </c>
      <c r="I222">
        <f>DC!I99</f>
        <v>0</v>
      </c>
      <c r="J222">
        <f>DC!J99</f>
        <v>0</v>
      </c>
      <c r="K222">
        <f>DC!K99</f>
        <v>0</v>
      </c>
      <c r="L222">
        <f>DC!L99</f>
        <v>0</v>
      </c>
      <c r="M222">
        <f>DC!M99</f>
        <v>0</v>
      </c>
      <c r="N222">
        <f>DC!N99</f>
        <v>0</v>
      </c>
      <c r="O222">
        <f>DC!O99</f>
        <v>0</v>
      </c>
      <c r="P222">
        <f>DC!P99</f>
        <v>0</v>
      </c>
      <c r="Q222">
        <f>DC!Q99</f>
        <v>0</v>
      </c>
      <c r="R222">
        <f>DC!R99</f>
        <v>0</v>
      </c>
      <c r="S222">
        <f>DC!S99</f>
        <v>0</v>
      </c>
      <c r="T222">
        <f>DC!T99</f>
        <v>0</v>
      </c>
      <c r="U222">
        <f>DC!U99</f>
        <v>0</v>
      </c>
      <c r="V222">
        <f>DC!V99</f>
        <v>0</v>
      </c>
      <c r="W222">
        <f>DC!W99</f>
        <v>0</v>
      </c>
      <c r="X222">
        <f>DC!X99</f>
        <v>0</v>
      </c>
      <c r="Y222">
        <f>DC!Y99</f>
        <v>0</v>
      </c>
      <c r="Z222">
        <f>DC!Z99</f>
        <v>0</v>
      </c>
      <c r="AA222">
        <f>DC!AA99</f>
        <v>0</v>
      </c>
      <c r="AB222">
        <f>DC!AB99</f>
        <v>0</v>
      </c>
      <c r="AC222">
        <f>DC!AC99</f>
        <v>0</v>
      </c>
      <c r="AD222">
        <f>DC!AD99</f>
        <v>0</v>
      </c>
      <c r="AE222">
        <f>DC!AE99</f>
        <v>0</v>
      </c>
      <c r="AF222">
        <f>DC!AF99</f>
        <v>0</v>
      </c>
      <c r="AG222">
        <f>DC!AG99</f>
        <v>0</v>
      </c>
      <c r="AH222">
        <f>DC!AH99</f>
        <v>0</v>
      </c>
      <c r="AI222">
        <f>DC!AI99</f>
        <v>0</v>
      </c>
      <c r="AJ222">
        <f>DC!AJ99</f>
        <v>0</v>
      </c>
      <c r="AK222">
        <f>DC!AK99</f>
        <v>0</v>
      </c>
      <c r="AL222">
        <f>DC!AL99</f>
        <v>0</v>
      </c>
      <c r="AM222">
        <f>DC!AM99</f>
        <v>0</v>
      </c>
      <c r="AN222">
        <f>DC!AN99</f>
        <v>0</v>
      </c>
      <c r="AO222">
        <f>DC!AO99</f>
        <v>0</v>
      </c>
      <c r="AP222">
        <f>DC!AP99</f>
        <v>0</v>
      </c>
      <c r="AQ222">
        <f>DC!AQ99</f>
        <v>0</v>
      </c>
      <c r="AR222">
        <f>DC!AR99</f>
        <v>0</v>
      </c>
      <c r="AS222">
        <f>DC!AS99</f>
        <v>0</v>
      </c>
      <c r="AT222">
        <f>DC!AT99</f>
        <v>0</v>
      </c>
      <c r="AU222">
        <f>DC!AU99</f>
        <v>0</v>
      </c>
      <c r="AV222">
        <f>DC!AV99</f>
        <v>0</v>
      </c>
      <c r="AW222">
        <f>DC!AW99</f>
        <v>0</v>
      </c>
      <c r="AX222">
        <f>DC!AX99</f>
        <v>0</v>
      </c>
      <c r="AY222">
        <f>DC!AY99</f>
        <v>0</v>
      </c>
      <c r="AZ222">
        <f>DC!AZ99</f>
        <v>0</v>
      </c>
      <c r="BA222">
        <f>DC!BA99</f>
        <v>0</v>
      </c>
      <c r="BB222">
        <f>DC!BB99</f>
        <v>0</v>
      </c>
      <c r="BC222">
        <f>DC!BC99</f>
        <v>0</v>
      </c>
      <c r="BD222">
        <f>DC!BD99</f>
        <v>0</v>
      </c>
      <c r="BE222">
        <f>DC!BE99</f>
        <v>0</v>
      </c>
      <c r="BF222">
        <f>DC!BF99</f>
        <v>0</v>
      </c>
      <c r="BG222">
        <f>DC!BG99</f>
        <v>0</v>
      </c>
      <c r="BH222">
        <f>DC!BH99</f>
        <v>0</v>
      </c>
      <c r="BI222">
        <f>DC!BI99</f>
        <v>0</v>
      </c>
      <c r="BJ222">
        <f>DC!BJ99</f>
        <v>0</v>
      </c>
      <c r="BK222">
        <f>DC!BK99</f>
        <v>0</v>
      </c>
      <c r="BL222">
        <f>DC!BL99</f>
        <v>0</v>
      </c>
    </row>
    <row r="223" spans="1:64">
      <c r="A223">
        <f>DC!A100</f>
        <v>39</v>
      </c>
      <c r="B223" t="str">
        <f>DC!B100</f>
        <v>17:15-18:00</v>
      </c>
      <c r="C223">
        <f>DC!C100</f>
        <v>41</v>
      </c>
      <c r="D223" t="str">
        <f>DC!D100</f>
        <v>17:45-18:30</v>
      </c>
      <c r="E223">
        <f>DC!E100</f>
        <v>0</v>
      </c>
      <c r="F223">
        <f>DC!F100</f>
        <v>1</v>
      </c>
      <c r="G223">
        <f>DC!G100</f>
        <v>0</v>
      </c>
      <c r="H223">
        <f>DC!H100</f>
        <v>1</v>
      </c>
      <c r="I223">
        <f>DC!I100</f>
        <v>0</v>
      </c>
      <c r="J223">
        <f>DC!J100</f>
        <v>0</v>
      </c>
      <c r="K223">
        <f>DC!K100</f>
        <v>0</v>
      </c>
      <c r="L223">
        <f>DC!L100</f>
        <v>0</v>
      </c>
      <c r="M223">
        <f>DC!M100</f>
        <v>0</v>
      </c>
      <c r="N223">
        <f>DC!N100</f>
        <v>0</v>
      </c>
      <c r="O223">
        <f>DC!O100</f>
        <v>0</v>
      </c>
      <c r="P223">
        <f>DC!P100</f>
        <v>0</v>
      </c>
      <c r="Q223">
        <f>DC!Q100</f>
        <v>0</v>
      </c>
      <c r="R223">
        <f>DC!R100</f>
        <v>0</v>
      </c>
      <c r="S223">
        <f>DC!S100</f>
        <v>0</v>
      </c>
      <c r="T223">
        <f>DC!T100</f>
        <v>0</v>
      </c>
      <c r="U223">
        <f>DC!U100</f>
        <v>0</v>
      </c>
      <c r="V223">
        <f>DC!V100</f>
        <v>0</v>
      </c>
      <c r="W223">
        <f>DC!W100</f>
        <v>0</v>
      </c>
      <c r="X223">
        <f>DC!X100</f>
        <v>0</v>
      </c>
      <c r="Y223">
        <f>DC!Y100</f>
        <v>0</v>
      </c>
      <c r="Z223">
        <f>DC!Z100</f>
        <v>0</v>
      </c>
      <c r="AA223">
        <f>DC!AA100</f>
        <v>0</v>
      </c>
      <c r="AB223">
        <f>DC!AB100</f>
        <v>0</v>
      </c>
      <c r="AC223">
        <f>DC!AC100</f>
        <v>0</v>
      </c>
      <c r="AD223">
        <f>DC!AD100</f>
        <v>0</v>
      </c>
      <c r="AE223">
        <f>DC!AE100</f>
        <v>0</v>
      </c>
      <c r="AF223">
        <f>DC!AF100</f>
        <v>0</v>
      </c>
      <c r="AG223">
        <f>DC!AG100</f>
        <v>0</v>
      </c>
      <c r="AH223">
        <f>DC!AH100</f>
        <v>0</v>
      </c>
      <c r="AI223">
        <f>DC!AI100</f>
        <v>0</v>
      </c>
      <c r="AJ223">
        <f>DC!AJ100</f>
        <v>0</v>
      </c>
      <c r="AK223">
        <f>DC!AK100</f>
        <v>0</v>
      </c>
      <c r="AL223">
        <f>DC!AL100</f>
        <v>0</v>
      </c>
      <c r="AM223">
        <f>DC!AM100</f>
        <v>0</v>
      </c>
      <c r="AN223">
        <f>DC!AN100</f>
        <v>0</v>
      </c>
      <c r="AO223">
        <f>DC!AO100</f>
        <v>0</v>
      </c>
      <c r="AP223">
        <f>DC!AP100</f>
        <v>0</v>
      </c>
      <c r="AQ223">
        <f>DC!AQ100</f>
        <v>0</v>
      </c>
      <c r="AR223">
        <f>DC!AR100</f>
        <v>0</v>
      </c>
      <c r="AS223">
        <f>DC!AS100</f>
        <v>0</v>
      </c>
      <c r="AT223">
        <f>DC!AT100</f>
        <v>0</v>
      </c>
      <c r="AU223">
        <f>DC!AU100</f>
        <v>0</v>
      </c>
      <c r="AV223">
        <f>DC!AV100</f>
        <v>0</v>
      </c>
      <c r="AW223">
        <f>DC!AW100</f>
        <v>0</v>
      </c>
      <c r="AX223">
        <f>DC!AX100</f>
        <v>0</v>
      </c>
      <c r="AY223">
        <f>DC!AY100</f>
        <v>0</v>
      </c>
      <c r="AZ223">
        <f>DC!AZ100</f>
        <v>0</v>
      </c>
      <c r="BA223">
        <f>DC!BA100</f>
        <v>0</v>
      </c>
      <c r="BB223">
        <f>DC!BB100</f>
        <v>0</v>
      </c>
      <c r="BC223">
        <f>DC!BC100</f>
        <v>0</v>
      </c>
      <c r="BD223">
        <f>DC!BD100</f>
        <v>0</v>
      </c>
      <c r="BE223">
        <f>DC!BE100</f>
        <v>0</v>
      </c>
      <c r="BF223">
        <f>DC!BF100</f>
        <v>0</v>
      </c>
      <c r="BG223">
        <f>DC!BG100</f>
        <v>0</v>
      </c>
      <c r="BH223">
        <f>DC!BH100</f>
        <v>0</v>
      </c>
      <c r="BI223">
        <f>DC!BI100</f>
        <v>0</v>
      </c>
      <c r="BJ223">
        <f>DC!BJ100</f>
        <v>0</v>
      </c>
      <c r="BK223">
        <f>DC!BK100</f>
        <v>0</v>
      </c>
      <c r="BL223">
        <f>DC!BL100</f>
        <v>0</v>
      </c>
    </row>
    <row r="224" spans="1:64">
      <c r="A224">
        <f>DC!A101</f>
        <v>40</v>
      </c>
      <c r="B224" t="str">
        <f>DC!B101</f>
        <v>17:30-18:15</v>
      </c>
      <c r="C224">
        <f>DC!C101</f>
        <v>41</v>
      </c>
      <c r="D224" t="str">
        <f>DC!D101</f>
        <v>17:45-18:30</v>
      </c>
      <c r="E224">
        <f>DC!E101</f>
        <v>0</v>
      </c>
      <c r="F224">
        <f>DC!F101</f>
        <v>0</v>
      </c>
      <c r="G224">
        <f>DC!G101</f>
        <v>0</v>
      </c>
      <c r="H224">
        <f>DC!H101</f>
        <v>0</v>
      </c>
      <c r="I224">
        <f>DC!I101</f>
        <v>0</v>
      </c>
      <c r="J224">
        <f>DC!J101</f>
        <v>0</v>
      </c>
      <c r="K224">
        <f>DC!K101</f>
        <v>0</v>
      </c>
      <c r="L224">
        <f>DC!L101</f>
        <v>0</v>
      </c>
      <c r="M224">
        <f>DC!M101</f>
        <v>0</v>
      </c>
      <c r="N224">
        <f>DC!N101</f>
        <v>0</v>
      </c>
      <c r="O224">
        <f>DC!O101</f>
        <v>0</v>
      </c>
      <c r="P224">
        <f>DC!P101</f>
        <v>0</v>
      </c>
      <c r="Q224">
        <f>DC!Q101</f>
        <v>0</v>
      </c>
      <c r="R224">
        <f>DC!R101</f>
        <v>0</v>
      </c>
      <c r="S224">
        <f>DC!S101</f>
        <v>0</v>
      </c>
      <c r="T224">
        <f>DC!T101</f>
        <v>0</v>
      </c>
      <c r="U224">
        <f>DC!U101</f>
        <v>0</v>
      </c>
      <c r="V224">
        <f>DC!V101</f>
        <v>0</v>
      </c>
      <c r="W224">
        <f>DC!W101</f>
        <v>0</v>
      </c>
      <c r="X224">
        <f>DC!X101</f>
        <v>0</v>
      </c>
      <c r="Y224">
        <f>DC!Y101</f>
        <v>0</v>
      </c>
      <c r="Z224">
        <f>DC!Z101</f>
        <v>0</v>
      </c>
      <c r="AA224">
        <f>DC!AA101</f>
        <v>0</v>
      </c>
      <c r="AB224">
        <f>DC!AB101</f>
        <v>0</v>
      </c>
      <c r="AC224">
        <f>DC!AC101</f>
        <v>0</v>
      </c>
      <c r="AD224">
        <f>DC!AD101</f>
        <v>0</v>
      </c>
      <c r="AE224">
        <f>DC!AE101</f>
        <v>0</v>
      </c>
      <c r="AF224">
        <f>DC!AF101</f>
        <v>0</v>
      </c>
      <c r="AG224">
        <f>DC!AG101</f>
        <v>0</v>
      </c>
      <c r="AH224">
        <f>DC!AH101</f>
        <v>0</v>
      </c>
      <c r="AI224">
        <f>DC!AI101</f>
        <v>0</v>
      </c>
      <c r="AJ224">
        <f>DC!AJ101</f>
        <v>0</v>
      </c>
      <c r="AK224">
        <f>DC!AK101</f>
        <v>0</v>
      </c>
      <c r="AL224">
        <f>DC!AL101</f>
        <v>0</v>
      </c>
      <c r="AM224">
        <f>DC!AM101</f>
        <v>0</v>
      </c>
      <c r="AN224">
        <f>DC!AN101</f>
        <v>0</v>
      </c>
      <c r="AO224">
        <f>DC!AO101</f>
        <v>0</v>
      </c>
      <c r="AP224">
        <f>DC!AP101</f>
        <v>0</v>
      </c>
      <c r="AQ224">
        <f>DC!AQ101</f>
        <v>0</v>
      </c>
      <c r="AR224">
        <f>DC!AR101</f>
        <v>0</v>
      </c>
      <c r="AS224">
        <f>DC!AS101</f>
        <v>0</v>
      </c>
      <c r="AT224">
        <f>DC!AT101</f>
        <v>0</v>
      </c>
      <c r="AU224">
        <f>DC!AU101</f>
        <v>0</v>
      </c>
      <c r="AV224">
        <f>DC!AV101</f>
        <v>0</v>
      </c>
      <c r="AW224">
        <f>DC!AW101</f>
        <v>0</v>
      </c>
      <c r="AX224">
        <f>DC!AX101</f>
        <v>0</v>
      </c>
      <c r="AY224">
        <f>DC!AY101</f>
        <v>0</v>
      </c>
      <c r="AZ224">
        <f>DC!AZ101</f>
        <v>0</v>
      </c>
      <c r="BA224">
        <f>DC!BA101</f>
        <v>0</v>
      </c>
      <c r="BB224">
        <f>DC!BB101</f>
        <v>0</v>
      </c>
      <c r="BC224">
        <f>DC!BC101</f>
        <v>0</v>
      </c>
      <c r="BD224">
        <f>DC!BD101</f>
        <v>0</v>
      </c>
      <c r="BE224">
        <f>DC!BE101</f>
        <v>0</v>
      </c>
      <c r="BF224">
        <f>DC!BF101</f>
        <v>0</v>
      </c>
      <c r="BG224">
        <f>DC!BG101</f>
        <v>0</v>
      </c>
      <c r="BH224">
        <f>DC!BH101</f>
        <v>0</v>
      </c>
      <c r="BI224">
        <f>DC!BI101</f>
        <v>0</v>
      </c>
      <c r="BJ224">
        <f>DC!BJ101</f>
        <v>0</v>
      </c>
      <c r="BK224">
        <f>DC!BK101</f>
        <v>0</v>
      </c>
      <c r="BL224">
        <f>DC!BL101</f>
        <v>0</v>
      </c>
    </row>
    <row r="225" spans="1:64">
      <c r="A225">
        <f>DC!A102</f>
        <v>40</v>
      </c>
      <c r="B225" t="str">
        <f>DC!B102</f>
        <v>17:30-18:15</v>
      </c>
      <c r="C225">
        <f>DC!C102</f>
        <v>42</v>
      </c>
      <c r="D225" t="str">
        <f>DC!D102</f>
        <v>18:00-19:00</v>
      </c>
      <c r="E225">
        <f>DC!E102</f>
        <v>0</v>
      </c>
      <c r="F225">
        <f>DC!F102</f>
        <v>0</v>
      </c>
      <c r="G225">
        <f>DC!G102</f>
        <v>0</v>
      </c>
      <c r="H225">
        <f>DC!H102</f>
        <v>0</v>
      </c>
      <c r="I225">
        <f>DC!I102</f>
        <v>0</v>
      </c>
      <c r="J225">
        <f>DC!J102</f>
        <v>0</v>
      </c>
      <c r="K225">
        <f>DC!K102</f>
        <v>0</v>
      </c>
      <c r="L225">
        <f>DC!L102</f>
        <v>0</v>
      </c>
      <c r="M225">
        <f>DC!M102</f>
        <v>0</v>
      </c>
      <c r="N225">
        <f>DC!N102</f>
        <v>0</v>
      </c>
      <c r="O225">
        <f>DC!O102</f>
        <v>0</v>
      </c>
      <c r="P225">
        <f>DC!P102</f>
        <v>0</v>
      </c>
      <c r="Q225">
        <f>DC!Q102</f>
        <v>0</v>
      </c>
      <c r="R225">
        <f>DC!R102</f>
        <v>0</v>
      </c>
      <c r="S225">
        <f>DC!S102</f>
        <v>0</v>
      </c>
      <c r="T225">
        <f>DC!T102</f>
        <v>0</v>
      </c>
      <c r="U225">
        <f>DC!U102</f>
        <v>0</v>
      </c>
      <c r="V225">
        <f>DC!V102</f>
        <v>0</v>
      </c>
      <c r="W225">
        <f>DC!W102</f>
        <v>0</v>
      </c>
      <c r="X225">
        <f>DC!X102</f>
        <v>0</v>
      </c>
      <c r="Y225">
        <f>DC!Y102</f>
        <v>0</v>
      </c>
      <c r="Z225">
        <f>DC!Z102</f>
        <v>0</v>
      </c>
      <c r="AA225">
        <f>DC!AA102</f>
        <v>0</v>
      </c>
      <c r="AB225">
        <f>DC!AB102</f>
        <v>0</v>
      </c>
      <c r="AC225">
        <f>DC!AC102</f>
        <v>0</v>
      </c>
      <c r="AD225">
        <f>DC!AD102</f>
        <v>0</v>
      </c>
      <c r="AE225">
        <f>DC!AE102</f>
        <v>0</v>
      </c>
      <c r="AF225">
        <f>DC!AF102</f>
        <v>0</v>
      </c>
      <c r="AG225">
        <f>DC!AG102</f>
        <v>0</v>
      </c>
      <c r="AH225">
        <f>DC!AH102</f>
        <v>0</v>
      </c>
      <c r="AI225">
        <f>DC!AI102</f>
        <v>0</v>
      </c>
      <c r="AJ225">
        <f>DC!AJ102</f>
        <v>0</v>
      </c>
      <c r="AK225">
        <f>DC!AK102</f>
        <v>0</v>
      </c>
      <c r="AL225">
        <f>DC!AL102</f>
        <v>0</v>
      </c>
      <c r="AM225">
        <f>DC!AM102</f>
        <v>0</v>
      </c>
      <c r="AN225">
        <f>DC!AN102</f>
        <v>0</v>
      </c>
      <c r="AO225">
        <f>DC!AO102</f>
        <v>0</v>
      </c>
      <c r="AP225">
        <f>DC!AP102</f>
        <v>0</v>
      </c>
      <c r="AQ225">
        <f>DC!AQ102</f>
        <v>0</v>
      </c>
      <c r="AR225">
        <f>DC!AR102</f>
        <v>0</v>
      </c>
      <c r="AS225">
        <f>DC!AS102</f>
        <v>0</v>
      </c>
      <c r="AT225">
        <f>DC!AT102</f>
        <v>0</v>
      </c>
      <c r="AU225">
        <f>DC!AU102</f>
        <v>0</v>
      </c>
      <c r="AV225">
        <f>DC!AV102</f>
        <v>0</v>
      </c>
      <c r="AW225">
        <f>DC!AW102</f>
        <v>0</v>
      </c>
      <c r="AX225">
        <f>DC!AX102</f>
        <v>0</v>
      </c>
      <c r="AY225">
        <f>DC!AY102</f>
        <v>0</v>
      </c>
      <c r="AZ225">
        <f>DC!AZ102</f>
        <v>0</v>
      </c>
      <c r="BA225">
        <f>DC!BA102</f>
        <v>0</v>
      </c>
      <c r="BB225">
        <f>DC!BB102</f>
        <v>0</v>
      </c>
      <c r="BC225">
        <f>DC!BC102</f>
        <v>0</v>
      </c>
      <c r="BD225">
        <f>DC!BD102</f>
        <v>0</v>
      </c>
      <c r="BE225">
        <f>DC!BE102</f>
        <v>0</v>
      </c>
      <c r="BF225">
        <f>DC!BF102</f>
        <v>0</v>
      </c>
      <c r="BG225">
        <f>DC!BG102</f>
        <v>0</v>
      </c>
      <c r="BH225">
        <f>DC!BH102</f>
        <v>0</v>
      </c>
      <c r="BI225">
        <f>DC!BI102</f>
        <v>0</v>
      </c>
      <c r="BJ225">
        <f>DC!BJ102</f>
        <v>0</v>
      </c>
      <c r="BK225">
        <f>DC!BK102</f>
        <v>0</v>
      </c>
      <c r="BL225">
        <f>DC!BL102</f>
        <v>0</v>
      </c>
    </row>
    <row r="226" spans="1:64">
      <c r="A226">
        <f>DC!A103</f>
        <v>41</v>
      </c>
      <c r="B226" t="str">
        <f>DC!B103</f>
        <v>17:45-18:30</v>
      </c>
      <c r="C226">
        <f>DC!C103</f>
        <v>42</v>
      </c>
      <c r="D226" t="str">
        <f>DC!D103</f>
        <v>18:00-19:00</v>
      </c>
      <c r="E226">
        <f>DC!E103</f>
        <v>0</v>
      </c>
      <c r="F226">
        <f>DC!F103</f>
        <v>0</v>
      </c>
      <c r="G226">
        <f>DC!G103</f>
        <v>0</v>
      </c>
      <c r="H226">
        <f>DC!H103</f>
        <v>0</v>
      </c>
      <c r="I226">
        <f>DC!I103</f>
        <v>0</v>
      </c>
      <c r="J226">
        <f>DC!J103</f>
        <v>0</v>
      </c>
      <c r="K226">
        <f>DC!K103</f>
        <v>0</v>
      </c>
      <c r="L226">
        <f>DC!L103</f>
        <v>0</v>
      </c>
      <c r="M226">
        <f>DC!M103</f>
        <v>0</v>
      </c>
      <c r="N226">
        <f>DC!N103</f>
        <v>0</v>
      </c>
      <c r="O226">
        <f>DC!O103</f>
        <v>0</v>
      </c>
      <c r="P226">
        <f>DC!P103</f>
        <v>0</v>
      </c>
      <c r="Q226">
        <f>DC!Q103</f>
        <v>0</v>
      </c>
      <c r="R226">
        <f>DC!R103</f>
        <v>0</v>
      </c>
      <c r="S226">
        <f>DC!S103</f>
        <v>0</v>
      </c>
      <c r="T226">
        <f>DC!T103</f>
        <v>0</v>
      </c>
      <c r="U226">
        <f>DC!U103</f>
        <v>0</v>
      </c>
      <c r="V226">
        <f>DC!V103</f>
        <v>0</v>
      </c>
      <c r="W226">
        <f>DC!W103</f>
        <v>0</v>
      </c>
      <c r="X226">
        <f>DC!X103</f>
        <v>0</v>
      </c>
      <c r="Y226">
        <f>DC!Y103</f>
        <v>0</v>
      </c>
      <c r="Z226">
        <f>DC!Z103</f>
        <v>0</v>
      </c>
      <c r="AA226">
        <f>DC!AA103</f>
        <v>0</v>
      </c>
      <c r="AB226">
        <f>DC!AB103</f>
        <v>0</v>
      </c>
      <c r="AC226">
        <f>DC!AC103</f>
        <v>0</v>
      </c>
      <c r="AD226">
        <f>DC!AD103</f>
        <v>0</v>
      </c>
      <c r="AE226">
        <f>DC!AE103</f>
        <v>0</v>
      </c>
      <c r="AF226">
        <f>DC!AF103</f>
        <v>0</v>
      </c>
      <c r="AG226">
        <f>DC!AG103</f>
        <v>0</v>
      </c>
      <c r="AH226">
        <f>DC!AH103</f>
        <v>0</v>
      </c>
      <c r="AI226">
        <f>DC!AI103</f>
        <v>0</v>
      </c>
      <c r="AJ226">
        <f>DC!AJ103</f>
        <v>0</v>
      </c>
      <c r="AK226">
        <f>DC!AK103</f>
        <v>0</v>
      </c>
      <c r="AL226">
        <f>DC!AL103</f>
        <v>0</v>
      </c>
      <c r="AM226">
        <f>DC!AM103</f>
        <v>0</v>
      </c>
      <c r="AN226">
        <f>DC!AN103</f>
        <v>0</v>
      </c>
      <c r="AO226">
        <f>DC!AO103</f>
        <v>0</v>
      </c>
      <c r="AP226">
        <f>DC!AP103</f>
        <v>0</v>
      </c>
      <c r="AQ226">
        <f>DC!AQ103</f>
        <v>0</v>
      </c>
      <c r="AR226">
        <f>DC!AR103</f>
        <v>0</v>
      </c>
      <c r="AS226">
        <f>DC!AS103</f>
        <v>0</v>
      </c>
      <c r="AT226">
        <f>DC!AT103</f>
        <v>0</v>
      </c>
      <c r="AU226">
        <f>DC!AU103</f>
        <v>0</v>
      </c>
      <c r="AV226">
        <f>DC!AV103</f>
        <v>0</v>
      </c>
      <c r="AW226">
        <f>DC!AW103</f>
        <v>0</v>
      </c>
      <c r="AX226">
        <f>DC!AX103</f>
        <v>0</v>
      </c>
      <c r="AY226">
        <f>DC!AY103</f>
        <v>0</v>
      </c>
      <c r="AZ226">
        <f>DC!AZ103</f>
        <v>0</v>
      </c>
      <c r="BA226">
        <f>DC!BA103</f>
        <v>0</v>
      </c>
      <c r="BB226">
        <f>DC!BB103</f>
        <v>0</v>
      </c>
      <c r="BC226">
        <f>DC!BC103</f>
        <v>0</v>
      </c>
      <c r="BD226">
        <f>DC!BD103</f>
        <v>0</v>
      </c>
      <c r="BE226">
        <f>DC!BE103</f>
        <v>0</v>
      </c>
      <c r="BF226">
        <f>DC!BF103</f>
        <v>0</v>
      </c>
      <c r="BG226">
        <f>DC!BG103</f>
        <v>0</v>
      </c>
      <c r="BH226">
        <f>DC!BH103</f>
        <v>0</v>
      </c>
      <c r="BI226">
        <f>DC!BI103</f>
        <v>0</v>
      </c>
      <c r="BJ226">
        <f>DC!BJ103</f>
        <v>0</v>
      </c>
      <c r="BK226">
        <f>DC!BK103</f>
        <v>0</v>
      </c>
      <c r="BL226">
        <f>DC!BL103</f>
        <v>0</v>
      </c>
    </row>
    <row r="227" spans="1:64">
      <c r="A227">
        <f>DC!A104</f>
        <v>41</v>
      </c>
      <c r="B227" t="str">
        <f>DC!B104</f>
        <v>17:45-18:30</v>
      </c>
      <c r="C227">
        <f>DC!C104</f>
        <v>43</v>
      </c>
      <c r="D227" t="str">
        <f>DC!D104</f>
        <v>18:15-19:00</v>
      </c>
      <c r="E227">
        <f>DC!E104</f>
        <v>0</v>
      </c>
      <c r="F227">
        <f>DC!F104</f>
        <v>0</v>
      </c>
      <c r="G227">
        <f>DC!G104</f>
        <v>0</v>
      </c>
      <c r="H227">
        <f>DC!H104</f>
        <v>0</v>
      </c>
      <c r="I227">
        <f>DC!I104</f>
        <v>0</v>
      </c>
      <c r="J227">
        <f>DC!J104</f>
        <v>0</v>
      </c>
      <c r="K227">
        <f>DC!K104</f>
        <v>0</v>
      </c>
      <c r="L227">
        <f>DC!L104</f>
        <v>0</v>
      </c>
      <c r="M227">
        <f>DC!M104</f>
        <v>0</v>
      </c>
      <c r="N227">
        <f>DC!N104</f>
        <v>0</v>
      </c>
      <c r="O227">
        <f>DC!O104</f>
        <v>0</v>
      </c>
      <c r="P227">
        <f>DC!P104</f>
        <v>0</v>
      </c>
      <c r="Q227">
        <f>DC!Q104</f>
        <v>0</v>
      </c>
      <c r="R227">
        <f>DC!R104</f>
        <v>0</v>
      </c>
      <c r="S227">
        <f>DC!S104</f>
        <v>0</v>
      </c>
      <c r="T227">
        <f>DC!T104</f>
        <v>0</v>
      </c>
      <c r="U227">
        <f>DC!U104</f>
        <v>0</v>
      </c>
      <c r="V227">
        <f>DC!V104</f>
        <v>0</v>
      </c>
      <c r="W227">
        <f>DC!W104</f>
        <v>0</v>
      </c>
      <c r="X227">
        <f>DC!X104</f>
        <v>0</v>
      </c>
      <c r="Y227">
        <f>DC!Y104</f>
        <v>0</v>
      </c>
      <c r="Z227">
        <f>DC!Z104</f>
        <v>0</v>
      </c>
      <c r="AA227">
        <f>DC!AA104</f>
        <v>0</v>
      </c>
      <c r="AB227">
        <f>DC!AB104</f>
        <v>0</v>
      </c>
      <c r="AC227">
        <f>DC!AC104</f>
        <v>0</v>
      </c>
      <c r="AD227">
        <f>DC!AD104</f>
        <v>0</v>
      </c>
      <c r="AE227">
        <f>DC!AE104</f>
        <v>0</v>
      </c>
      <c r="AF227">
        <f>DC!AF104</f>
        <v>0</v>
      </c>
      <c r="AG227">
        <f>DC!AG104</f>
        <v>0</v>
      </c>
      <c r="AH227">
        <f>DC!AH104</f>
        <v>0</v>
      </c>
      <c r="AI227">
        <f>DC!AI104</f>
        <v>0</v>
      </c>
      <c r="AJ227">
        <f>DC!AJ104</f>
        <v>0</v>
      </c>
      <c r="AK227">
        <f>DC!AK104</f>
        <v>0</v>
      </c>
      <c r="AL227">
        <f>DC!AL104</f>
        <v>0</v>
      </c>
      <c r="AM227">
        <f>DC!AM104</f>
        <v>0</v>
      </c>
      <c r="AN227">
        <f>DC!AN104</f>
        <v>0</v>
      </c>
      <c r="AO227">
        <f>DC!AO104</f>
        <v>0</v>
      </c>
      <c r="AP227">
        <f>DC!AP104</f>
        <v>0</v>
      </c>
      <c r="AQ227">
        <f>DC!AQ104</f>
        <v>0</v>
      </c>
      <c r="AR227">
        <f>DC!AR104</f>
        <v>0</v>
      </c>
      <c r="AS227">
        <f>DC!AS104</f>
        <v>0</v>
      </c>
      <c r="AT227">
        <f>DC!AT104</f>
        <v>0</v>
      </c>
      <c r="AU227">
        <f>DC!AU104</f>
        <v>0</v>
      </c>
      <c r="AV227">
        <f>DC!AV104</f>
        <v>0</v>
      </c>
      <c r="AW227">
        <f>DC!AW104</f>
        <v>0</v>
      </c>
      <c r="AX227">
        <f>DC!AX104</f>
        <v>0</v>
      </c>
      <c r="AY227">
        <f>DC!AY104</f>
        <v>0</v>
      </c>
      <c r="AZ227">
        <f>DC!AZ104</f>
        <v>0</v>
      </c>
      <c r="BA227">
        <f>DC!BA104</f>
        <v>0</v>
      </c>
      <c r="BB227">
        <f>DC!BB104</f>
        <v>0</v>
      </c>
      <c r="BC227">
        <f>DC!BC104</f>
        <v>0</v>
      </c>
      <c r="BD227">
        <f>DC!BD104</f>
        <v>0</v>
      </c>
      <c r="BE227">
        <f>DC!BE104</f>
        <v>0</v>
      </c>
      <c r="BF227">
        <f>DC!BF104</f>
        <v>0</v>
      </c>
      <c r="BG227">
        <f>DC!BG104</f>
        <v>0</v>
      </c>
      <c r="BH227">
        <f>DC!BH104</f>
        <v>0</v>
      </c>
      <c r="BI227">
        <f>DC!BI104</f>
        <v>0</v>
      </c>
      <c r="BJ227">
        <f>DC!BJ104</f>
        <v>0</v>
      </c>
      <c r="BK227">
        <f>DC!BK104</f>
        <v>0</v>
      </c>
      <c r="BL227">
        <f>DC!BL104</f>
        <v>0</v>
      </c>
    </row>
    <row r="228" spans="1:64">
      <c r="A228">
        <f>DC!A105</f>
        <v>42</v>
      </c>
      <c r="B228" t="str">
        <f>DC!B105</f>
        <v>18:00-19:00</v>
      </c>
      <c r="C228">
        <f>DC!C105</f>
        <v>43</v>
      </c>
      <c r="D228" t="str">
        <f>DC!D105</f>
        <v>18:15-19:00</v>
      </c>
      <c r="E228">
        <f>DC!E105</f>
        <v>0</v>
      </c>
      <c r="F228">
        <f>DC!F105</f>
        <v>0</v>
      </c>
      <c r="G228">
        <f>DC!G105</f>
        <v>0</v>
      </c>
      <c r="H228">
        <f>DC!H105</f>
        <v>0</v>
      </c>
      <c r="I228">
        <f>DC!I105</f>
        <v>0</v>
      </c>
      <c r="J228">
        <f>DC!J105</f>
        <v>0</v>
      </c>
      <c r="K228">
        <f>DC!K105</f>
        <v>0</v>
      </c>
      <c r="L228">
        <f>DC!L105</f>
        <v>0</v>
      </c>
      <c r="M228">
        <f>DC!M105</f>
        <v>0</v>
      </c>
      <c r="N228">
        <f>DC!N105</f>
        <v>0</v>
      </c>
      <c r="O228">
        <f>DC!O105</f>
        <v>0</v>
      </c>
      <c r="P228">
        <f>DC!P105</f>
        <v>0</v>
      </c>
      <c r="Q228">
        <f>DC!Q105</f>
        <v>0</v>
      </c>
      <c r="R228">
        <f>DC!R105</f>
        <v>0</v>
      </c>
      <c r="S228">
        <f>DC!S105</f>
        <v>0</v>
      </c>
      <c r="T228">
        <f>DC!T105</f>
        <v>0</v>
      </c>
      <c r="U228">
        <f>DC!U105</f>
        <v>0</v>
      </c>
      <c r="V228">
        <f>DC!V105</f>
        <v>0</v>
      </c>
      <c r="W228">
        <f>DC!W105</f>
        <v>0</v>
      </c>
      <c r="X228">
        <f>DC!X105</f>
        <v>0</v>
      </c>
      <c r="Y228">
        <f>DC!Y105</f>
        <v>0</v>
      </c>
      <c r="Z228">
        <f>DC!Z105</f>
        <v>0</v>
      </c>
      <c r="AA228">
        <f>DC!AA105</f>
        <v>0</v>
      </c>
      <c r="AB228">
        <f>DC!AB105</f>
        <v>0</v>
      </c>
      <c r="AC228">
        <f>DC!AC105</f>
        <v>0</v>
      </c>
      <c r="AD228">
        <f>DC!AD105</f>
        <v>0</v>
      </c>
      <c r="AE228">
        <f>DC!AE105</f>
        <v>0</v>
      </c>
      <c r="AF228">
        <f>DC!AF105</f>
        <v>0</v>
      </c>
      <c r="AG228">
        <f>DC!AG105</f>
        <v>0</v>
      </c>
      <c r="AH228">
        <f>DC!AH105</f>
        <v>0</v>
      </c>
      <c r="AI228">
        <f>DC!AI105</f>
        <v>0</v>
      </c>
      <c r="AJ228">
        <f>DC!AJ105</f>
        <v>0</v>
      </c>
      <c r="AK228">
        <f>DC!AK105</f>
        <v>0</v>
      </c>
      <c r="AL228">
        <f>DC!AL105</f>
        <v>0</v>
      </c>
      <c r="AM228">
        <f>DC!AM105</f>
        <v>0</v>
      </c>
      <c r="AN228">
        <f>DC!AN105</f>
        <v>0</v>
      </c>
      <c r="AO228">
        <f>DC!AO105</f>
        <v>0</v>
      </c>
      <c r="AP228">
        <f>DC!AP105</f>
        <v>0</v>
      </c>
      <c r="AQ228">
        <f>DC!AQ105</f>
        <v>0</v>
      </c>
      <c r="AR228">
        <f>DC!AR105</f>
        <v>0</v>
      </c>
      <c r="AS228">
        <f>DC!AS105</f>
        <v>0</v>
      </c>
      <c r="AT228">
        <f>DC!AT105</f>
        <v>0</v>
      </c>
      <c r="AU228">
        <f>DC!AU105</f>
        <v>0</v>
      </c>
      <c r="AV228">
        <f>DC!AV105</f>
        <v>0</v>
      </c>
      <c r="AW228">
        <f>DC!AW105</f>
        <v>0</v>
      </c>
      <c r="AX228">
        <f>DC!AX105</f>
        <v>0</v>
      </c>
      <c r="AY228">
        <f>DC!AY105</f>
        <v>0</v>
      </c>
      <c r="AZ228">
        <f>DC!AZ105</f>
        <v>0</v>
      </c>
      <c r="BA228">
        <f>DC!BA105</f>
        <v>0</v>
      </c>
      <c r="BB228">
        <f>DC!BB105</f>
        <v>0</v>
      </c>
      <c r="BC228">
        <f>DC!BC105</f>
        <v>0</v>
      </c>
      <c r="BD228">
        <f>DC!BD105</f>
        <v>0</v>
      </c>
      <c r="BE228">
        <f>DC!BE105</f>
        <v>0</v>
      </c>
      <c r="BF228">
        <f>DC!BF105</f>
        <v>0</v>
      </c>
      <c r="BG228">
        <f>DC!BG105</f>
        <v>0</v>
      </c>
      <c r="BH228">
        <f>DC!BH105</f>
        <v>0</v>
      </c>
      <c r="BI228">
        <f>DC!BI105</f>
        <v>0</v>
      </c>
      <c r="BJ228">
        <f>DC!BJ105</f>
        <v>0</v>
      </c>
      <c r="BK228">
        <f>DC!BK105</f>
        <v>0</v>
      </c>
      <c r="BL228">
        <f>DC!BL105</f>
        <v>0</v>
      </c>
    </row>
    <row r="229" spans="1:64">
      <c r="A229">
        <f>DC!A106</f>
        <v>42</v>
      </c>
      <c r="B229" t="str">
        <f>DC!B106</f>
        <v>18:00-19:00</v>
      </c>
      <c r="C229">
        <f>DC!C106</f>
        <v>44</v>
      </c>
      <c r="D229" t="str">
        <f>DC!D106</f>
        <v>18:30-19:15</v>
      </c>
      <c r="E229">
        <f>DC!E106</f>
        <v>0</v>
      </c>
      <c r="F229">
        <f>DC!F106</f>
        <v>0</v>
      </c>
      <c r="G229">
        <f>DC!G106</f>
        <v>0</v>
      </c>
      <c r="H229">
        <f>DC!H106</f>
        <v>0</v>
      </c>
      <c r="I229">
        <f>DC!I106</f>
        <v>0</v>
      </c>
      <c r="J229">
        <f>DC!J106</f>
        <v>0</v>
      </c>
      <c r="K229">
        <f>DC!K106</f>
        <v>0</v>
      </c>
      <c r="L229">
        <f>DC!L106</f>
        <v>0</v>
      </c>
      <c r="M229">
        <f>DC!M106</f>
        <v>0</v>
      </c>
      <c r="N229">
        <f>DC!N106</f>
        <v>0</v>
      </c>
      <c r="O229">
        <f>DC!O106</f>
        <v>0</v>
      </c>
      <c r="P229">
        <f>DC!P106</f>
        <v>0</v>
      </c>
      <c r="Q229">
        <f>DC!Q106</f>
        <v>0</v>
      </c>
      <c r="R229">
        <f>DC!R106</f>
        <v>0</v>
      </c>
      <c r="S229">
        <f>DC!S106</f>
        <v>0</v>
      </c>
      <c r="T229">
        <f>DC!T106</f>
        <v>0</v>
      </c>
      <c r="U229">
        <f>DC!U106</f>
        <v>0</v>
      </c>
      <c r="V229">
        <f>DC!V106</f>
        <v>0</v>
      </c>
      <c r="W229">
        <f>DC!W106</f>
        <v>0</v>
      </c>
      <c r="X229">
        <f>DC!X106</f>
        <v>0</v>
      </c>
      <c r="Y229">
        <f>DC!Y106</f>
        <v>0</v>
      </c>
      <c r="Z229">
        <f>DC!Z106</f>
        <v>0</v>
      </c>
      <c r="AA229">
        <f>DC!AA106</f>
        <v>0</v>
      </c>
      <c r="AB229">
        <f>DC!AB106</f>
        <v>0</v>
      </c>
      <c r="AC229">
        <f>DC!AC106</f>
        <v>0</v>
      </c>
      <c r="AD229">
        <f>DC!AD106</f>
        <v>0</v>
      </c>
      <c r="AE229">
        <f>DC!AE106</f>
        <v>0</v>
      </c>
      <c r="AF229">
        <f>DC!AF106</f>
        <v>0</v>
      </c>
      <c r="AG229">
        <f>DC!AG106</f>
        <v>0</v>
      </c>
      <c r="AH229">
        <f>DC!AH106</f>
        <v>0</v>
      </c>
      <c r="AI229">
        <f>DC!AI106</f>
        <v>0</v>
      </c>
      <c r="AJ229">
        <f>DC!AJ106</f>
        <v>0</v>
      </c>
      <c r="AK229">
        <f>DC!AK106</f>
        <v>0</v>
      </c>
      <c r="AL229">
        <f>DC!AL106</f>
        <v>0</v>
      </c>
      <c r="AM229">
        <f>DC!AM106</f>
        <v>0</v>
      </c>
      <c r="AN229">
        <f>DC!AN106</f>
        <v>0</v>
      </c>
      <c r="AO229">
        <f>DC!AO106</f>
        <v>0</v>
      </c>
      <c r="AP229">
        <f>DC!AP106</f>
        <v>0</v>
      </c>
      <c r="AQ229">
        <f>DC!AQ106</f>
        <v>0</v>
      </c>
      <c r="AR229">
        <f>DC!AR106</f>
        <v>0</v>
      </c>
      <c r="AS229">
        <f>DC!AS106</f>
        <v>0</v>
      </c>
      <c r="AT229">
        <f>DC!AT106</f>
        <v>0</v>
      </c>
      <c r="AU229">
        <f>DC!AU106</f>
        <v>0</v>
      </c>
      <c r="AV229">
        <f>DC!AV106</f>
        <v>0</v>
      </c>
      <c r="AW229">
        <f>DC!AW106</f>
        <v>0</v>
      </c>
      <c r="AX229">
        <f>DC!AX106</f>
        <v>0</v>
      </c>
      <c r="AY229">
        <f>DC!AY106</f>
        <v>0</v>
      </c>
      <c r="AZ229">
        <f>DC!AZ106</f>
        <v>0</v>
      </c>
      <c r="BA229">
        <f>DC!BA106</f>
        <v>0</v>
      </c>
      <c r="BB229">
        <f>DC!BB106</f>
        <v>0</v>
      </c>
      <c r="BC229">
        <f>DC!BC106</f>
        <v>0</v>
      </c>
      <c r="BD229">
        <f>DC!BD106</f>
        <v>0</v>
      </c>
      <c r="BE229">
        <f>DC!BE106</f>
        <v>0</v>
      </c>
      <c r="BF229">
        <f>DC!BF106</f>
        <v>0</v>
      </c>
      <c r="BG229">
        <f>DC!BG106</f>
        <v>0</v>
      </c>
      <c r="BH229">
        <f>DC!BH106</f>
        <v>0</v>
      </c>
      <c r="BI229">
        <f>DC!BI106</f>
        <v>0</v>
      </c>
      <c r="BJ229">
        <f>DC!BJ106</f>
        <v>0</v>
      </c>
      <c r="BK229">
        <f>DC!BK106</f>
        <v>0</v>
      </c>
      <c r="BL229">
        <f>DC!BL106</f>
        <v>0</v>
      </c>
    </row>
    <row r="230" spans="1:64">
      <c r="A230">
        <f>DC!A107</f>
        <v>42</v>
      </c>
      <c r="B230" t="str">
        <f>DC!B107</f>
        <v>18:00-19:00</v>
      </c>
      <c r="C230">
        <f>DC!C107</f>
        <v>45</v>
      </c>
      <c r="D230" t="str">
        <f>DC!D107</f>
        <v>18:45-19:30</v>
      </c>
      <c r="E230">
        <f>DC!E107</f>
        <v>0</v>
      </c>
      <c r="F230">
        <f>DC!F107</f>
        <v>0</v>
      </c>
      <c r="G230">
        <f>DC!G107</f>
        <v>0</v>
      </c>
      <c r="H230">
        <f>DC!H107</f>
        <v>0</v>
      </c>
      <c r="I230">
        <f>DC!I107</f>
        <v>0</v>
      </c>
      <c r="J230">
        <f>DC!J107</f>
        <v>0</v>
      </c>
      <c r="K230">
        <f>DC!K107</f>
        <v>0</v>
      </c>
      <c r="L230">
        <f>DC!L107</f>
        <v>0</v>
      </c>
      <c r="M230">
        <f>DC!M107</f>
        <v>0</v>
      </c>
      <c r="N230">
        <f>DC!N107</f>
        <v>0</v>
      </c>
      <c r="O230">
        <f>DC!O107</f>
        <v>0</v>
      </c>
      <c r="P230">
        <f>DC!P107</f>
        <v>0</v>
      </c>
      <c r="Q230">
        <f>DC!Q107</f>
        <v>0</v>
      </c>
      <c r="R230">
        <f>DC!R107</f>
        <v>0</v>
      </c>
      <c r="S230">
        <f>DC!S107</f>
        <v>0</v>
      </c>
      <c r="T230">
        <f>DC!T107</f>
        <v>0</v>
      </c>
      <c r="U230">
        <f>DC!U107</f>
        <v>0</v>
      </c>
      <c r="V230">
        <f>DC!V107</f>
        <v>0</v>
      </c>
      <c r="W230">
        <f>DC!W107</f>
        <v>0</v>
      </c>
      <c r="X230">
        <f>DC!X107</f>
        <v>0</v>
      </c>
      <c r="Y230">
        <f>DC!Y107</f>
        <v>0</v>
      </c>
      <c r="Z230">
        <f>DC!Z107</f>
        <v>0</v>
      </c>
      <c r="AA230">
        <f>DC!AA107</f>
        <v>0</v>
      </c>
      <c r="AB230">
        <f>DC!AB107</f>
        <v>0</v>
      </c>
      <c r="AC230">
        <f>DC!AC107</f>
        <v>0</v>
      </c>
      <c r="AD230">
        <f>DC!AD107</f>
        <v>0</v>
      </c>
      <c r="AE230">
        <f>DC!AE107</f>
        <v>0</v>
      </c>
      <c r="AF230">
        <f>DC!AF107</f>
        <v>0</v>
      </c>
      <c r="AG230">
        <f>DC!AG107</f>
        <v>0</v>
      </c>
      <c r="AH230">
        <f>DC!AH107</f>
        <v>0</v>
      </c>
      <c r="AI230">
        <f>DC!AI107</f>
        <v>0</v>
      </c>
      <c r="AJ230">
        <f>DC!AJ107</f>
        <v>0</v>
      </c>
      <c r="AK230">
        <f>DC!AK107</f>
        <v>0</v>
      </c>
      <c r="AL230">
        <f>DC!AL107</f>
        <v>0</v>
      </c>
      <c r="AM230">
        <f>DC!AM107</f>
        <v>0</v>
      </c>
      <c r="AN230">
        <f>DC!AN107</f>
        <v>0</v>
      </c>
      <c r="AO230">
        <f>DC!AO107</f>
        <v>0</v>
      </c>
      <c r="AP230">
        <f>DC!AP107</f>
        <v>0</v>
      </c>
      <c r="AQ230">
        <f>DC!AQ107</f>
        <v>0</v>
      </c>
      <c r="AR230">
        <f>DC!AR107</f>
        <v>0</v>
      </c>
      <c r="AS230">
        <f>DC!AS107</f>
        <v>0</v>
      </c>
      <c r="AT230">
        <f>DC!AT107</f>
        <v>0</v>
      </c>
      <c r="AU230">
        <f>DC!AU107</f>
        <v>0</v>
      </c>
      <c r="AV230">
        <f>DC!AV107</f>
        <v>0</v>
      </c>
      <c r="AW230">
        <f>DC!AW107</f>
        <v>0</v>
      </c>
      <c r="AX230">
        <f>DC!AX107</f>
        <v>0</v>
      </c>
      <c r="AY230">
        <f>DC!AY107</f>
        <v>0</v>
      </c>
      <c r="AZ230">
        <f>DC!AZ107</f>
        <v>0</v>
      </c>
      <c r="BA230">
        <f>DC!BA107</f>
        <v>0</v>
      </c>
      <c r="BB230">
        <f>DC!BB107</f>
        <v>0</v>
      </c>
      <c r="BC230">
        <f>DC!BC107</f>
        <v>0</v>
      </c>
      <c r="BD230">
        <f>DC!BD107</f>
        <v>0</v>
      </c>
      <c r="BE230">
        <f>DC!BE107</f>
        <v>0</v>
      </c>
      <c r="BF230">
        <f>DC!BF107</f>
        <v>0</v>
      </c>
      <c r="BG230">
        <f>DC!BG107</f>
        <v>0</v>
      </c>
      <c r="BH230">
        <f>DC!BH107</f>
        <v>0</v>
      </c>
      <c r="BI230">
        <f>DC!BI107</f>
        <v>0</v>
      </c>
      <c r="BJ230">
        <f>DC!BJ107</f>
        <v>0</v>
      </c>
      <c r="BK230">
        <f>DC!BK107</f>
        <v>0</v>
      </c>
      <c r="BL230">
        <f>DC!BL107</f>
        <v>0</v>
      </c>
    </row>
    <row r="231" spans="1:64">
      <c r="A231">
        <f>DC!A108</f>
        <v>43</v>
      </c>
      <c r="B231" t="str">
        <f>DC!B108</f>
        <v>18:15-19:00</v>
      </c>
      <c r="C231">
        <f>DC!C108</f>
        <v>44</v>
      </c>
      <c r="D231" t="str">
        <f>DC!D108</f>
        <v>18:30-19:15</v>
      </c>
      <c r="E231">
        <f>DC!E108</f>
        <v>0</v>
      </c>
      <c r="F231">
        <f>DC!F108</f>
        <v>0</v>
      </c>
      <c r="G231">
        <f>DC!G108</f>
        <v>0</v>
      </c>
      <c r="H231">
        <f>DC!H108</f>
        <v>0</v>
      </c>
      <c r="I231">
        <f>DC!I108</f>
        <v>0</v>
      </c>
      <c r="J231">
        <f>DC!J108</f>
        <v>0</v>
      </c>
      <c r="K231">
        <f>DC!K108</f>
        <v>0</v>
      </c>
      <c r="L231">
        <f>DC!L108</f>
        <v>0</v>
      </c>
      <c r="M231">
        <f>DC!M108</f>
        <v>0</v>
      </c>
      <c r="N231">
        <f>DC!N108</f>
        <v>0</v>
      </c>
      <c r="O231">
        <f>DC!O108</f>
        <v>0</v>
      </c>
      <c r="P231">
        <f>DC!P108</f>
        <v>0</v>
      </c>
      <c r="Q231">
        <f>DC!Q108</f>
        <v>0</v>
      </c>
      <c r="R231">
        <f>DC!R108</f>
        <v>0</v>
      </c>
      <c r="S231">
        <f>DC!S108</f>
        <v>0</v>
      </c>
      <c r="T231">
        <f>DC!T108</f>
        <v>0</v>
      </c>
      <c r="U231">
        <f>DC!U108</f>
        <v>0</v>
      </c>
      <c r="V231">
        <f>DC!V108</f>
        <v>0</v>
      </c>
      <c r="W231">
        <f>DC!W108</f>
        <v>0</v>
      </c>
      <c r="X231">
        <f>DC!X108</f>
        <v>0</v>
      </c>
      <c r="Y231">
        <f>DC!Y108</f>
        <v>0</v>
      </c>
      <c r="Z231">
        <f>DC!Z108</f>
        <v>0</v>
      </c>
      <c r="AA231">
        <f>DC!AA108</f>
        <v>0</v>
      </c>
      <c r="AB231">
        <f>DC!AB108</f>
        <v>0</v>
      </c>
      <c r="AC231">
        <f>DC!AC108</f>
        <v>0</v>
      </c>
      <c r="AD231">
        <f>DC!AD108</f>
        <v>0</v>
      </c>
      <c r="AE231">
        <f>DC!AE108</f>
        <v>0</v>
      </c>
      <c r="AF231">
        <f>DC!AF108</f>
        <v>0</v>
      </c>
      <c r="AG231">
        <f>DC!AG108</f>
        <v>0</v>
      </c>
      <c r="AH231">
        <f>DC!AH108</f>
        <v>0</v>
      </c>
      <c r="AI231">
        <f>DC!AI108</f>
        <v>0</v>
      </c>
      <c r="AJ231">
        <f>DC!AJ108</f>
        <v>0</v>
      </c>
      <c r="AK231">
        <f>DC!AK108</f>
        <v>0</v>
      </c>
      <c r="AL231">
        <f>DC!AL108</f>
        <v>0</v>
      </c>
      <c r="AM231">
        <f>DC!AM108</f>
        <v>0</v>
      </c>
      <c r="AN231">
        <f>DC!AN108</f>
        <v>0</v>
      </c>
      <c r="AO231">
        <f>DC!AO108</f>
        <v>0</v>
      </c>
      <c r="AP231">
        <f>DC!AP108</f>
        <v>0</v>
      </c>
      <c r="AQ231">
        <f>DC!AQ108</f>
        <v>0</v>
      </c>
      <c r="AR231">
        <f>DC!AR108</f>
        <v>0</v>
      </c>
      <c r="AS231">
        <f>DC!AS108</f>
        <v>0</v>
      </c>
      <c r="AT231">
        <f>DC!AT108</f>
        <v>0</v>
      </c>
      <c r="AU231">
        <f>DC!AU108</f>
        <v>0</v>
      </c>
      <c r="AV231">
        <f>DC!AV108</f>
        <v>0</v>
      </c>
      <c r="AW231">
        <f>DC!AW108</f>
        <v>0</v>
      </c>
      <c r="AX231">
        <f>DC!AX108</f>
        <v>0</v>
      </c>
      <c r="AY231">
        <f>DC!AY108</f>
        <v>0</v>
      </c>
      <c r="AZ231">
        <f>DC!AZ108</f>
        <v>0</v>
      </c>
      <c r="BA231">
        <f>DC!BA108</f>
        <v>0</v>
      </c>
      <c r="BB231">
        <f>DC!BB108</f>
        <v>0</v>
      </c>
      <c r="BC231">
        <f>DC!BC108</f>
        <v>0</v>
      </c>
      <c r="BD231">
        <f>DC!BD108</f>
        <v>0</v>
      </c>
      <c r="BE231">
        <f>DC!BE108</f>
        <v>0</v>
      </c>
      <c r="BF231">
        <f>DC!BF108</f>
        <v>0</v>
      </c>
      <c r="BG231">
        <f>DC!BG108</f>
        <v>0</v>
      </c>
      <c r="BH231">
        <f>DC!BH108</f>
        <v>0</v>
      </c>
      <c r="BI231">
        <f>DC!BI108</f>
        <v>0</v>
      </c>
      <c r="BJ231">
        <f>DC!BJ108</f>
        <v>0</v>
      </c>
      <c r="BK231">
        <f>DC!BK108</f>
        <v>0</v>
      </c>
      <c r="BL231">
        <f>DC!BL108</f>
        <v>0</v>
      </c>
    </row>
    <row r="232" spans="1:64">
      <c r="A232">
        <f>DC!A109</f>
        <v>43</v>
      </c>
      <c r="B232" t="str">
        <f>DC!B109</f>
        <v>18:15-19:00</v>
      </c>
      <c r="C232">
        <f>DC!C109</f>
        <v>45</v>
      </c>
      <c r="D232" t="str">
        <f>DC!D109</f>
        <v>18:45-19:30</v>
      </c>
      <c r="E232">
        <f>DC!E109</f>
        <v>0</v>
      </c>
      <c r="F232">
        <f>DC!F109</f>
        <v>0</v>
      </c>
      <c r="G232">
        <f>DC!G109</f>
        <v>0</v>
      </c>
      <c r="H232">
        <f>DC!H109</f>
        <v>0</v>
      </c>
      <c r="I232">
        <f>DC!I109</f>
        <v>0</v>
      </c>
      <c r="J232">
        <f>DC!J109</f>
        <v>0</v>
      </c>
      <c r="K232">
        <f>DC!K109</f>
        <v>0</v>
      </c>
      <c r="L232">
        <f>DC!L109</f>
        <v>0</v>
      </c>
      <c r="M232">
        <f>DC!M109</f>
        <v>0</v>
      </c>
      <c r="N232">
        <f>DC!N109</f>
        <v>0</v>
      </c>
      <c r="O232">
        <f>DC!O109</f>
        <v>0</v>
      </c>
      <c r="P232">
        <f>DC!P109</f>
        <v>0</v>
      </c>
      <c r="Q232">
        <f>DC!Q109</f>
        <v>0</v>
      </c>
      <c r="R232">
        <f>DC!R109</f>
        <v>0</v>
      </c>
      <c r="S232">
        <f>DC!S109</f>
        <v>0</v>
      </c>
      <c r="T232">
        <f>DC!T109</f>
        <v>0</v>
      </c>
      <c r="U232">
        <f>DC!U109</f>
        <v>0</v>
      </c>
      <c r="V232">
        <f>DC!V109</f>
        <v>0</v>
      </c>
      <c r="W232">
        <f>DC!W109</f>
        <v>0</v>
      </c>
      <c r="X232">
        <f>DC!X109</f>
        <v>0</v>
      </c>
      <c r="Y232">
        <f>DC!Y109</f>
        <v>0</v>
      </c>
      <c r="Z232">
        <f>DC!Z109</f>
        <v>0</v>
      </c>
      <c r="AA232">
        <f>DC!AA109</f>
        <v>0</v>
      </c>
      <c r="AB232">
        <f>DC!AB109</f>
        <v>0</v>
      </c>
      <c r="AC232">
        <f>DC!AC109</f>
        <v>0</v>
      </c>
      <c r="AD232">
        <f>DC!AD109</f>
        <v>0</v>
      </c>
      <c r="AE232">
        <f>DC!AE109</f>
        <v>0</v>
      </c>
      <c r="AF232">
        <f>DC!AF109</f>
        <v>0</v>
      </c>
      <c r="AG232">
        <f>DC!AG109</f>
        <v>0</v>
      </c>
      <c r="AH232">
        <f>DC!AH109</f>
        <v>0</v>
      </c>
      <c r="AI232">
        <f>DC!AI109</f>
        <v>0</v>
      </c>
      <c r="AJ232">
        <f>DC!AJ109</f>
        <v>0</v>
      </c>
      <c r="AK232">
        <f>DC!AK109</f>
        <v>0</v>
      </c>
      <c r="AL232">
        <f>DC!AL109</f>
        <v>0</v>
      </c>
      <c r="AM232">
        <f>DC!AM109</f>
        <v>0</v>
      </c>
      <c r="AN232">
        <f>DC!AN109</f>
        <v>0</v>
      </c>
      <c r="AO232">
        <f>DC!AO109</f>
        <v>0</v>
      </c>
      <c r="AP232">
        <f>DC!AP109</f>
        <v>0</v>
      </c>
      <c r="AQ232">
        <f>DC!AQ109</f>
        <v>0</v>
      </c>
      <c r="AR232">
        <f>DC!AR109</f>
        <v>0</v>
      </c>
      <c r="AS232">
        <f>DC!AS109</f>
        <v>0</v>
      </c>
      <c r="AT232">
        <f>DC!AT109</f>
        <v>0</v>
      </c>
      <c r="AU232">
        <f>DC!AU109</f>
        <v>0</v>
      </c>
      <c r="AV232">
        <f>DC!AV109</f>
        <v>0</v>
      </c>
      <c r="AW232">
        <f>DC!AW109</f>
        <v>0</v>
      </c>
      <c r="AX232">
        <f>DC!AX109</f>
        <v>0</v>
      </c>
      <c r="AY232">
        <f>DC!AY109</f>
        <v>0</v>
      </c>
      <c r="AZ232">
        <f>DC!AZ109</f>
        <v>0</v>
      </c>
      <c r="BA232">
        <f>DC!BA109</f>
        <v>0</v>
      </c>
      <c r="BB232">
        <f>DC!BB109</f>
        <v>0</v>
      </c>
      <c r="BC232">
        <f>DC!BC109</f>
        <v>0</v>
      </c>
      <c r="BD232">
        <f>DC!BD109</f>
        <v>0</v>
      </c>
      <c r="BE232">
        <f>DC!BE109</f>
        <v>0</v>
      </c>
      <c r="BF232">
        <f>DC!BF109</f>
        <v>0</v>
      </c>
      <c r="BG232">
        <f>DC!BG109</f>
        <v>0</v>
      </c>
      <c r="BH232">
        <f>DC!BH109</f>
        <v>0</v>
      </c>
      <c r="BI232">
        <f>DC!BI109</f>
        <v>0</v>
      </c>
      <c r="BJ232">
        <f>DC!BJ109</f>
        <v>0</v>
      </c>
      <c r="BK232">
        <f>DC!BK109</f>
        <v>0</v>
      </c>
      <c r="BL232">
        <f>DC!BL109</f>
        <v>0</v>
      </c>
    </row>
    <row r="233" spans="1:64">
      <c r="A233">
        <f>DC!A110</f>
        <v>44</v>
      </c>
      <c r="B233" t="str">
        <f>DC!B110</f>
        <v>18:30-19:15</v>
      </c>
      <c r="C233">
        <f>DC!C110</f>
        <v>45</v>
      </c>
      <c r="D233" t="str">
        <f>DC!D110</f>
        <v>18:45-19:30</v>
      </c>
      <c r="E233">
        <f>DC!E110</f>
        <v>0</v>
      </c>
      <c r="F233">
        <f>DC!F110</f>
        <v>0</v>
      </c>
      <c r="G233">
        <f>DC!G110</f>
        <v>0</v>
      </c>
      <c r="H233">
        <f>DC!H110</f>
        <v>0</v>
      </c>
      <c r="I233">
        <f>DC!I110</f>
        <v>0</v>
      </c>
      <c r="J233">
        <f>DC!J110</f>
        <v>0</v>
      </c>
      <c r="K233">
        <f>DC!K110</f>
        <v>0</v>
      </c>
      <c r="L233">
        <f>DC!L110</f>
        <v>0</v>
      </c>
      <c r="M233">
        <f>DC!M110</f>
        <v>0</v>
      </c>
      <c r="N233">
        <f>DC!N110</f>
        <v>0</v>
      </c>
      <c r="O233">
        <f>DC!O110</f>
        <v>0</v>
      </c>
      <c r="P233">
        <f>DC!P110</f>
        <v>0</v>
      </c>
      <c r="Q233">
        <f>DC!Q110</f>
        <v>0</v>
      </c>
      <c r="R233">
        <f>DC!R110</f>
        <v>0</v>
      </c>
      <c r="S233">
        <f>DC!S110</f>
        <v>0</v>
      </c>
      <c r="T233">
        <f>DC!T110</f>
        <v>0</v>
      </c>
      <c r="U233">
        <f>DC!U110</f>
        <v>0</v>
      </c>
      <c r="V233">
        <f>DC!V110</f>
        <v>0</v>
      </c>
      <c r="W233">
        <f>DC!W110</f>
        <v>0</v>
      </c>
      <c r="X233">
        <f>DC!X110</f>
        <v>0</v>
      </c>
      <c r="Y233">
        <f>DC!Y110</f>
        <v>0</v>
      </c>
      <c r="Z233">
        <f>DC!Z110</f>
        <v>0</v>
      </c>
      <c r="AA233">
        <f>DC!AA110</f>
        <v>0</v>
      </c>
      <c r="AB233">
        <f>DC!AB110</f>
        <v>0</v>
      </c>
      <c r="AC233">
        <f>DC!AC110</f>
        <v>0</v>
      </c>
      <c r="AD233">
        <f>DC!AD110</f>
        <v>0</v>
      </c>
      <c r="AE233">
        <f>DC!AE110</f>
        <v>0</v>
      </c>
      <c r="AF233">
        <f>DC!AF110</f>
        <v>0</v>
      </c>
      <c r="AG233">
        <f>DC!AG110</f>
        <v>0</v>
      </c>
      <c r="AH233">
        <f>DC!AH110</f>
        <v>0</v>
      </c>
      <c r="AI233">
        <f>DC!AI110</f>
        <v>0</v>
      </c>
      <c r="AJ233">
        <f>DC!AJ110</f>
        <v>0</v>
      </c>
      <c r="AK233">
        <f>DC!AK110</f>
        <v>0</v>
      </c>
      <c r="AL233">
        <f>DC!AL110</f>
        <v>0</v>
      </c>
      <c r="AM233">
        <f>DC!AM110</f>
        <v>0</v>
      </c>
      <c r="AN233">
        <f>DC!AN110</f>
        <v>0</v>
      </c>
      <c r="AO233">
        <f>DC!AO110</f>
        <v>0</v>
      </c>
      <c r="AP233">
        <f>DC!AP110</f>
        <v>0</v>
      </c>
      <c r="AQ233">
        <f>DC!AQ110</f>
        <v>0</v>
      </c>
      <c r="AR233">
        <f>DC!AR110</f>
        <v>0</v>
      </c>
      <c r="AS233">
        <f>DC!AS110</f>
        <v>0</v>
      </c>
      <c r="AT233">
        <f>DC!AT110</f>
        <v>0</v>
      </c>
      <c r="AU233">
        <f>DC!AU110</f>
        <v>0</v>
      </c>
      <c r="AV233">
        <f>DC!AV110</f>
        <v>0</v>
      </c>
      <c r="AW233">
        <f>DC!AW110</f>
        <v>0</v>
      </c>
      <c r="AX233">
        <f>DC!AX110</f>
        <v>0</v>
      </c>
      <c r="AY233">
        <f>DC!AY110</f>
        <v>0</v>
      </c>
      <c r="AZ233">
        <f>DC!AZ110</f>
        <v>0</v>
      </c>
      <c r="BA233">
        <f>DC!BA110</f>
        <v>0</v>
      </c>
      <c r="BB233">
        <f>DC!BB110</f>
        <v>0</v>
      </c>
      <c r="BC233">
        <f>DC!BC110</f>
        <v>0</v>
      </c>
      <c r="BD233">
        <f>DC!BD110</f>
        <v>0</v>
      </c>
      <c r="BE233">
        <f>DC!BE110</f>
        <v>0</v>
      </c>
      <c r="BF233">
        <f>DC!BF110</f>
        <v>0</v>
      </c>
      <c r="BG233">
        <f>DC!BG110</f>
        <v>0</v>
      </c>
      <c r="BH233">
        <f>DC!BH110</f>
        <v>0</v>
      </c>
      <c r="BI233">
        <f>DC!BI110</f>
        <v>0</v>
      </c>
      <c r="BJ233">
        <f>DC!BJ110</f>
        <v>0</v>
      </c>
      <c r="BK233">
        <f>DC!BK110</f>
        <v>0</v>
      </c>
      <c r="BL233">
        <f>DC!BL110</f>
        <v>0</v>
      </c>
    </row>
    <row r="234" spans="1:64">
      <c r="A234">
        <f>DC!A111</f>
        <v>44</v>
      </c>
      <c r="B234" t="str">
        <f>DC!B111</f>
        <v>18:30-19:15</v>
      </c>
      <c r="C234">
        <f>DC!C111</f>
        <v>46</v>
      </c>
      <c r="D234" t="str">
        <f>DC!D111</f>
        <v>19:00-20:00</v>
      </c>
      <c r="E234">
        <f>DC!E111</f>
        <v>0</v>
      </c>
      <c r="F234">
        <f>DC!F111</f>
        <v>0</v>
      </c>
      <c r="G234">
        <f>DC!G111</f>
        <v>0</v>
      </c>
      <c r="H234">
        <f>DC!H111</f>
        <v>0</v>
      </c>
      <c r="I234">
        <f>DC!I111</f>
        <v>0</v>
      </c>
      <c r="J234">
        <f>DC!J111</f>
        <v>0</v>
      </c>
      <c r="K234">
        <f>DC!K111</f>
        <v>0</v>
      </c>
      <c r="L234">
        <f>DC!L111</f>
        <v>0</v>
      </c>
      <c r="M234">
        <f>DC!M111</f>
        <v>0</v>
      </c>
      <c r="N234">
        <f>DC!N111</f>
        <v>0</v>
      </c>
      <c r="O234">
        <f>DC!O111</f>
        <v>0</v>
      </c>
      <c r="P234">
        <f>DC!P111</f>
        <v>0</v>
      </c>
      <c r="Q234">
        <f>DC!Q111</f>
        <v>0</v>
      </c>
      <c r="R234">
        <f>DC!R111</f>
        <v>0</v>
      </c>
      <c r="S234">
        <f>DC!S111</f>
        <v>0</v>
      </c>
      <c r="T234">
        <f>DC!T111</f>
        <v>0</v>
      </c>
      <c r="U234">
        <f>DC!U111</f>
        <v>0</v>
      </c>
      <c r="V234">
        <f>DC!V111</f>
        <v>0</v>
      </c>
      <c r="W234">
        <f>DC!W111</f>
        <v>0</v>
      </c>
      <c r="X234">
        <f>DC!X111</f>
        <v>0</v>
      </c>
      <c r="Y234">
        <f>DC!Y111</f>
        <v>0</v>
      </c>
      <c r="Z234">
        <f>DC!Z111</f>
        <v>0</v>
      </c>
      <c r="AA234">
        <f>DC!AA111</f>
        <v>0</v>
      </c>
      <c r="AB234">
        <f>DC!AB111</f>
        <v>0</v>
      </c>
      <c r="AC234">
        <f>DC!AC111</f>
        <v>0</v>
      </c>
      <c r="AD234">
        <f>DC!AD111</f>
        <v>0</v>
      </c>
      <c r="AE234">
        <f>DC!AE111</f>
        <v>0</v>
      </c>
      <c r="AF234">
        <f>DC!AF111</f>
        <v>0</v>
      </c>
      <c r="AG234">
        <f>DC!AG111</f>
        <v>0</v>
      </c>
      <c r="AH234">
        <f>DC!AH111</f>
        <v>0</v>
      </c>
      <c r="AI234">
        <f>DC!AI111</f>
        <v>0</v>
      </c>
      <c r="AJ234">
        <f>DC!AJ111</f>
        <v>0</v>
      </c>
      <c r="AK234">
        <f>DC!AK111</f>
        <v>0</v>
      </c>
      <c r="AL234">
        <f>DC!AL111</f>
        <v>0</v>
      </c>
      <c r="AM234">
        <f>DC!AM111</f>
        <v>0</v>
      </c>
      <c r="AN234">
        <f>DC!AN111</f>
        <v>0</v>
      </c>
      <c r="AO234">
        <f>DC!AO111</f>
        <v>0</v>
      </c>
      <c r="AP234">
        <f>DC!AP111</f>
        <v>0</v>
      </c>
      <c r="AQ234">
        <f>DC!AQ111</f>
        <v>0</v>
      </c>
      <c r="AR234">
        <f>DC!AR111</f>
        <v>0</v>
      </c>
      <c r="AS234">
        <f>DC!AS111</f>
        <v>0</v>
      </c>
      <c r="AT234">
        <f>DC!AT111</f>
        <v>0</v>
      </c>
      <c r="AU234">
        <f>DC!AU111</f>
        <v>0</v>
      </c>
      <c r="AV234">
        <f>DC!AV111</f>
        <v>0</v>
      </c>
      <c r="AW234">
        <f>DC!AW111</f>
        <v>0</v>
      </c>
      <c r="AX234">
        <f>DC!AX111</f>
        <v>0</v>
      </c>
      <c r="AY234">
        <f>DC!AY111</f>
        <v>0</v>
      </c>
      <c r="AZ234">
        <f>DC!AZ111</f>
        <v>0</v>
      </c>
      <c r="BA234">
        <f>DC!BA111</f>
        <v>0</v>
      </c>
      <c r="BB234">
        <f>DC!BB111</f>
        <v>0</v>
      </c>
      <c r="BC234">
        <f>DC!BC111</f>
        <v>0</v>
      </c>
      <c r="BD234">
        <f>DC!BD111</f>
        <v>0</v>
      </c>
      <c r="BE234">
        <f>DC!BE111</f>
        <v>0</v>
      </c>
      <c r="BF234">
        <f>DC!BF111</f>
        <v>0</v>
      </c>
      <c r="BG234">
        <f>DC!BG111</f>
        <v>0</v>
      </c>
      <c r="BH234">
        <f>DC!BH111</f>
        <v>0</v>
      </c>
      <c r="BI234">
        <f>DC!BI111</f>
        <v>0</v>
      </c>
      <c r="BJ234">
        <f>DC!BJ111</f>
        <v>0</v>
      </c>
      <c r="BK234">
        <f>DC!BK111</f>
        <v>0</v>
      </c>
      <c r="BL234">
        <f>DC!BL111</f>
        <v>0</v>
      </c>
    </row>
    <row r="235" spans="1:64">
      <c r="A235">
        <f>DC!A112</f>
        <v>45</v>
      </c>
      <c r="B235" t="str">
        <f>DC!B112</f>
        <v>18:45-19:30</v>
      </c>
      <c r="C235">
        <f>DC!C112</f>
        <v>46</v>
      </c>
      <c r="D235" t="str">
        <f>DC!D112</f>
        <v>19:00-20:00</v>
      </c>
      <c r="E235">
        <f>DC!E112</f>
        <v>0</v>
      </c>
      <c r="F235">
        <f>DC!F112</f>
        <v>0</v>
      </c>
      <c r="G235">
        <f>DC!G112</f>
        <v>0</v>
      </c>
      <c r="H235">
        <f>DC!H112</f>
        <v>0</v>
      </c>
      <c r="I235">
        <f>DC!I112</f>
        <v>0</v>
      </c>
      <c r="J235">
        <f>DC!J112</f>
        <v>0</v>
      </c>
      <c r="K235">
        <f>DC!K112</f>
        <v>0</v>
      </c>
      <c r="L235">
        <f>DC!L112</f>
        <v>0</v>
      </c>
      <c r="M235">
        <f>DC!M112</f>
        <v>0</v>
      </c>
      <c r="N235">
        <f>DC!N112</f>
        <v>0</v>
      </c>
      <c r="O235">
        <f>DC!O112</f>
        <v>0</v>
      </c>
      <c r="P235">
        <f>DC!P112</f>
        <v>0</v>
      </c>
      <c r="Q235">
        <f>DC!Q112</f>
        <v>0</v>
      </c>
      <c r="R235">
        <f>DC!R112</f>
        <v>0</v>
      </c>
      <c r="S235">
        <f>DC!S112</f>
        <v>0</v>
      </c>
      <c r="T235">
        <f>DC!T112</f>
        <v>0</v>
      </c>
      <c r="U235">
        <f>DC!U112</f>
        <v>0</v>
      </c>
      <c r="V235">
        <f>DC!V112</f>
        <v>0</v>
      </c>
      <c r="W235">
        <f>DC!W112</f>
        <v>0</v>
      </c>
      <c r="X235">
        <f>DC!X112</f>
        <v>0</v>
      </c>
      <c r="Y235">
        <f>DC!Y112</f>
        <v>0</v>
      </c>
      <c r="Z235">
        <f>DC!Z112</f>
        <v>0</v>
      </c>
      <c r="AA235">
        <f>DC!AA112</f>
        <v>0</v>
      </c>
      <c r="AB235">
        <f>DC!AB112</f>
        <v>0</v>
      </c>
      <c r="AC235">
        <f>DC!AC112</f>
        <v>0</v>
      </c>
      <c r="AD235">
        <f>DC!AD112</f>
        <v>0</v>
      </c>
      <c r="AE235">
        <f>DC!AE112</f>
        <v>0</v>
      </c>
      <c r="AF235">
        <f>DC!AF112</f>
        <v>0</v>
      </c>
      <c r="AG235">
        <f>DC!AG112</f>
        <v>0</v>
      </c>
      <c r="AH235">
        <f>DC!AH112</f>
        <v>0</v>
      </c>
      <c r="AI235">
        <f>DC!AI112</f>
        <v>0</v>
      </c>
      <c r="AJ235">
        <f>DC!AJ112</f>
        <v>0</v>
      </c>
      <c r="AK235">
        <f>DC!AK112</f>
        <v>0</v>
      </c>
      <c r="AL235">
        <f>DC!AL112</f>
        <v>0</v>
      </c>
      <c r="AM235">
        <f>DC!AM112</f>
        <v>0</v>
      </c>
      <c r="AN235">
        <f>DC!AN112</f>
        <v>0</v>
      </c>
      <c r="AO235">
        <f>DC!AO112</f>
        <v>0</v>
      </c>
      <c r="AP235">
        <f>DC!AP112</f>
        <v>0</v>
      </c>
      <c r="AQ235">
        <f>DC!AQ112</f>
        <v>0</v>
      </c>
      <c r="AR235">
        <f>DC!AR112</f>
        <v>0</v>
      </c>
      <c r="AS235">
        <f>DC!AS112</f>
        <v>0</v>
      </c>
      <c r="AT235">
        <f>DC!AT112</f>
        <v>0</v>
      </c>
      <c r="AU235">
        <f>DC!AU112</f>
        <v>0</v>
      </c>
      <c r="AV235">
        <f>DC!AV112</f>
        <v>0</v>
      </c>
      <c r="AW235">
        <f>DC!AW112</f>
        <v>0</v>
      </c>
      <c r="AX235">
        <f>DC!AX112</f>
        <v>0</v>
      </c>
      <c r="AY235">
        <f>DC!AY112</f>
        <v>0</v>
      </c>
      <c r="AZ235">
        <f>DC!AZ112</f>
        <v>0</v>
      </c>
      <c r="BA235">
        <f>DC!BA112</f>
        <v>0</v>
      </c>
      <c r="BB235">
        <f>DC!BB112</f>
        <v>0</v>
      </c>
      <c r="BC235">
        <f>DC!BC112</f>
        <v>0</v>
      </c>
      <c r="BD235">
        <f>DC!BD112</f>
        <v>0</v>
      </c>
      <c r="BE235">
        <f>DC!BE112</f>
        <v>0</v>
      </c>
      <c r="BF235">
        <f>DC!BF112</f>
        <v>0</v>
      </c>
      <c r="BG235">
        <f>DC!BG112</f>
        <v>0</v>
      </c>
      <c r="BH235">
        <f>DC!BH112</f>
        <v>0</v>
      </c>
      <c r="BI235">
        <f>DC!BI112</f>
        <v>0</v>
      </c>
      <c r="BJ235">
        <f>DC!BJ112</f>
        <v>0</v>
      </c>
      <c r="BK235">
        <f>DC!BK112</f>
        <v>0</v>
      </c>
      <c r="BL235">
        <f>DC!BL112</f>
        <v>0</v>
      </c>
    </row>
    <row r="236" spans="1:64">
      <c r="A236">
        <f>DC!A113</f>
        <v>45</v>
      </c>
      <c r="B236" t="str">
        <f>DC!B113</f>
        <v>18:45-19:30</v>
      </c>
      <c r="C236">
        <f>DC!C113</f>
        <v>47</v>
      </c>
      <c r="D236" t="str">
        <f>DC!D113</f>
        <v>19:15-20:00</v>
      </c>
      <c r="E236">
        <f>DC!E113</f>
        <v>0</v>
      </c>
      <c r="F236">
        <f>DC!F113</f>
        <v>0</v>
      </c>
      <c r="G236">
        <f>DC!G113</f>
        <v>0</v>
      </c>
      <c r="H236">
        <f>DC!H113</f>
        <v>0</v>
      </c>
      <c r="I236">
        <f>DC!I113</f>
        <v>0</v>
      </c>
      <c r="J236">
        <f>DC!J113</f>
        <v>0</v>
      </c>
      <c r="K236">
        <f>DC!K113</f>
        <v>0</v>
      </c>
      <c r="L236">
        <f>DC!L113</f>
        <v>0</v>
      </c>
      <c r="M236">
        <f>DC!M113</f>
        <v>0</v>
      </c>
      <c r="N236">
        <f>DC!N113</f>
        <v>0</v>
      </c>
      <c r="O236">
        <f>DC!O113</f>
        <v>0</v>
      </c>
      <c r="P236">
        <f>DC!P113</f>
        <v>0</v>
      </c>
      <c r="Q236">
        <f>DC!Q113</f>
        <v>0</v>
      </c>
      <c r="R236">
        <f>DC!R113</f>
        <v>0</v>
      </c>
      <c r="S236">
        <f>DC!S113</f>
        <v>0</v>
      </c>
      <c r="T236">
        <f>DC!T113</f>
        <v>0</v>
      </c>
      <c r="U236">
        <f>DC!U113</f>
        <v>0</v>
      </c>
      <c r="V236">
        <f>DC!V113</f>
        <v>0</v>
      </c>
      <c r="W236">
        <f>DC!W113</f>
        <v>0</v>
      </c>
      <c r="X236">
        <f>DC!X113</f>
        <v>0</v>
      </c>
      <c r="Y236">
        <f>DC!Y113</f>
        <v>0</v>
      </c>
      <c r="Z236">
        <f>DC!Z113</f>
        <v>0</v>
      </c>
      <c r="AA236">
        <f>DC!AA113</f>
        <v>0</v>
      </c>
      <c r="AB236">
        <f>DC!AB113</f>
        <v>0</v>
      </c>
      <c r="AC236">
        <f>DC!AC113</f>
        <v>0</v>
      </c>
      <c r="AD236">
        <f>DC!AD113</f>
        <v>0</v>
      </c>
      <c r="AE236">
        <f>DC!AE113</f>
        <v>0</v>
      </c>
      <c r="AF236">
        <f>DC!AF113</f>
        <v>0</v>
      </c>
      <c r="AG236">
        <f>DC!AG113</f>
        <v>0</v>
      </c>
      <c r="AH236">
        <f>DC!AH113</f>
        <v>0</v>
      </c>
      <c r="AI236">
        <f>DC!AI113</f>
        <v>0</v>
      </c>
      <c r="AJ236">
        <f>DC!AJ113</f>
        <v>0</v>
      </c>
      <c r="AK236">
        <f>DC!AK113</f>
        <v>0</v>
      </c>
      <c r="AL236">
        <f>DC!AL113</f>
        <v>0</v>
      </c>
      <c r="AM236">
        <f>DC!AM113</f>
        <v>0</v>
      </c>
      <c r="AN236">
        <f>DC!AN113</f>
        <v>0</v>
      </c>
      <c r="AO236">
        <f>DC!AO113</f>
        <v>0</v>
      </c>
      <c r="AP236">
        <f>DC!AP113</f>
        <v>0</v>
      </c>
      <c r="AQ236">
        <f>DC!AQ113</f>
        <v>0</v>
      </c>
      <c r="AR236">
        <f>DC!AR113</f>
        <v>0</v>
      </c>
      <c r="AS236">
        <f>DC!AS113</f>
        <v>0</v>
      </c>
      <c r="AT236">
        <f>DC!AT113</f>
        <v>0</v>
      </c>
      <c r="AU236">
        <f>DC!AU113</f>
        <v>0</v>
      </c>
      <c r="AV236">
        <f>DC!AV113</f>
        <v>0</v>
      </c>
      <c r="AW236">
        <f>DC!AW113</f>
        <v>0</v>
      </c>
      <c r="AX236">
        <f>DC!AX113</f>
        <v>0</v>
      </c>
      <c r="AY236">
        <f>DC!AY113</f>
        <v>0</v>
      </c>
      <c r="AZ236">
        <f>DC!AZ113</f>
        <v>0</v>
      </c>
      <c r="BA236">
        <f>DC!BA113</f>
        <v>0</v>
      </c>
      <c r="BB236">
        <f>DC!BB113</f>
        <v>0</v>
      </c>
      <c r="BC236">
        <f>DC!BC113</f>
        <v>0</v>
      </c>
      <c r="BD236">
        <f>DC!BD113</f>
        <v>0</v>
      </c>
      <c r="BE236">
        <f>DC!BE113</f>
        <v>0</v>
      </c>
      <c r="BF236">
        <f>DC!BF113</f>
        <v>0</v>
      </c>
      <c r="BG236">
        <f>DC!BG113</f>
        <v>0</v>
      </c>
      <c r="BH236">
        <f>DC!BH113</f>
        <v>0</v>
      </c>
      <c r="BI236">
        <f>DC!BI113</f>
        <v>0</v>
      </c>
      <c r="BJ236">
        <f>DC!BJ113</f>
        <v>0</v>
      </c>
      <c r="BK236">
        <f>DC!BK113</f>
        <v>0</v>
      </c>
      <c r="BL236">
        <f>DC!BL113</f>
        <v>0</v>
      </c>
    </row>
    <row r="237" spans="1:64">
      <c r="A237">
        <f>DC!A114</f>
        <v>46</v>
      </c>
      <c r="B237" t="str">
        <f>DC!B114</f>
        <v>19:00-20:00</v>
      </c>
      <c r="C237">
        <f>DC!C114</f>
        <v>47</v>
      </c>
      <c r="D237" t="str">
        <f>DC!D114</f>
        <v>19:15-20:00</v>
      </c>
      <c r="E237">
        <f>DC!E114</f>
        <v>0</v>
      </c>
      <c r="F237">
        <f>DC!F114</f>
        <v>0</v>
      </c>
      <c r="G237">
        <f>DC!G114</f>
        <v>0</v>
      </c>
      <c r="H237">
        <f>DC!H114</f>
        <v>0</v>
      </c>
      <c r="I237">
        <f>DC!I114</f>
        <v>0</v>
      </c>
      <c r="J237">
        <f>DC!J114</f>
        <v>0</v>
      </c>
      <c r="K237">
        <f>DC!K114</f>
        <v>0</v>
      </c>
      <c r="L237">
        <f>DC!L114</f>
        <v>0</v>
      </c>
      <c r="M237">
        <f>DC!M114</f>
        <v>0</v>
      </c>
      <c r="N237">
        <f>DC!N114</f>
        <v>0</v>
      </c>
      <c r="O237">
        <f>DC!O114</f>
        <v>0</v>
      </c>
      <c r="P237">
        <f>DC!P114</f>
        <v>0</v>
      </c>
      <c r="Q237">
        <f>DC!Q114</f>
        <v>0</v>
      </c>
      <c r="R237">
        <f>DC!R114</f>
        <v>0</v>
      </c>
      <c r="S237">
        <f>DC!S114</f>
        <v>0</v>
      </c>
      <c r="T237">
        <f>DC!T114</f>
        <v>0</v>
      </c>
      <c r="U237">
        <f>DC!U114</f>
        <v>0</v>
      </c>
      <c r="V237">
        <f>DC!V114</f>
        <v>0</v>
      </c>
      <c r="W237">
        <f>DC!W114</f>
        <v>0</v>
      </c>
      <c r="X237">
        <f>DC!X114</f>
        <v>0</v>
      </c>
      <c r="Y237">
        <f>DC!Y114</f>
        <v>0</v>
      </c>
      <c r="Z237">
        <f>DC!Z114</f>
        <v>0</v>
      </c>
      <c r="AA237">
        <f>DC!AA114</f>
        <v>0</v>
      </c>
      <c r="AB237">
        <f>DC!AB114</f>
        <v>0</v>
      </c>
      <c r="AC237">
        <f>DC!AC114</f>
        <v>0</v>
      </c>
      <c r="AD237">
        <f>DC!AD114</f>
        <v>0</v>
      </c>
      <c r="AE237">
        <f>DC!AE114</f>
        <v>0</v>
      </c>
      <c r="AF237">
        <f>DC!AF114</f>
        <v>0</v>
      </c>
      <c r="AG237">
        <f>DC!AG114</f>
        <v>0</v>
      </c>
      <c r="AH237">
        <f>DC!AH114</f>
        <v>0</v>
      </c>
      <c r="AI237">
        <f>DC!AI114</f>
        <v>0</v>
      </c>
      <c r="AJ237">
        <f>DC!AJ114</f>
        <v>0</v>
      </c>
      <c r="AK237">
        <f>DC!AK114</f>
        <v>0</v>
      </c>
      <c r="AL237">
        <f>DC!AL114</f>
        <v>0</v>
      </c>
      <c r="AM237">
        <f>DC!AM114</f>
        <v>0</v>
      </c>
      <c r="AN237">
        <f>DC!AN114</f>
        <v>0</v>
      </c>
      <c r="AO237">
        <f>DC!AO114</f>
        <v>0</v>
      </c>
      <c r="AP237">
        <f>DC!AP114</f>
        <v>0</v>
      </c>
      <c r="AQ237">
        <f>DC!AQ114</f>
        <v>0</v>
      </c>
      <c r="AR237">
        <f>DC!AR114</f>
        <v>0</v>
      </c>
      <c r="AS237">
        <f>DC!AS114</f>
        <v>0</v>
      </c>
      <c r="AT237">
        <f>DC!AT114</f>
        <v>0</v>
      </c>
      <c r="AU237">
        <f>DC!AU114</f>
        <v>0</v>
      </c>
      <c r="AV237">
        <f>DC!AV114</f>
        <v>0</v>
      </c>
      <c r="AW237">
        <f>DC!AW114</f>
        <v>0</v>
      </c>
      <c r="AX237">
        <f>DC!AX114</f>
        <v>0</v>
      </c>
      <c r="AY237">
        <f>DC!AY114</f>
        <v>0</v>
      </c>
      <c r="AZ237">
        <f>DC!AZ114</f>
        <v>0</v>
      </c>
      <c r="BA237">
        <f>DC!BA114</f>
        <v>0</v>
      </c>
      <c r="BB237">
        <f>DC!BB114</f>
        <v>0</v>
      </c>
      <c r="BC237">
        <f>DC!BC114</f>
        <v>0</v>
      </c>
      <c r="BD237">
        <f>DC!BD114</f>
        <v>0</v>
      </c>
      <c r="BE237">
        <f>DC!BE114</f>
        <v>0</v>
      </c>
      <c r="BF237">
        <f>DC!BF114</f>
        <v>0</v>
      </c>
      <c r="BG237">
        <f>DC!BG114</f>
        <v>0</v>
      </c>
      <c r="BH237">
        <f>DC!BH114</f>
        <v>0</v>
      </c>
      <c r="BI237">
        <f>DC!BI114</f>
        <v>0</v>
      </c>
      <c r="BJ237">
        <f>DC!BJ114</f>
        <v>0</v>
      </c>
      <c r="BK237">
        <f>DC!BK114</f>
        <v>0</v>
      </c>
      <c r="BL237">
        <f>DC!BL114</f>
        <v>0</v>
      </c>
    </row>
    <row r="238" spans="1:64">
      <c r="A238">
        <f>DC!A115</f>
        <v>46</v>
      </c>
      <c r="B238" t="str">
        <f>DC!B115</f>
        <v>19:00-20:00</v>
      </c>
      <c r="C238">
        <f>DC!C115</f>
        <v>48</v>
      </c>
      <c r="D238" t="str">
        <f>DC!D115</f>
        <v>19:30-20:15</v>
      </c>
      <c r="E238">
        <f>DC!E115</f>
        <v>0</v>
      </c>
      <c r="F238">
        <f>DC!F115</f>
        <v>0</v>
      </c>
      <c r="G238">
        <f>DC!G115</f>
        <v>0</v>
      </c>
      <c r="H238">
        <f>DC!H115</f>
        <v>0</v>
      </c>
      <c r="I238">
        <f>DC!I115</f>
        <v>0</v>
      </c>
      <c r="J238">
        <f>DC!J115</f>
        <v>0</v>
      </c>
      <c r="K238">
        <f>DC!K115</f>
        <v>0</v>
      </c>
      <c r="L238">
        <f>DC!L115</f>
        <v>0</v>
      </c>
      <c r="M238">
        <f>DC!M115</f>
        <v>0</v>
      </c>
      <c r="N238">
        <f>DC!N115</f>
        <v>0</v>
      </c>
      <c r="O238">
        <f>DC!O115</f>
        <v>0</v>
      </c>
      <c r="P238">
        <f>DC!P115</f>
        <v>0</v>
      </c>
      <c r="Q238">
        <f>DC!Q115</f>
        <v>0</v>
      </c>
      <c r="R238">
        <f>DC!R115</f>
        <v>0</v>
      </c>
      <c r="S238">
        <f>DC!S115</f>
        <v>0</v>
      </c>
      <c r="T238">
        <f>DC!T115</f>
        <v>0</v>
      </c>
      <c r="U238">
        <f>DC!U115</f>
        <v>0</v>
      </c>
      <c r="V238">
        <f>DC!V115</f>
        <v>0</v>
      </c>
      <c r="W238">
        <f>DC!W115</f>
        <v>0</v>
      </c>
      <c r="X238">
        <f>DC!X115</f>
        <v>0</v>
      </c>
      <c r="Y238">
        <f>DC!Y115</f>
        <v>0</v>
      </c>
      <c r="Z238">
        <f>DC!Z115</f>
        <v>0</v>
      </c>
      <c r="AA238">
        <f>DC!AA115</f>
        <v>0</v>
      </c>
      <c r="AB238">
        <f>DC!AB115</f>
        <v>0</v>
      </c>
      <c r="AC238">
        <f>DC!AC115</f>
        <v>0</v>
      </c>
      <c r="AD238">
        <f>DC!AD115</f>
        <v>0</v>
      </c>
      <c r="AE238">
        <f>DC!AE115</f>
        <v>0</v>
      </c>
      <c r="AF238">
        <f>DC!AF115</f>
        <v>0</v>
      </c>
      <c r="AG238">
        <f>DC!AG115</f>
        <v>0</v>
      </c>
      <c r="AH238">
        <f>DC!AH115</f>
        <v>0</v>
      </c>
      <c r="AI238">
        <f>DC!AI115</f>
        <v>0</v>
      </c>
      <c r="AJ238">
        <f>DC!AJ115</f>
        <v>0</v>
      </c>
      <c r="AK238">
        <f>DC!AK115</f>
        <v>0</v>
      </c>
      <c r="AL238">
        <f>DC!AL115</f>
        <v>0</v>
      </c>
      <c r="AM238">
        <f>DC!AM115</f>
        <v>0</v>
      </c>
      <c r="AN238">
        <f>DC!AN115</f>
        <v>0</v>
      </c>
      <c r="AO238">
        <f>DC!AO115</f>
        <v>0</v>
      </c>
      <c r="AP238">
        <f>DC!AP115</f>
        <v>0</v>
      </c>
      <c r="AQ238">
        <f>DC!AQ115</f>
        <v>0</v>
      </c>
      <c r="AR238">
        <f>DC!AR115</f>
        <v>0</v>
      </c>
      <c r="AS238">
        <f>DC!AS115</f>
        <v>0</v>
      </c>
      <c r="AT238">
        <f>DC!AT115</f>
        <v>0</v>
      </c>
      <c r="AU238">
        <f>DC!AU115</f>
        <v>0</v>
      </c>
      <c r="AV238">
        <f>DC!AV115</f>
        <v>0</v>
      </c>
      <c r="AW238">
        <f>DC!AW115</f>
        <v>0</v>
      </c>
      <c r="AX238">
        <f>DC!AX115</f>
        <v>0</v>
      </c>
      <c r="AY238">
        <f>DC!AY115</f>
        <v>0</v>
      </c>
      <c r="AZ238">
        <f>DC!AZ115</f>
        <v>0</v>
      </c>
      <c r="BA238">
        <f>DC!BA115</f>
        <v>0</v>
      </c>
      <c r="BB238">
        <f>DC!BB115</f>
        <v>0</v>
      </c>
      <c r="BC238">
        <f>DC!BC115</f>
        <v>0</v>
      </c>
      <c r="BD238">
        <f>DC!BD115</f>
        <v>0</v>
      </c>
      <c r="BE238">
        <f>DC!BE115</f>
        <v>0</v>
      </c>
      <c r="BF238">
        <f>DC!BF115</f>
        <v>0</v>
      </c>
      <c r="BG238">
        <f>DC!BG115</f>
        <v>0</v>
      </c>
      <c r="BH238">
        <f>DC!BH115</f>
        <v>0</v>
      </c>
      <c r="BI238">
        <f>DC!BI115</f>
        <v>0</v>
      </c>
      <c r="BJ238">
        <f>DC!BJ115</f>
        <v>0</v>
      </c>
      <c r="BK238">
        <f>DC!BK115</f>
        <v>0</v>
      </c>
      <c r="BL238">
        <f>DC!BL115</f>
        <v>0</v>
      </c>
    </row>
    <row r="239" spans="1:64">
      <c r="A239">
        <f>DC!A116</f>
        <v>46</v>
      </c>
      <c r="B239" t="str">
        <f>DC!B116</f>
        <v>19:00-20:00</v>
      </c>
      <c r="C239">
        <f>DC!C116</f>
        <v>49</v>
      </c>
      <c r="D239" t="str">
        <f>DC!D116</f>
        <v>19:45-20:30</v>
      </c>
      <c r="E239">
        <f>DC!E116</f>
        <v>0</v>
      </c>
      <c r="F239">
        <f>DC!F116</f>
        <v>0</v>
      </c>
      <c r="G239">
        <f>DC!G116</f>
        <v>0</v>
      </c>
      <c r="H239">
        <f>DC!H116</f>
        <v>0</v>
      </c>
      <c r="I239">
        <f>DC!I116</f>
        <v>0</v>
      </c>
      <c r="J239">
        <f>DC!J116</f>
        <v>0</v>
      </c>
      <c r="K239">
        <f>DC!K116</f>
        <v>0</v>
      </c>
      <c r="L239">
        <f>DC!L116</f>
        <v>0</v>
      </c>
      <c r="M239">
        <f>DC!M116</f>
        <v>0</v>
      </c>
      <c r="N239">
        <f>DC!N116</f>
        <v>0</v>
      </c>
      <c r="O239">
        <f>DC!O116</f>
        <v>0</v>
      </c>
      <c r="P239">
        <f>DC!P116</f>
        <v>0</v>
      </c>
      <c r="Q239">
        <f>DC!Q116</f>
        <v>0</v>
      </c>
      <c r="R239">
        <f>DC!R116</f>
        <v>0</v>
      </c>
      <c r="S239">
        <f>DC!S116</f>
        <v>0</v>
      </c>
      <c r="T239">
        <f>DC!T116</f>
        <v>0</v>
      </c>
      <c r="U239">
        <f>DC!U116</f>
        <v>0</v>
      </c>
      <c r="V239">
        <f>DC!V116</f>
        <v>0</v>
      </c>
      <c r="W239">
        <f>DC!W116</f>
        <v>0</v>
      </c>
      <c r="X239">
        <f>DC!X116</f>
        <v>0</v>
      </c>
      <c r="Y239">
        <f>DC!Y116</f>
        <v>0</v>
      </c>
      <c r="Z239">
        <f>DC!Z116</f>
        <v>0</v>
      </c>
      <c r="AA239">
        <f>DC!AA116</f>
        <v>0</v>
      </c>
      <c r="AB239">
        <f>DC!AB116</f>
        <v>0</v>
      </c>
      <c r="AC239">
        <f>DC!AC116</f>
        <v>0</v>
      </c>
      <c r="AD239">
        <f>DC!AD116</f>
        <v>0</v>
      </c>
      <c r="AE239">
        <f>DC!AE116</f>
        <v>0</v>
      </c>
      <c r="AF239">
        <f>DC!AF116</f>
        <v>0</v>
      </c>
      <c r="AG239">
        <f>DC!AG116</f>
        <v>0</v>
      </c>
      <c r="AH239">
        <f>DC!AH116</f>
        <v>0</v>
      </c>
      <c r="AI239">
        <f>DC!AI116</f>
        <v>0</v>
      </c>
      <c r="AJ239">
        <f>DC!AJ116</f>
        <v>0</v>
      </c>
      <c r="AK239">
        <f>DC!AK116</f>
        <v>0</v>
      </c>
      <c r="AL239">
        <f>DC!AL116</f>
        <v>0</v>
      </c>
      <c r="AM239">
        <f>DC!AM116</f>
        <v>0</v>
      </c>
      <c r="AN239">
        <f>DC!AN116</f>
        <v>0</v>
      </c>
      <c r="AO239">
        <f>DC!AO116</f>
        <v>0</v>
      </c>
      <c r="AP239">
        <f>DC!AP116</f>
        <v>0</v>
      </c>
      <c r="AQ239">
        <f>DC!AQ116</f>
        <v>0</v>
      </c>
      <c r="AR239">
        <f>DC!AR116</f>
        <v>0</v>
      </c>
      <c r="AS239">
        <f>DC!AS116</f>
        <v>0</v>
      </c>
      <c r="AT239">
        <f>DC!AT116</f>
        <v>0</v>
      </c>
      <c r="AU239">
        <f>DC!AU116</f>
        <v>0</v>
      </c>
      <c r="AV239">
        <f>DC!AV116</f>
        <v>0</v>
      </c>
      <c r="AW239">
        <f>DC!AW116</f>
        <v>0</v>
      </c>
      <c r="AX239">
        <f>DC!AX116</f>
        <v>0</v>
      </c>
      <c r="AY239">
        <f>DC!AY116</f>
        <v>0</v>
      </c>
      <c r="AZ239">
        <f>DC!AZ116</f>
        <v>0</v>
      </c>
      <c r="BA239">
        <f>DC!BA116</f>
        <v>0</v>
      </c>
      <c r="BB239">
        <f>DC!BB116</f>
        <v>0</v>
      </c>
      <c r="BC239">
        <f>DC!BC116</f>
        <v>0</v>
      </c>
      <c r="BD239">
        <f>DC!BD116</f>
        <v>0</v>
      </c>
      <c r="BE239">
        <f>DC!BE116</f>
        <v>0</v>
      </c>
      <c r="BF239">
        <f>DC!BF116</f>
        <v>0</v>
      </c>
      <c r="BG239">
        <f>DC!BG116</f>
        <v>0</v>
      </c>
      <c r="BH239">
        <f>DC!BH116</f>
        <v>0</v>
      </c>
      <c r="BI239">
        <f>DC!BI116</f>
        <v>0</v>
      </c>
      <c r="BJ239">
        <f>DC!BJ116</f>
        <v>0</v>
      </c>
      <c r="BK239">
        <f>DC!BK116</f>
        <v>0</v>
      </c>
      <c r="BL239">
        <f>DC!BL116</f>
        <v>0</v>
      </c>
    </row>
    <row r="240" spans="1:64">
      <c r="A240">
        <f>DC!A117</f>
        <v>47</v>
      </c>
      <c r="B240" t="str">
        <f>DC!B117</f>
        <v>19:15-20:00</v>
      </c>
      <c r="C240">
        <f>DC!C117</f>
        <v>48</v>
      </c>
      <c r="D240" t="str">
        <f>DC!D117</f>
        <v>19:30-20:15</v>
      </c>
      <c r="E240">
        <f>DC!E117</f>
        <v>0</v>
      </c>
      <c r="F240">
        <f>DC!F117</f>
        <v>0</v>
      </c>
      <c r="G240">
        <f>DC!G117</f>
        <v>0</v>
      </c>
      <c r="H240">
        <f>DC!H117</f>
        <v>0</v>
      </c>
      <c r="I240">
        <f>DC!I117</f>
        <v>0</v>
      </c>
      <c r="J240">
        <f>DC!J117</f>
        <v>0</v>
      </c>
      <c r="K240">
        <f>DC!K117</f>
        <v>0</v>
      </c>
      <c r="L240">
        <f>DC!L117</f>
        <v>0</v>
      </c>
      <c r="M240">
        <f>DC!M117</f>
        <v>0</v>
      </c>
      <c r="N240">
        <f>DC!N117</f>
        <v>0</v>
      </c>
      <c r="O240">
        <f>DC!O117</f>
        <v>0</v>
      </c>
      <c r="P240">
        <f>DC!P117</f>
        <v>0</v>
      </c>
      <c r="Q240">
        <f>DC!Q117</f>
        <v>0</v>
      </c>
      <c r="R240">
        <f>DC!R117</f>
        <v>0</v>
      </c>
      <c r="S240">
        <f>DC!S117</f>
        <v>0</v>
      </c>
      <c r="T240">
        <f>DC!T117</f>
        <v>0</v>
      </c>
      <c r="U240">
        <f>DC!U117</f>
        <v>0</v>
      </c>
      <c r="V240">
        <f>DC!V117</f>
        <v>0</v>
      </c>
      <c r="W240">
        <f>DC!W117</f>
        <v>0</v>
      </c>
      <c r="X240">
        <f>DC!X117</f>
        <v>0</v>
      </c>
      <c r="Y240">
        <f>DC!Y117</f>
        <v>0</v>
      </c>
      <c r="Z240">
        <f>DC!Z117</f>
        <v>0</v>
      </c>
      <c r="AA240">
        <f>DC!AA117</f>
        <v>0</v>
      </c>
      <c r="AB240">
        <f>DC!AB117</f>
        <v>0</v>
      </c>
      <c r="AC240">
        <f>DC!AC117</f>
        <v>0</v>
      </c>
      <c r="AD240">
        <f>DC!AD117</f>
        <v>0</v>
      </c>
      <c r="AE240">
        <f>DC!AE117</f>
        <v>0</v>
      </c>
      <c r="AF240">
        <f>DC!AF117</f>
        <v>0</v>
      </c>
      <c r="AG240">
        <f>DC!AG117</f>
        <v>0</v>
      </c>
      <c r="AH240">
        <f>DC!AH117</f>
        <v>0</v>
      </c>
      <c r="AI240">
        <f>DC!AI117</f>
        <v>0</v>
      </c>
      <c r="AJ240">
        <f>DC!AJ117</f>
        <v>0</v>
      </c>
      <c r="AK240">
        <f>DC!AK117</f>
        <v>0</v>
      </c>
      <c r="AL240">
        <f>DC!AL117</f>
        <v>0</v>
      </c>
      <c r="AM240">
        <f>DC!AM117</f>
        <v>0</v>
      </c>
      <c r="AN240">
        <f>DC!AN117</f>
        <v>0</v>
      </c>
      <c r="AO240">
        <f>DC!AO117</f>
        <v>0</v>
      </c>
      <c r="AP240">
        <f>DC!AP117</f>
        <v>0</v>
      </c>
      <c r="AQ240">
        <f>DC!AQ117</f>
        <v>0</v>
      </c>
      <c r="AR240">
        <f>DC!AR117</f>
        <v>0</v>
      </c>
      <c r="AS240">
        <f>DC!AS117</f>
        <v>0</v>
      </c>
      <c r="AT240">
        <f>DC!AT117</f>
        <v>0</v>
      </c>
      <c r="AU240">
        <f>DC!AU117</f>
        <v>0</v>
      </c>
      <c r="AV240">
        <f>DC!AV117</f>
        <v>0</v>
      </c>
      <c r="AW240">
        <f>DC!AW117</f>
        <v>0</v>
      </c>
      <c r="AX240">
        <f>DC!AX117</f>
        <v>0</v>
      </c>
      <c r="AY240">
        <f>DC!AY117</f>
        <v>0</v>
      </c>
      <c r="AZ240">
        <f>DC!AZ117</f>
        <v>0</v>
      </c>
      <c r="BA240">
        <f>DC!BA117</f>
        <v>0</v>
      </c>
      <c r="BB240">
        <f>DC!BB117</f>
        <v>0</v>
      </c>
      <c r="BC240">
        <f>DC!BC117</f>
        <v>0</v>
      </c>
      <c r="BD240">
        <f>DC!BD117</f>
        <v>0</v>
      </c>
      <c r="BE240">
        <f>DC!BE117</f>
        <v>0</v>
      </c>
      <c r="BF240">
        <f>DC!BF117</f>
        <v>0</v>
      </c>
      <c r="BG240">
        <f>DC!BG117</f>
        <v>0</v>
      </c>
      <c r="BH240">
        <f>DC!BH117</f>
        <v>0</v>
      </c>
      <c r="BI240">
        <f>DC!BI117</f>
        <v>0</v>
      </c>
      <c r="BJ240">
        <f>DC!BJ117</f>
        <v>0</v>
      </c>
      <c r="BK240">
        <f>DC!BK117</f>
        <v>0</v>
      </c>
      <c r="BL240">
        <f>DC!BL117</f>
        <v>0</v>
      </c>
    </row>
    <row r="241" spans="1:64">
      <c r="A241">
        <f>DC!A118</f>
        <v>47</v>
      </c>
      <c r="B241" t="str">
        <f>DC!B118</f>
        <v>19:15-20:00</v>
      </c>
      <c r="C241">
        <f>DC!C118</f>
        <v>49</v>
      </c>
      <c r="D241" t="str">
        <f>DC!D118</f>
        <v>19:45-20:30</v>
      </c>
      <c r="E241">
        <f>DC!E118</f>
        <v>0</v>
      </c>
      <c r="F241">
        <f>DC!F118</f>
        <v>0</v>
      </c>
      <c r="G241">
        <f>DC!G118</f>
        <v>0</v>
      </c>
      <c r="H241">
        <f>DC!H118</f>
        <v>0</v>
      </c>
      <c r="I241">
        <f>DC!I118</f>
        <v>0</v>
      </c>
      <c r="J241">
        <f>DC!J118</f>
        <v>0</v>
      </c>
      <c r="K241">
        <f>DC!K118</f>
        <v>0</v>
      </c>
      <c r="L241">
        <f>DC!L118</f>
        <v>0</v>
      </c>
      <c r="M241">
        <f>DC!M118</f>
        <v>0</v>
      </c>
      <c r="N241">
        <f>DC!N118</f>
        <v>0</v>
      </c>
      <c r="O241">
        <f>DC!O118</f>
        <v>0</v>
      </c>
      <c r="P241">
        <f>DC!P118</f>
        <v>0</v>
      </c>
      <c r="Q241">
        <f>DC!Q118</f>
        <v>0</v>
      </c>
      <c r="R241">
        <f>DC!R118</f>
        <v>0</v>
      </c>
      <c r="S241">
        <f>DC!S118</f>
        <v>0</v>
      </c>
      <c r="T241">
        <f>DC!T118</f>
        <v>0</v>
      </c>
      <c r="U241">
        <f>DC!U118</f>
        <v>0</v>
      </c>
      <c r="V241">
        <f>DC!V118</f>
        <v>0</v>
      </c>
      <c r="W241">
        <f>DC!W118</f>
        <v>0</v>
      </c>
      <c r="X241">
        <f>DC!X118</f>
        <v>0</v>
      </c>
      <c r="Y241">
        <f>DC!Y118</f>
        <v>0</v>
      </c>
      <c r="Z241">
        <f>DC!Z118</f>
        <v>0</v>
      </c>
      <c r="AA241">
        <f>DC!AA118</f>
        <v>0</v>
      </c>
      <c r="AB241">
        <f>DC!AB118</f>
        <v>0</v>
      </c>
      <c r="AC241">
        <f>DC!AC118</f>
        <v>0</v>
      </c>
      <c r="AD241">
        <f>DC!AD118</f>
        <v>0</v>
      </c>
      <c r="AE241">
        <f>DC!AE118</f>
        <v>0</v>
      </c>
      <c r="AF241">
        <f>DC!AF118</f>
        <v>0</v>
      </c>
      <c r="AG241">
        <f>DC!AG118</f>
        <v>0</v>
      </c>
      <c r="AH241">
        <f>DC!AH118</f>
        <v>0</v>
      </c>
      <c r="AI241">
        <f>DC!AI118</f>
        <v>0</v>
      </c>
      <c r="AJ241">
        <f>DC!AJ118</f>
        <v>0</v>
      </c>
      <c r="AK241">
        <f>DC!AK118</f>
        <v>0</v>
      </c>
      <c r="AL241">
        <f>DC!AL118</f>
        <v>0</v>
      </c>
      <c r="AM241">
        <f>DC!AM118</f>
        <v>0</v>
      </c>
      <c r="AN241">
        <f>DC!AN118</f>
        <v>0</v>
      </c>
      <c r="AO241">
        <f>DC!AO118</f>
        <v>0</v>
      </c>
      <c r="AP241">
        <f>DC!AP118</f>
        <v>0</v>
      </c>
      <c r="AQ241">
        <f>DC!AQ118</f>
        <v>0</v>
      </c>
      <c r="AR241">
        <f>DC!AR118</f>
        <v>0</v>
      </c>
      <c r="AS241">
        <f>DC!AS118</f>
        <v>0</v>
      </c>
      <c r="AT241">
        <f>DC!AT118</f>
        <v>0</v>
      </c>
      <c r="AU241">
        <f>DC!AU118</f>
        <v>0</v>
      </c>
      <c r="AV241">
        <f>DC!AV118</f>
        <v>0</v>
      </c>
      <c r="AW241">
        <f>DC!AW118</f>
        <v>0</v>
      </c>
      <c r="AX241">
        <f>DC!AX118</f>
        <v>0</v>
      </c>
      <c r="AY241">
        <f>DC!AY118</f>
        <v>0</v>
      </c>
      <c r="AZ241">
        <f>DC!AZ118</f>
        <v>0</v>
      </c>
      <c r="BA241">
        <f>DC!BA118</f>
        <v>0</v>
      </c>
      <c r="BB241">
        <f>DC!BB118</f>
        <v>0</v>
      </c>
      <c r="BC241">
        <f>DC!BC118</f>
        <v>0</v>
      </c>
      <c r="BD241">
        <f>DC!BD118</f>
        <v>0</v>
      </c>
      <c r="BE241">
        <f>DC!BE118</f>
        <v>0</v>
      </c>
      <c r="BF241">
        <f>DC!BF118</f>
        <v>0</v>
      </c>
      <c r="BG241">
        <f>DC!BG118</f>
        <v>0</v>
      </c>
      <c r="BH241">
        <f>DC!BH118</f>
        <v>0</v>
      </c>
      <c r="BI241">
        <f>DC!BI118</f>
        <v>0</v>
      </c>
      <c r="BJ241">
        <f>DC!BJ118</f>
        <v>0</v>
      </c>
      <c r="BK241">
        <f>DC!BK118</f>
        <v>0</v>
      </c>
      <c r="BL241">
        <f>DC!BL118</f>
        <v>0</v>
      </c>
    </row>
    <row r="242" spans="1:64">
      <c r="A242">
        <f>DC!A119</f>
        <v>48</v>
      </c>
      <c r="B242" t="str">
        <f>DC!B119</f>
        <v>19:30-20:15</v>
      </c>
      <c r="C242">
        <f>DC!C119</f>
        <v>49</v>
      </c>
      <c r="D242" t="str">
        <f>DC!D119</f>
        <v>19:45-20:30</v>
      </c>
      <c r="E242">
        <f>DC!E119</f>
        <v>0</v>
      </c>
      <c r="F242">
        <f>DC!F119</f>
        <v>0</v>
      </c>
      <c r="G242">
        <f>DC!G119</f>
        <v>0</v>
      </c>
      <c r="H242">
        <f>DC!H119</f>
        <v>0</v>
      </c>
      <c r="I242">
        <f>DC!I119</f>
        <v>0</v>
      </c>
      <c r="J242">
        <f>DC!J119</f>
        <v>0</v>
      </c>
      <c r="K242">
        <f>DC!K119</f>
        <v>0</v>
      </c>
      <c r="L242">
        <f>DC!L119</f>
        <v>0</v>
      </c>
      <c r="M242">
        <f>DC!M119</f>
        <v>0</v>
      </c>
      <c r="N242">
        <f>DC!N119</f>
        <v>0</v>
      </c>
      <c r="O242">
        <f>DC!O119</f>
        <v>0</v>
      </c>
      <c r="P242">
        <f>DC!P119</f>
        <v>0</v>
      </c>
      <c r="Q242">
        <f>DC!Q119</f>
        <v>0</v>
      </c>
      <c r="R242">
        <f>DC!R119</f>
        <v>0</v>
      </c>
      <c r="S242">
        <f>DC!S119</f>
        <v>0</v>
      </c>
      <c r="T242">
        <f>DC!T119</f>
        <v>0</v>
      </c>
      <c r="U242">
        <f>DC!U119</f>
        <v>0</v>
      </c>
      <c r="V242">
        <f>DC!V119</f>
        <v>0</v>
      </c>
      <c r="W242">
        <f>DC!W119</f>
        <v>0</v>
      </c>
      <c r="X242">
        <f>DC!X119</f>
        <v>0</v>
      </c>
      <c r="Y242">
        <f>DC!Y119</f>
        <v>0</v>
      </c>
      <c r="Z242">
        <f>DC!Z119</f>
        <v>0</v>
      </c>
      <c r="AA242">
        <f>DC!AA119</f>
        <v>0</v>
      </c>
      <c r="AB242">
        <f>DC!AB119</f>
        <v>0</v>
      </c>
      <c r="AC242">
        <f>DC!AC119</f>
        <v>0</v>
      </c>
      <c r="AD242">
        <f>DC!AD119</f>
        <v>0</v>
      </c>
      <c r="AE242">
        <f>DC!AE119</f>
        <v>0</v>
      </c>
      <c r="AF242">
        <f>DC!AF119</f>
        <v>0</v>
      </c>
      <c r="AG242">
        <f>DC!AG119</f>
        <v>0</v>
      </c>
      <c r="AH242">
        <f>DC!AH119</f>
        <v>0</v>
      </c>
      <c r="AI242">
        <f>DC!AI119</f>
        <v>0</v>
      </c>
      <c r="AJ242">
        <f>DC!AJ119</f>
        <v>0</v>
      </c>
      <c r="AK242">
        <f>DC!AK119</f>
        <v>0</v>
      </c>
      <c r="AL242">
        <f>DC!AL119</f>
        <v>0</v>
      </c>
      <c r="AM242">
        <f>DC!AM119</f>
        <v>0</v>
      </c>
      <c r="AN242">
        <f>DC!AN119</f>
        <v>0</v>
      </c>
      <c r="AO242">
        <f>DC!AO119</f>
        <v>0</v>
      </c>
      <c r="AP242">
        <f>DC!AP119</f>
        <v>0</v>
      </c>
      <c r="AQ242">
        <f>DC!AQ119</f>
        <v>0</v>
      </c>
      <c r="AR242">
        <f>DC!AR119</f>
        <v>0</v>
      </c>
      <c r="AS242">
        <f>DC!AS119</f>
        <v>0</v>
      </c>
      <c r="AT242">
        <f>DC!AT119</f>
        <v>0</v>
      </c>
      <c r="AU242">
        <f>DC!AU119</f>
        <v>0</v>
      </c>
      <c r="AV242">
        <f>DC!AV119</f>
        <v>0</v>
      </c>
      <c r="AW242">
        <f>DC!AW119</f>
        <v>0</v>
      </c>
      <c r="AX242">
        <f>DC!AX119</f>
        <v>0</v>
      </c>
      <c r="AY242">
        <f>DC!AY119</f>
        <v>0</v>
      </c>
      <c r="AZ242">
        <f>DC!AZ119</f>
        <v>0</v>
      </c>
      <c r="BA242">
        <f>DC!BA119</f>
        <v>0</v>
      </c>
      <c r="BB242">
        <f>DC!BB119</f>
        <v>0</v>
      </c>
      <c r="BC242">
        <f>DC!BC119</f>
        <v>0</v>
      </c>
      <c r="BD242">
        <f>DC!BD119</f>
        <v>0</v>
      </c>
      <c r="BE242">
        <f>DC!BE119</f>
        <v>0</v>
      </c>
      <c r="BF242">
        <f>DC!BF119</f>
        <v>0</v>
      </c>
      <c r="BG242">
        <f>DC!BG119</f>
        <v>0</v>
      </c>
      <c r="BH242">
        <f>DC!BH119</f>
        <v>0</v>
      </c>
      <c r="BI242">
        <f>DC!BI119</f>
        <v>0</v>
      </c>
      <c r="BJ242">
        <f>DC!BJ119</f>
        <v>0</v>
      </c>
      <c r="BK242">
        <f>DC!BK119</f>
        <v>0</v>
      </c>
      <c r="BL242">
        <f>DC!BL119</f>
        <v>0</v>
      </c>
    </row>
    <row r="245" spans="1:64">
      <c r="A245" t="s">
        <v>174</v>
      </c>
    </row>
    <row r="246" spans="1:64">
      <c r="B246"/>
      <c r="C246"/>
      <c r="E246" t="str">
        <f>Audiences!E1</f>
        <v>Ограничение числа одновременных занятий</v>
      </c>
    </row>
    <row r="247" spans="1:64">
      <c r="B247"/>
      <c r="C247"/>
      <c r="E247" t="str">
        <f>Audiences!E2</f>
        <v>для всех аудиторий</v>
      </c>
    </row>
    <row r="248" spans="1:64">
      <c r="B248"/>
      <c r="C248"/>
      <c r="E248" t="str">
        <f>Audiences!E3</f>
        <v>кл-во аудиторий</v>
      </c>
      <c r="G248">
        <f>Audiences!G3</f>
        <v>5</v>
      </c>
    </row>
    <row r="249" spans="1:64">
      <c r="A249" s="39"/>
      <c r="B249" s="40"/>
      <c r="C249" s="40"/>
      <c r="D249" s="40"/>
      <c r="E249" s="40" t="s">
        <v>1</v>
      </c>
      <c r="F249" s="40" t="s">
        <v>2</v>
      </c>
      <c r="G249" s="40" t="s">
        <v>3</v>
      </c>
      <c r="H249" s="40" t="s">
        <v>4</v>
      </c>
      <c r="I249" s="40" t="s">
        <v>5</v>
      </c>
      <c r="J249" s="41" t="s">
        <v>6</v>
      </c>
    </row>
    <row r="250" spans="1:64">
      <c r="A250" s="42">
        <f>Audiences!A5</f>
        <v>1</v>
      </c>
      <c r="B250" s="43" t="str">
        <f>Audiences!B5</f>
        <v>08:30-09:15</v>
      </c>
      <c r="C250" s="43">
        <f>Audiences!C5</f>
        <v>2</v>
      </c>
      <c r="D250" s="43" t="str">
        <f>Audiences!D5</f>
        <v>08:30-09:30</v>
      </c>
      <c r="E250" s="43">
        <f>Audiences!E5</f>
        <v>0</v>
      </c>
      <c r="F250" s="43">
        <f>Audiences!F5</f>
        <v>0</v>
      </c>
      <c r="G250" s="43">
        <f>Audiences!G5</f>
        <v>0</v>
      </c>
      <c r="H250" s="43">
        <f>Audiences!H5</f>
        <v>0</v>
      </c>
      <c r="I250" s="43">
        <f>Audiences!I5</f>
        <v>0</v>
      </c>
      <c r="J250" s="44">
        <f>Audiences!J5</f>
        <v>0</v>
      </c>
    </row>
    <row r="251" spans="1:64">
      <c r="A251" s="45">
        <f>Audiences!A6</f>
        <v>1</v>
      </c>
      <c r="B251" s="46" t="str">
        <f>Audiences!B6</f>
        <v>08:30-09:15</v>
      </c>
      <c r="C251" s="46">
        <f>Audiences!C6</f>
        <v>3</v>
      </c>
      <c r="D251" s="46" t="str">
        <f>Audiences!D6</f>
        <v>08:45-09:30</v>
      </c>
      <c r="E251" s="46">
        <f>Audiences!E6</f>
        <v>0</v>
      </c>
      <c r="F251" s="46">
        <f>Audiences!F6</f>
        <v>0</v>
      </c>
      <c r="G251" s="46">
        <f>Audiences!G6</f>
        <v>0</v>
      </c>
      <c r="H251" s="46">
        <f>Audiences!H6</f>
        <v>0</v>
      </c>
      <c r="I251" s="46">
        <f>Audiences!I6</f>
        <v>0</v>
      </c>
      <c r="J251" s="47">
        <f>Audiences!J6</f>
        <v>0</v>
      </c>
    </row>
    <row r="252" spans="1:64">
      <c r="A252" s="42">
        <f>Audiences!A7</f>
        <v>1</v>
      </c>
      <c r="B252" s="43" t="str">
        <f>Audiences!B7</f>
        <v>08:30-09:15</v>
      </c>
      <c r="C252" s="43">
        <f>Audiences!C7</f>
        <v>4</v>
      </c>
      <c r="D252" s="43" t="str">
        <f>Audiences!D7</f>
        <v>09:00-09:45</v>
      </c>
      <c r="E252" s="43">
        <f>Audiences!E7</f>
        <v>0</v>
      </c>
      <c r="F252" s="43">
        <f>Audiences!F7</f>
        <v>0</v>
      </c>
      <c r="G252" s="43">
        <f>Audiences!G7</f>
        <v>0</v>
      </c>
      <c r="H252" s="43">
        <f>Audiences!H7</f>
        <v>0</v>
      </c>
      <c r="I252" s="43">
        <f>Audiences!I7</f>
        <v>0</v>
      </c>
      <c r="J252" s="44">
        <f>Audiences!J7</f>
        <v>0</v>
      </c>
    </row>
    <row r="253" spans="1:64">
      <c r="A253" s="45">
        <f>Audiences!A8</f>
        <v>1</v>
      </c>
      <c r="B253" s="46" t="str">
        <f>Audiences!B8</f>
        <v>08:30-09:15</v>
      </c>
      <c r="C253" s="46">
        <f>Audiences!C8</f>
        <v>5</v>
      </c>
      <c r="D253" s="46" t="str">
        <f>Audiences!D8</f>
        <v>09:00-10:00</v>
      </c>
      <c r="E253" s="46">
        <f>Audiences!E8</f>
        <v>0</v>
      </c>
      <c r="F253" s="46">
        <f>Audiences!F8</f>
        <v>0</v>
      </c>
      <c r="G253" s="46">
        <f>Audiences!G8</f>
        <v>0</v>
      </c>
      <c r="H253" s="46">
        <f>Audiences!H8</f>
        <v>0</v>
      </c>
      <c r="I253" s="46">
        <f>Audiences!I8</f>
        <v>0</v>
      </c>
      <c r="J253" s="47">
        <f>Audiences!J8</f>
        <v>0</v>
      </c>
    </row>
    <row r="254" spans="1:64">
      <c r="A254" s="42">
        <f>Audiences!A9</f>
        <v>2</v>
      </c>
      <c r="B254" s="43" t="str">
        <f>Audiences!B9</f>
        <v>08:30-09:30</v>
      </c>
      <c r="C254" s="43">
        <f>Audiences!C9</f>
        <v>3</v>
      </c>
      <c r="D254" s="43" t="str">
        <f>Audiences!D9</f>
        <v>08:45-09:30</v>
      </c>
      <c r="E254" s="43">
        <f>Audiences!E9</f>
        <v>0</v>
      </c>
      <c r="F254" s="43">
        <f>Audiences!F9</f>
        <v>0</v>
      </c>
      <c r="G254" s="43">
        <f>Audiences!G9</f>
        <v>0</v>
      </c>
      <c r="H254" s="43">
        <f>Audiences!H9</f>
        <v>0</v>
      </c>
      <c r="I254" s="43">
        <f>Audiences!I9</f>
        <v>0</v>
      </c>
      <c r="J254" s="44">
        <f>Audiences!J9</f>
        <v>0</v>
      </c>
    </row>
    <row r="255" spans="1:64">
      <c r="A255" s="45">
        <f>Audiences!A10</f>
        <v>2</v>
      </c>
      <c r="B255" s="46" t="str">
        <f>Audiences!B10</f>
        <v>08:30-09:30</v>
      </c>
      <c r="C255" s="46">
        <f>Audiences!C10</f>
        <v>4</v>
      </c>
      <c r="D255" s="46" t="str">
        <f>Audiences!D10</f>
        <v>09:00-09:45</v>
      </c>
      <c r="E255" s="46">
        <f>Audiences!E10</f>
        <v>0</v>
      </c>
      <c r="F255" s="46">
        <f>Audiences!F10</f>
        <v>0</v>
      </c>
      <c r="G255" s="46">
        <f>Audiences!G10</f>
        <v>0</v>
      </c>
      <c r="H255" s="46">
        <f>Audiences!H10</f>
        <v>0</v>
      </c>
      <c r="I255" s="46">
        <f>Audiences!I10</f>
        <v>0</v>
      </c>
      <c r="J255" s="47">
        <f>Audiences!J10</f>
        <v>0</v>
      </c>
    </row>
    <row r="256" spans="1:64">
      <c r="A256" s="42">
        <f>Audiences!A11</f>
        <v>2</v>
      </c>
      <c r="B256" s="43" t="str">
        <f>Audiences!B11</f>
        <v>08:30-09:30</v>
      </c>
      <c r="C256" s="43">
        <f>Audiences!C11</f>
        <v>5</v>
      </c>
      <c r="D256" s="43" t="str">
        <f>Audiences!D11</f>
        <v>09:00-10:00</v>
      </c>
      <c r="E256" s="43">
        <f>Audiences!E11</f>
        <v>0</v>
      </c>
      <c r="F256" s="43">
        <f>Audiences!F11</f>
        <v>0</v>
      </c>
      <c r="G256" s="43">
        <f>Audiences!G11</f>
        <v>0</v>
      </c>
      <c r="H256" s="43">
        <f>Audiences!H11</f>
        <v>0</v>
      </c>
      <c r="I256" s="43">
        <f>Audiences!I11</f>
        <v>0</v>
      </c>
      <c r="J256" s="44">
        <f>Audiences!J11</f>
        <v>0</v>
      </c>
    </row>
    <row r="257" spans="1:10">
      <c r="A257" s="45">
        <f>Audiences!A12</f>
        <v>2</v>
      </c>
      <c r="B257" s="46" t="str">
        <f>Audiences!B12</f>
        <v>08:30-09:30</v>
      </c>
      <c r="C257" s="46">
        <f>Audiences!C12</f>
        <v>6</v>
      </c>
      <c r="D257" s="46" t="str">
        <f>Audiences!D12</f>
        <v>09:15-10:00</v>
      </c>
      <c r="E257" s="46">
        <f>Audiences!E12</f>
        <v>0</v>
      </c>
      <c r="F257" s="46">
        <f>Audiences!F12</f>
        <v>0</v>
      </c>
      <c r="G257" s="46">
        <f>Audiences!G12</f>
        <v>0</v>
      </c>
      <c r="H257" s="46">
        <f>Audiences!H12</f>
        <v>0</v>
      </c>
      <c r="I257" s="46">
        <f>Audiences!I12</f>
        <v>0</v>
      </c>
      <c r="J257" s="47">
        <f>Audiences!J12</f>
        <v>0</v>
      </c>
    </row>
    <row r="258" spans="1:10">
      <c r="A258" s="42">
        <f>Audiences!A13</f>
        <v>3</v>
      </c>
      <c r="B258" s="43" t="str">
        <f>Audiences!B13</f>
        <v>08:45-09:30</v>
      </c>
      <c r="C258" s="43">
        <f>Audiences!C13</f>
        <v>4</v>
      </c>
      <c r="D258" s="43" t="str">
        <f>Audiences!D13</f>
        <v>09:00-09:45</v>
      </c>
      <c r="E258" s="43">
        <f>Audiences!E13</f>
        <v>0</v>
      </c>
      <c r="F258" s="43">
        <f>Audiences!F13</f>
        <v>0</v>
      </c>
      <c r="G258" s="43">
        <f>Audiences!G13</f>
        <v>0</v>
      </c>
      <c r="H258" s="43">
        <f>Audiences!H13</f>
        <v>0</v>
      </c>
      <c r="I258" s="43">
        <f>Audiences!I13</f>
        <v>0</v>
      </c>
      <c r="J258" s="44">
        <f>Audiences!J13</f>
        <v>0</v>
      </c>
    </row>
    <row r="259" spans="1:10">
      <c r="A259" s="45">
        <f>Audiences!A14</f>
        <v>3</v>
      </c>
      <c r="B259" s="46" t="str">
        <f>Audiences!B14</f>
        <v>08:45-09:30</v>
      </c>
      <c r="C259" s="46">
        <f>Audiences!C14</f>
        <v>5</v>
      </c>
      <c r="D259" s="46" t="str">
        <f>Audiences!D14</f>
        <v>09:00-10:00</v>
      </c>
      <c r="E259" s="46">
        <f>Audiences!E14</f>
        <v>0</v>
      </c>
      <c r="F259" s="46">
        <f>Audiences!F14</f>
        <v>0</v>
      </c>
      <c r="G259" s="46">
        <f>Audiences!G14</f>
        <v>0</v>
      </c>
      <c r="H259" s="46">
        <f>Audiences!H14</f>
        <v>0</v>
      </c>
      <c r="I259" s="46">
        <f>Audiences!I14</f>
        <v>0</v>
      </c>
      <c r="J259" s="47">
        <f>Audiences!J14</f>
        <v>0</v>
      </c>
    </row>
    <row r="260" spans="1:10">
      <c r="A260" s="42">
        <f>Audiences!A15</f>
        <v>3</v>
      </c>
      <c r="B260" s="43" t="str">
        <f>Audiences!B15</f>
        <v>08:45-09:30</v>
      </c>
      <c r="C260" s="43">
        <f>Audiences!C15</f>
        <v>6</v>
      </c>
      <c r="D260" s="43" t="str">
        <f>Audiences!D15</f>
        <v>09:15-10:00</v>
      </c>
      <c r="E260" s="43">
        <f>Audiences!E15</f>
        <v>0</v>
      </c>
      <c r="F260" s="43">
        <f>Audiences!F15</f>
        <v>0</v>
      </c>
      <c r="G260" s="43">
        <f>Audiences!G15</f>
        <v>0</v>
      </c>
      <c r="H260" s="43">
        <f>Audiences!H15</f>
        <v>0</v>
      </c>
      <c r="I260" s="43">
        <f>Audiences!I15</f>
        <v>0</v>
      </c>
      <c r="J260" s="44">
        <f>Audiences!J15</f>
        <v>0</v>
      </c>
    </row>
    <row r="261" spans="1:10">
      <c r="A261" s="45">
        <f>Audiences!A16</f>
        <v>4</v>
      </c>
      <c r="B261" s="46" t="str">
        <f>Audiences!B16</f>
        <v>09:00-09:45</v>
      </c>
      <c r="C261" s="46">
        <f>Audiences!C16</f>
        <v>5</v>
      </c>
      <c r="D261" s="46" t="str">
        <f>Audiences!D16</f>
        <v>09:00-10:00</v>
      </c>
      <c r="E261" s="46">
        <f>Audiences!E16</f>
        <v>0</v>
      </c>
      <c r="F261" s="46">
        <f>Audiences!F16</f>
        <v>0</v>
      </c>
      <c r="G261" s="46">
        <f>Audiences!G16</f>
        <v>0</v>
      </c>
      <c r="H261" s="46">
        <f>Audiences!H16</f>
        <v>0</v>
      </c>
      <c r="I261" s="46">
        <f>Audiences!I16</f>
        <v>0</v>
      </c>
      <c r="J261" s="47">
        <f>Audiences!J16</f>
        <v>0</v>
      </c>
    </row>
    <row r="262" spans="1:10">
      <c r="A262" s="42">
        <f>Audiences!A17</f>
        <v>4</v>
      </c>
      <c r="B262" s="43" t="str">
        <f>Audiences!B17</f>
        <v>09:00-09:45</v>
      </c>
      <c r="C262" s="43">
        <f>Audiences!C17</f>
        <v>6</v>
      </c>
      <c r="D262" s="43" t="str">
        <f>Audiences!D17</f>
        <v>09:15-10:00</v>
      </c>
      <c r="E262" s="43">
        <f>Audiences!E17</f>
        <v>0</v>
      </c>
      <c r="F262" s="43">
        <f>Audiences!F17</f>
        <v>0</v>
      </c>
      <c r="G262" s="43">
        <f>Audiences!G17</f>
        <v>0</v>
      </c>
      <c r="H262" s="43">
        <f>Audiences!H17</f>
        <v>0</v>
      </c>
      <c r="I262" s="43">
        <f>Audiences!I17</f>
        <v>0</v>
      </c>
      <c r="J262" s="44">
        <f>Audiences!J17</f>
        <v>0</v>
      </c>
    </row>
    <row r="263" spans="1:10">
      <c r="A263" s="45">
        <f>Audiences!A18</f>
        <v>4</v>
      </c>
      <c r="B263" s="46" t="str">
        <f>Audiences!B18</f>
        <v>09:00-09:45</v>
      </c>
      <c r="C263" s="46">
        <f>Audiences!C18</f>
        <v>7</v>
      </c>
      <c r="D263" s="46" t="str">
        <f>Audiences!D18</f>
        <v>09:30-10:15</v>
      </c>
      <c r="E263" s="46">
        <f>Audiences!E18</f>
        <v>0</v>
      </c>
      <c r="F263" s="46">
        <f>Audiences!F18</f>
        <v>0</v>
      </c>
      <c r="G263" s="46">
        <f>Audiences!G18</f>
        <v>0</v>
      </c>
      <c r="H263" s="46">
        <f>Audiences!H18</f>
        <v>0</v>
      </c>
      <c r="I263" s="46">
        <f>Audiences!I18</f>
        <v>0</v>
      </c>
      <c r="J263" s="47">
        <f>Audiences!J18</f>
        <v>0</v>
      </c>
    </row>
    <row r="264" spans="1:10">
      <c r="A264" s="42">
        <f>Audiences!A19</f>
        <v>5</v>
      </c>
      <c r="B264" s="43" t="str">
        <f>Audiences!B19</f>
        <v>09:00-10:00</v>
      </c>
      <c r="C264" s="43">
        <f>Audiences!C19</f>
        <v>6</v>
      </c>
      <c r="D264" s="43" t="str">
        <f>Audiences!D19</f>
        <v>09:15-10:00</v>
      </c>
      <c r="E264" s="43">
        <f>Audiences!E19</f>
        <v>0</v>
      </c>
      <c r="F264" s="43">
        <f>Audiences!F19</f>
        <v>0</v>
      </c>
      <c r="G264" s="43">
        <f>Audiences!G19</f>
        <v>0</v>
      </c>
      <c r="H264" s="43">
        <f>Audiences!H19</f>
        <v>0</v>
      </c>
      <c r="I264" s="43">
        <f>Audiences!I19</f>
        <v>0</v>
      </c>
      <c r="J264" s="44">
        <f>Audiences!J19</f>
        <v>0</v>
      </c>
    </row>
    <row r="265" spans="1:10">
      <c r="A265" s="45">
        <f>Audiences!A20</f>
        <v>5</v>
      </c>
      <c r="B265" s="46" t="str">
        <f>Audiences!B20</f>
        <v>09:00-10:00</v>
      </c>
      <c r="C265" s="46">
        <f>Audiences!C20</f>
        <v>7</v>
      </c>
      <c r="D265" s="46" t="str">
        <f>Audiences!D20</f>
        <v>09:30-10:15</v>
      </c>
      <c r="E265" s="46">
        <f>Audiences!E20</f>
        <v>0</v>
      </c>
      <c r="F265" s="46">
        <f>Audiences!F20</f>
        <v>0</v>
      </c>
      <c r="G265" s="46">
        <f>Audiences!G20</f>
        <v>0</v>
      </c>
      <c r="H265" s="46">
        <f>Audiences!H20</f>
        <v>0</v>
      </c>
      <c r="I265" s="46">
        <f>Audiences!I20</f>
        <v>0</v>
      </c>
      <c r="J265" s="47">
        <f>Audiences!J20</f>
        <v>0</v>
      </c>
    </row>
    <row r="266" spans="1:10">
      <c r="A266" s="42">
        <f>Audiences!A21</f>
        <v>5</v>
      </c>
      <c r="B266" s="43" t="str">
        <f>Audiences!B21</f>
        <v>09:00-10:00</v>
      </c>
      <c r="C266" s="43">
        <f>Audiences!C21</f>
        <v>8</v>
      </c>
      <c r="D266" s="43" t="str">
        <f>Audiences!D21</f>
        <v>09:45-10:30</v>
      </c>
      <c r="E266" s="43">
        <f>Audiences!E21</f>
        <v>0</v>
      </c>
      <c r="F266" s="43">
        <f>Audiences!F21</f>
        <v>0</v>
      </c>
      <c r="G266" s="43">
        <f>Audiences!G21</f>
        <v>0</v>
      </c>
      <c r="H266" s="43">
        <f>Audiences!H21</f>
        <v>0</v>
      </c>
      <c r="I266" s="43">
        <f>Audiences!I21</f>
        <v>0</v>
      </c>
      <c r="J266" s="44">
        <f>Audiences!J21</f>
        <v>0</v>
      </c>
    </row>
    <row r="267" spans="1:10">
      <c r="A267" s="45">
        <f>Audiences!A22</f>
        <v>6</v>
      </c>
      <c r="B267" s="46" t="str">
        <f>Audiences!B22</f>
        <v>09:15-10:00</v>
      </c>
      <c r="C267" s="46">
        <f>Audiences!C22</f>
        <v>7</v>
      </c>
      <c r="D267" s="46" t="str">
        <f>Audiences!D22</f>
        <v>09:30-10:15</v>
      </c>
      <c r="E267" s="46">
        <f>Audiences!E22</f>
        <v>0</v>
      </c>
      <c r="F267" s="46">
        <f>Audiences!F22</f>
        <v>0</v>
      </c>
      <c r="G267" s="46">
        <f>Audiences!G22</f>
        <v>0</v>
      </c>
      <c r="H267" s="46">
        <f>Audiences!H22</f>
        <v>0</v>
      </c>
      <c r="I267" s="46">
        <f>Audiences!I22</f>
        <v>0</v>
      </c>
      <c r="J267" s="47">
        <f>Audiences!J22</f>
        <v>0</v>
      </c>
    </row>
    <row r="268" spans="1:10">
      <c r="A268" s="42">
        <f>Audiences!A23</f>
        <v>6</v>
      </c>
      <c r="B268" s="43" t="str">
        <f>Audiences!B23</f>
        <v>09:15-10:00</v>
      </c>
      <c r="C268" s="43">
        <f>Audiences!C23</f>
        <v>8</v>
      </c>
      <c r="D268" s="43" t="str">
        <f>Audiences!D23</f>
        <v>09:45-10:30</v>
      </c>
      <c r="E268" s="43">
        <f>Audiences!E23</f>
        <v>0</v>
      </c>
      <c r="F268" s="43">
        <f>Audiences!F23</f>
        <v>0</v>
      </c>
      <c r="G268" s="43">
        <f>Audiences!G23</f>
        <v>0</v>
      </c>
      <c r="H268" s="43">
        <f>Audiences!H23</f>
        <v>0</v>
      </c>
      <c r="I268" s="43">
        <f>Audiences!I23</f>
        <v>0</v>
      </c>
      <c r="J268" s="44">
        <f>Audiences!J23</f>
        <v>0</v>
      </c>
    </row>
    <row r="269" spans="1:10">
      <c r="A269" s="45">
        <f>Audiences!A24</f>
        <v>7</v>
      </c>
      <c r="B269" s="46" t="str">
        <f>Audiences!B24</f>
        <v>09:30-10:15</v>
      </c>
      <c r="C269" s="46">
        <f>Audiences!C24</f>
        <v>8</v>
      </c>
      <c r="D269" s="46" t="str">
        <f>Audiences!D24</f>
        <v>09:45-10:30</v>
      </c>
      <c r="E269" s="46">
        <f>Audiences!E24</f>
        <v>0</v>
      </c>
      <c r="F269" s="46">
        <f>Audiences!F24</f>
        <v>0</v>
      </c>
      <c r="G269" s="46">
        <f>Audiences!G24</f>
        <v>0</v>
      </c>
      <c r="H269" s="46">
        <f>Audiences!H24</f>
        <v>0</v>
      </c>
      <c r="I269" s="46">
        <f>Audiences!I24</f>
        <v>0</v>
      </c>
      <c r="J269" s="47">
        <f>Audiences!J24</f>
        <v>0</v>
      </c>
    </row>
    <row r="270" spans="1:10">
      <c r="A270" s="42">
        <f>Audiences!A25</f>
        <v>7</v>
      </c>
      <c r="B270" s="43" t="str">
        <f>Audiences!B25</f>
        <v>09:30-10:15</v>
      </c>
      <c r="C270" s="43">
        <f>Audiences!C25</f>
        <v>9</v>
      </c>
      <c r="D270" s="43" t="str">
        <f>Audiences!D25</f>
        <v>10:00-10:45</v>
      </c>
      <c r="E270" s="43">
        <f>Audiences!E25</f>
        <v>0</v>
      </c>
      <c r="F270" s="43">
        <f>Audiences!F25</f>
        <v>0</v>
      </c>
      <c r="G270" s="43">
        <f>Audiences!G25</f>
        <v>0</v>
      </c>
      <c r="H270" s="43">
        <f>Audiences!H25</f>
        <v>0</v>
      </c>
      <c r="I270" s="43">
        <f>Audiences!I25</f>
        <v>0</v>
      </c>
      <c r="J270" s="44">
        <f>Audiences!J25</f>
        <v>0</v>
      </c>
    </row>
    <row r="271" spans="1:10">
      <c r="A271" s="45">
        <f>Audiences!A26</f>
        <v>7</v>
      </c>
      <c r="B271" s="46" t="str">
        <f>Audiences!B26</f>
        <v>09:30-10:15</v>
      </c>
      <c r="C271" s="46">
        <f>Audiences!C26</f>
        <v>10</v>
      </c>
      <c r="D271" s="46" t="str">
        <f>Audiences!D26</f>
        <v>10:00-11:00</v>
      </c>
      <c r="E271" s="46">
        <f>Audiences!E26</f>
        <v>0</v>
      </c>
      <c r="F271" s="46">
        <f>Audiences!F26</f>
        <v>0</v>
      </c>
      <c r="G271" s="46">
        <f>Audiences!G26</f>
        <v>0</v>
      </c>
      <c r="H271" s="46">
        <f>Audiences!H26</f>
        <v>0</v>
      </c>
      <c r="I271" s="46">
        <f>Audiences!I26</f>
        <v>0</v>
      </c>
      <c r="J271" s="47">
        <f>Audiences!J26</f>
        <v>0</v>
      </c>
    </row>
    <row r="272" spans="1:10">
      <c r="A272" s="42">
        <f>Audiences!A27</f>
        <v>8</v>
      </c>
      <c r="B272" s="43" t="str">
        <f>Audiences!B27</f>
        <v>09:45-10:30</v>
      </c>
      <c r="C272" s="43">
        <f>Audiences!C27</f>
        <v>9</v>
      </c>
      <c r="D272" s="43" t="str">
        <f>Audiences!D27</f>
        <v>10:00-10:45</v>
      </c>
      <c r="E272" s="43">
        <f>Audiences!E27</f>
        <v>0</v>
      </c>
      <c r="F272" s="43">
        <f>Audiences!F27</f>
        <v>0</v>
      </c>
      <c r="G272" s="43">
        <f>Audiences!G27</f>
        <v>0</v>
      </c>
      <c r="H272" s="43">
        <f>Audiences!H27</f>
        <v>0</v>
      </c>
      <c r="I272" s="43">
        <f>Audiences!I27</f>
        <v>0</v>
      </c>
      <c r="J272" s="44">
        <f>Audiences!J27</f>
        <v>0</v>
      </c>
    </row>
    <row r="273" spans="1:10">
      <c r="A273" s="45">
        <f>Audiences!A28</f>
        <v>8</v>
      </c>
      <c r="B273" s="46" t="str">
        <f>Audiences!B28</f>
        <v>09:45-10:30</v>
      </c>
      <c r="C273" s="46">
        <f>Audiences!C28</f>
        <v>10</v>
      </c>
      <c r="D273" s="46" t="str">
        <f>Audiences!D28</f>
        <v>10:00-11:00</v>
      </c>
      <c r="E273" s="46">
        <f>Audiences!E28</f>
        <v>0</v>
      </c>
      <c r="F273" s="46">
        <f>Audiences!F28</f>
        <v>0</v>
      </c>
      <c r="G273" s="46">
        <f>Audiences!G28</f>
        <v>0</v>
      </c>
      <c r="H273" s="46">
        <f>Audiences!H28</f>
        <v>0</v>
      </c>
      <c r="I273" s="46">
        <f>Audiences!I28</f>
        <v>0</v>
      </c>
      <c r="J273" s="47">
        <f>Audiences!J28</f>
        <v>0</v>
      </c>
    </row>
    <row r="274" spans="1:10">
      <c r="A274" s="42">
        <f>Audiences!A29</f>
        <v>8</v>
      </c>
      <c r="B274" s="43" t="str">
        <f>Audiences!B29</f>
        <v>09:45-10:30</v>
      </c>
      <c r="C274" s="43">
        <f>Audiences!C29</f>
        <v>11</v>
      </c>
      <c r="D274" s="43" t="str">
        <f>Audiences!D29</f>
        <v>10:15-11:00</v>
      </c>
      <c r="E274" s="43">
        <f>Audiences!E29</f>
        <v>0</v>
      </c>
      <c r="F274" s="43">
        <f>Audiences!F29</f>
        <v>0</v>
      </c>
      <c r="G274" s="43">
        <f>Audiences!G29</f>
        <v>0</v>
      </c>
      <c r="H274" s="43">
        <f>Audiences!H29</f>
        <v>0</v>
      </c>
      <c r="I274" s="43">
        <f>Audiences!I29</f>
        <v>0</v>
      </c>
      <c r="J274" s="44">
        <f>Audiences!J29</f>
        <v>0</v>
      </c>
    </row>
    <row r="275" spans="1:10">
      <c r="A275" s="45">
        <f>Audiences!A30</f>
        <v>9</v>
      </c>
      <c r="B275" s="46" t="str">
        <f>Audiences!B30</f>
        <v>10:00-10:45</v>
      </c>
      <c r="C275" s="46">
        <f>Audiences!C30</f>
        <v>10</v>
      </c>
      <c r="D275" s="46" t="str">
        <f>Audiences!D30</f>
        <v>10:00-11:00</v>
      </c>
      <c r="E275" s="46">
        <f>Audiences!E30</f>
        <v>0</v>
      </c>
      <c r="F275" s="46">
        <f>Audiences!F30</f>
        <v>0</v>
      </c>
      <c r="G275" s="46">
        <f>Audiences!G30</f>
        <v>0</v>
      </c>
      <c r="H275" s="46">
        <f>Audiences!H30</f>
        <v>0</v>
      </c>
      <c r="I275" s="46">
        <f>Audiences!I30</f>
        <v>0</v>
      </c>
      <c r="J275" s="47">
        <f>Audiences!J30</f>
        <v>0</v>
      </c>
    </row>
    <row r="276" spans="1:10">
      <c r="A276" s="42">
        <f>Audiences!A31</f>
        <v>9</v>
      </c>
      <c r="B276" s="43" t="str">
        <f>Audiences!B31</f>
        <v>10:00-10:45</v>
      </c>
      <c r="C276" s="43">
        <f>Audiences!C31</f>
        <v>11</v>
      </c>
      <c r="D276" s="43" t="str">
        <f>Audiences!D31</f>
        <v>10:15-11:00</v>
      </c>
      <c r="E276" s="43">
        <f>Audiences!E31</f>
        <v>0</v>
      </c>
      <c r="F276" s="43">
        <f>Audiences!F31</f>
        <v>0</v>
      </c>
      <c r="G276" s="43">
        <f>Audiences!G31</f>
        <v>0</v>
      </c>
      <c r="H276" s="43">
        <f>Audiences!H31</f>
        <v>0</v>
      </c>
      <c r="I276" s="43">
        <f>Audiences!I31</f>
        <v>0</v>
      </c>
      <c r="J276" s="44">
        <f>Audiences!J31</f>
        <v>0</v>
      </c>
    </row>
    <row r="277" spans="1:10">
      <c r="A277" s="45">
        <f>Audiences!A32</f>
        <v>9</v>
      </c>
      <c r="B277" s="46" t="str">
        <f>Audiences!B32</f>
        <v>10:00-10:45</v>
      </c>
      <c r="C277" s="46">
        <f>Audiences!C32</f>
        <v>12</v>
      </c>
      <c r="D277" s="46" t="str">
        <f>Audiences!D32</f>
        <v>10:30-11:15</v>
      </c>
      <c r="E277" s="46">
        <f>Audiences!E32</f>
        <v>0</v>
      </c>
      <c r="F277" s="46">
        <f>Audiences!F32</f>
        <v>0</v>
      </c>
      <c r="G277" s="46">
        <f>Audiences!G32</f>
        <v>0</v>
      </c>
      <c r="H277" s="46">
        <f>Audiences!H32</f>
        <v>0</v>
      </c>
      <c r="I277" s="46">
        <f>Audiences!I32</f>
        <v>0</v>
      </c>
      <c r="J277" s="47">
        <f>Audiences!J32</f>
        <v>0</v>
      </c>
    </row>
    <row r="278" spans="1:10">
      <c r="A278" s="42">
        <f>Audiences!A33</f>
        <v>10</v>
      </c>
      <c r="B278" s="43" t="str">
        <f>Audiences!B33</f>
        <v>10:00-11:00</v>
      </c>
      <c r="C278" s="43">
        <f>Audiences!C33</f>
        <v>11</v>
      </c>
      <c r="D278" s="43" t="str">
        <f>Audiences!D33</f>
        <v>10:15-11:00</v>
      </c>
      <c r="E278" s="43">
        <f>Audiences!E33</f>
        <v>0</v>
      </c>
      <c r="F278" s="43">
        <f>Audiences!F33</f>
        <v>0</v>
      </c>
      <c r="G278" s="43">
        <f>Audiences!G33</f>
        <v>0</v>
      </c>
      <c r="H278" s="43">
        <f>Audiences!H33</f>
        <v>0</v>
      </c>
      <c r="I278" s="43">
        <f>Audiences!I33</f>
        <v>0</v>
      </c>
      <c r="J278" s="44">
        <f>Audiences!J33</f>
        <v>0</v>
      </c>
    </row>
    <row r="279" spans="1:10">
      <c r="A279" s="45">
        <f>Audiences!A34</f>
        <v>10</v>
      </c>
      <c r="B279" s="46" t="str">
        <f>Audiences!B34</f>
        <v>10:00-11:00</v>
      </c>
      <c r="C279" s="46">
        <f>Audiences!C34</f>
        <v>12</v>
      </c>
      <c r="D279" s="46" t="str">
        <f>Audiences!D34</f>
        <v>10:30-11:15</v>
      </c>
      <c r="E279" s="46">
        <f>Audiences!E34</f>
        <v>0</v>
      </c>
      <c r="F279" s="46">
        <f>Audiences!F34</f>
        <v>0</v>
      </c>
      <c r="G279" s="46">
        <f>Audiences!G34</f>
        <v>0</v>
      </c>
      <c r="H279" s="46">
        <f>Audiences!H34</f>
        <v>0</v>
      </c>
      <c r="I279" s="46">
        <f>Audiences!I34</f>
        <v>0</v>
      </c>
      <c r="J279" s="47">
        <f>Audiences!J34</f>
        <v>0</v>
      </c>
    </row>
    <row r="280" spans="1:10">
      <c r="A280" s="42">
        <f>Audiences!A35</f>
        <v>10</v>
      </c>
      <c r="B280" s="43" t="str">
        <f>Audiences!B35</f>
        <v>10:00-11:00</v>
      </c>
      <c r="C280" s="43">
        <f>Audiences!C35</f>
        <v>13</v>
      </c>
      <c r="D280" s="43" t="str">
        <f>Audiences!D35</f>
        <v>10:45-11:30</v>
      </c>
      <c r="E280" s="43">
        <f>Audiences!E35</f>
        <v>0</v>
      </c>
      <c r="F280" s="43">
        <f>Audiences!F35</f>
        <v>0</v>
      </c>
      <c r="G280" s="43">
        <f>Audiences!G35</f>
        <v>0</v>
      </c>
      <c r="H280" s="43">
        <f>Audiences!H35</f>
        <v>0</v>
      </c>
      <c r="I280" s="43">
        <f>Audiences!I35</f>
        <v>0</v>
      </c>
      <c r="J280" s="44">
        <f>Audiences!J35</f>
        <v>0</v>
      </c>
    </row>
    <row r="281" spans="1:10">
      <c r="A281" s="45">
        <f>Audiences!A36</f>
        <v>11</v>
      </c>
      <c r="B281" s="46" t="str">
        <f>Audiences!B36</f>
        <v>10:15-11:00</v>
      </c>
      <c r="C281" s="46">
        <f>Audiences!C36</f>
        <v>12</v>
      </c>
      <c r="D281" s="46" t="str">
        <f>Audiences!D36</f>
        <v>10:30-11:15</v>
      </c>
      <c r="E281" s="46">
        <f>Audiences!E36</f>
        <v>0</v>
      </c>
      <c r="F281" s="46">
        <f>Audiences!F36</f>
        <v>0</v>
      </c>
      <c r="G281" s="46">
        <f>Audiences!G36</f>
        <v>0</v>
      </c>
      <c r="H281" s="46">
        <f>Audiences!H36</f>
        <v>0</v>
      </c>
      <c r="I281" s="46">
        <f>Audiences!I36</f>
        <v>0</v>
      </c>
      <c r="J281" s="47">
        <f>Audiences!J36</f>
        <v>0</v>
      </c>
    </row>
    <row r="282" spans="1:10">
      <c r="A282" s="42">
        <f>Audiences!A37</f>
        <v>11</v>
      </c>
      <c r="B282" s="43" t="str">
        <f>Audiences!B37</f>
        <v>10:15-11:00</v>
      </c>
      <c r="C282" s="43">
        <f>Audiences!C37</f>
        <v>13</v>
      </c>
      <c r="D282" s="43" t="str">
        <f>Audiences!D37</f>
        <v>10:45-11:30</v>
      </c>
      <c r="E282" s="43">
        <f>Audiences!E37</f>
        <v>0</v>
      </c>
      <c r="F282" s="43">
        <f>Audiences!F37</f>
        <v>0</v>
      </c>
      <c r="G282" s="43">
        <f>Audiences!G37</f>
        <v>0</v>
      </c>
      <c r="H282" s="43">
        <f>Audiences!H37</f>
        <v>0</v>
      </c>
      <c r="I282" s="43">
        <f>Audiences!I37</f>
        <v>0</v>
      </c>
      <c r="J282" s="44">
        <f>Audiences!J37</f>
        <v>0</v>
      </c>
    </row>
    <row r="283" spans="1:10">
      <c r="A283" s="45">
        <f>Audiences!A38</f>
        <v>12</v>
      </c>
      <c r="B283" s="46" t="str">
        <f>Audiences!B38</f>
        <v>10:30-11:15</v>
      </c>
      <c r="C283" s="46">
        <f>Audiences!C38</f>
        <v>13</v>
      </c>
      <c r="D283" s="46" t="str">
        <f>Audiences!D38</f>
        <v>10:45-11:30</v>
      </c>
      <c r="E283" s="46">
        <f>Audiences!E38</f>
        <v>0</v>
      </c>
      <c r="F283" s="46">
        <f>Audiences!F38</f>
        <v>0</v>
      </c>
      <c r="G283" s="46">
        <f>Audiences!G38</f>
        <v>0</v>
      </c>
      <c r="H283" s="46">
        <f>Audiences!H38</f>
        <v>0</v>
      </c>
      <c r="I283" s="46">
        <f>Audiences!I38</f>
        <v>0</v>
      </c>
      <c r="J283" s="47">
        <f>Audiences!J38</f>
        <v>0</v>
      </c>
    </row>
    <row r="284" spans="1:10">
      <c r="A284" s="42">
        <f>Audiences!A39</f>
        <v>12</v>
      </c>
      <c r="B284" s="43" t="str">
        <f>Audiences!B39</f>
        <v>10:30-11:15</v>
      </c>
      <c r="C284" s="43">
        <f>Audiences!C39</f>
        <v>14</v>
      </c>
      <c r="D284" s="43" t="str">
        <f>Audiences!D39</f>
        <v>11:00-12:00</v>
      </c>
      <c r="E284" s="43">
        <f>Audiences!E39</f>
        <v>0</v>
      </c>
      <c r="F284" s="43">
        <f>Audiences!F39</f>
        <v>0</v>
      </c>
      <c r="G284" s="43">
        <f>Audiences!G39</f>
        <v>0</v>
      </c>
      <c r="H284" s="43">
        <f>Audiences!H39</f>
        <v>0</v>
      </c>
      <c r="I284" s="43">
        <f>Audiences!I39</f>
        <v>0</v>
      </c>
      <c r="J284" s="44">
        <f>Audiences!J39</f>
        <v>0</v>
      </c>
    </row>
    <row r="285" spans="1:10">
      <c r="A285" s="45">
        <f>Audiences!A40</f>
        <v>13</v>
      </c>
      <c r="B285" s="46" t="str">
        <f>Audiences!B40</f>
        <v>10:45-11:30</v>
      </c>
      <c r="C285" s="46">
        <f>Audiences!C40</f>
        <v>14</v>
      </c>
      <c r="D285" s="46" t="str">
        <f>Audiences!D40</f>
        <v>11:00-12:00</v>
      </c>
      <c r="E285" s="46">
        <f>Audiences!E40</f>
        <v>0</v>
      </c>
      <c r="F285" s="46">
        <f>Audiences!F40</f>
        <v>0</v>
      </c>
      <c r="G285" s="46">
        <f>Audiences!G40</f>
        <v>0</v>
      </c>
      <c r="H285" s="46">
        <f>Audiences!H40</f>
        <v>0</v>
      </c>
      <c r="I285" s="46">
        <f>Audiences!I40</f>
        <v>0</v>
      </c>
      <c r="J285" s="47">
        <f>Audiences!J40</f>
        <v>0</v>
      </c>
    </row>
    <row r="286" spans="1:10">
      <c r="A286" s="42">
        <f>Audiences!A41</f>
        <v>13</v>
      </c>
      <c r="B286" s="43" t="str">
        <f>Audiences!B41</f>
        <v>10:45-11:30</v>
      </c>
      <c r="C286" s="43">
        <f>Audiences!C41</f>
        <v>15</v>
      </c>
      <c r="D286" s="43" t="str">
        <f>Audiences!D41</f>
        <v>11:15-12:00</v>
      </c>
      <c r="E286" s="43">
        <f>Audiences!E41</f>
        <v>0</v>
      </c>
      <c r="F286" s="43">
        <f>Audiences!F41</f>
        <v>0</v>
      </c>
      <c r="G286" s="43">
        <f>Audiences!G41</f>
        <v>0</v>
      </c>
      <c r="H286" s="43">
        <f>Audiences!H41</f>
        <v>0</v>
      </c>
      <c r="I286" s="43">
        <f>Audiences!I41</f>
        <v>0</v>
      </c>
      <c r="J286" s="44">
        <f>Audiences!J41</f>
        <v>1</v>
      </c>
    </row>
    <row r="287" spans="1:10">
      <c r="A287" s="45">
        <f>Audiences!A42</f>
        <v>14</v>
      </c>
      <c r="B287" s="46" t="str">
        <f>Audiences!B42</f>
        <v>11:00-12:00</v>
      </c>
      <c r="C287" s="46">
        <f>Audiences!C42</f>
        <v>15</v>
      </c>
      <c r="D287" s="46" t="str">
        <f>Audiences!D42</f>
        <v>11:15-12:00</v>
      </c>
      <c r="E287" s="46">
        <f>Audiences!E42</f>
        <v>0</v>
      </c>
      <c r="F287" s="46">
        <f>Audiences!F42</f>
        <v>0</v>
      </c>
      <c r="G287" s="46">
        <f>Audiences!G42</f>
        <v>0</v>
      </c>
      <c r="H287" s="46">
        <f>Audiences!H42</f>
        <v>0</v>
      </c>
      <c r="I287" s="46">
        <f>Audiences!I42</f>
        <v>0</v>
      </c>
      <c r="J287" s="47">
        <f>Audiences!J42</f>
        <v>1</v>
      </c>
    </row>
    <row r="288" spans="1:10">
      <c r="A288" s="42">
        <f>Audiences!A43</f>
        <v>14</v>
      </c>
      <c r="B288" s="43" t="str">
        <f>Audiences!B43</f>
        <v>11:00-12:00</v>
      </c>
      <c r="C288" s="43">
        <f>Audiences!C43</f>
        <v>16</v>
      </c>
      <c r="D288" s="43" t="str">
        <f>Audiences!D43</f>
        <v>11:30-12:15</v>
      </c>
      <c r="E288" s="43">
        <f>Audiences!E43</f>
        <v>0</v>
      </c>
      <c r="F288" s="43">
        <f>Audiences!F43</f>
        <v>0</v>
      </c>
      <c r="G288" s="43">
        <f>Audiences!G43</f>
        <v>0</v>
      </c>
      <c r="H288" s="43">
        <f>Audiences!H43</f>
        <v>0</v>
      </c>
      <c r="I288" s="43">
        <f>Audiences!I43</f>
        <v>0</v>
      </c>
      <c r="J288" s="44">
        <f>Audiences!J43</f>
        <v>0</v>
      </c>
    </row>
    <row r="289" spans="1:10">
      <c r="A289" s="45">
        <f>Audiences!A44</f>
        <v>14</v>
      </c>
      <c r="B289" s="46" t="str">
        <f>Audiences!B44</f>
        <v>11:00-12:00</v>
      </c>
      <c r="C289" s="46">
        <f>Audiences!C44</f>
        <v>17</v>
      </c>
      <c r="D289" s="46" t="str">
        <f>Audiences!D44</f>
        <v>11:45-12:30</v>
      </c>
      <c r="E289" s="46">
        <f>Audiences!E44</f>
        <v>0</v>
      </c>
      <c r="F289" s="46">
        <f>Audiences!F44</f>
        <v>0</v>
      </c>
      <c r="G289" s="46">
        <f>Audiences!G44</f>
        <v>0</v>
      </c>
      <c r="H289" s="46">
        <f>Audiences!H44</f>
        <v>0</v>
      </c>
      <c r="I289" s="46">
        <f>Audiences!I44</f>
        <v>0</v>
      </c>
      <c r="J289" s="47">
        <f>Audiences!J44</f>
        <v>0</v>
      </c>
    </row>
    <row r="290" spans="1:10">
      <c r="A290" s="42">
        <f>Audiences!A45</f>
        <v>15</v>
      </c>
      <c r="B290" s="43" t="str">
        <f>Audiences!B45</f>
        <v>11:15-12:00</v>
      </c>
      <c r="C290" s="43">
        <f>Audiences!C45</f>
        <v>16</v>
      </c>
      <c r="D290" s="43" t="str">
        <f>Audiences!D45</f>
        <v>11:30-12:15</v>
      </c>
      <c r="E290" s="43">
        <f>Audiences!E45</f>
        <v>0</v>
      </c>
      <c r="F290" s="43">
        <f>Audiences!F45</f>
        <v>0</v>
      </c>
      <c r="G290" s="43">
        <f>Audiences!G45</f>
        <v>0</v>
      </c>
      <c r="H290" s="43">
        <f>Audiences!H45</f>
        <v>0</v>
      </c>
      <c r="I290" s="43">
        <f>Audiences!I45</f>
        <v>0</v>
      </c>
      <c r="J290" s="44">
        <f>Audiences!J45</f>
        <v>1</v>
      </c>
    </row>
    <row r="291" spans="1:10">
      <c r="A291" s="45">
        <f>Audiences!A46</f>
        <v>15</v>
      </c>
      <c r="B291" s="46" t="str">
        <f>Audiences!B46</f>
        <v>11:15-12:00</v>
      </c>
      <c r="C291" s="46">
        <f>Audiences!C46</f>
        <v>17</v>
      </c>
      <c r="D291" s="46" t="str">
        <f>Audiences!D46</f>
        <v>11:45-12:30</v>
      </c>
      <c r="E291" s="46">
        <f>Audiences!E46</f>
        <v>0</v>
      </c>
      <c r="F291" s="46">
        <f>Audiences!F46</f>
        <v>0</v>
      </c>
      <c r="G291" s="46">
        <f>Audiences!G46</f>
        <v>0</v>
      </c>
      <c r="H291" s="46">
        <f>Audiences!H46</f>
        <v>0</v>
      </c>
      <c r="I291" s="46">
        <f>Audiences!I46</f>
        <v>0</v>
      </c>
      <c r="J291" s="47">
        <f>Audiences!J46</f>
        <v>1</v>
      </c>
    </row>
    <row r="292" spans="1:10">
      <c r="A292" s="42">
        <f>Audiences!A47</f>
        <v>16</v>
      </c>
      <c r="B292" s="43" t="str">
        <f>Audiences!B47</f>
        <v>11:30-12:15</v>
      </c>
      <c r="C292" s="43">
        <f>Audiences!C47</f>
        <v>17</v>
      </c>
      <c r="D292" s="43" t="str">
        <f>Audiences!D47</f>
        <v>11:45-12:30</v>
      </c>
      <c r="E292" s="43">
        <f>Audiences!E47</f>
        <v>0</v>
      </c>
      <c r="F292" s="43">
        <f>Audiences!F47</f>
        <v>0</v>
      </c>
      <c r="G292" s="43">
        <f>Audiences!G47</f>
        <v>0</v>
      </c>
      <c r="H292" s="43">
        <f>Audiences!H47</f>
        <v>0</v>
      </c>
      <c r="I292" s="43">
        <f>Audiences!I47</f>
        <v>0</v>
      </c>
      <c r="J292" s="44">
        <f>Audiences!J47</f>
        <v>0</v>
      </c>
    </row>
    <row r="293" spans="1:10">
      <c r="A293" s="45">
        <f>Audiences!A48</f>
        <v>16</v>
      </c>
      <c r="B293" s="46" t="str">
        <f>Audiences!B48</f>
        <v>11:30-12:15</v>
      </c>
      <c r="C293" s="46">
        <f>Audiences!C48</f>
        <v>18</v>
      </c>
      <c r="D293" s="46" t="str">
        <f>Audiences!D48</f>
        <v>12:00-13:00</v>
      </c>
      <c r="E293" s="46">
        <f>Audiences!E48</f>
        <v>0</v>
      </c>
      <c r="F293" s="46">
        <f>Audiences!F48</f>
        <v>0</v>
      </c>
      <c r="G293" s="46">
        <f>Audiences!G48</f>
        <v>0</v>
      </c>
      <c r="H293" s="46">
        <f>Audiences!H48</f>
        <v>0</v>
      </c>
      <c r="I293" s="46">
        <f>Audiences!I48</f>
        <v>0</v>
      </c>
      <c r="J293" s="47">
        <f>Audiences!J48</f>
        <v>0</v>
      </c>
    </row>
    <row r="294" spans="1:10">
      <c r="A294" s="42">
        <f>Audiences!A49</f>
        <v>17</v>
      </c>
      <c r="B294" s="43" t="str">
        <f>Audiences!B49</f>
        <v>11:45-12:30</v>
      </c>
      <c r="C294" s="43">
        <f>Audiences!C49</f>
        <v>18</v>
      </c>
      <c r="D294" s="43" t="str">
        <f>Audiences!D49</f>
        <v>12:00-13:00</v>
      </c>
      <c r="E294" s="43">
        <f>Audiences!E49</f>
        <v>0</v>
      </c>
      <c r="F294" s="43">
        <f>Audiences!F49</f>
        <v>0</v>
      </c>
      <c r="G294" s="43">
        <f>Audiences!G49</f>
        <v>0</v>
      </c>
      <c r="H294" s="43">
        <f>Audiences!H49</f>
        <v>0</v>
      </c>
      <c r="I294" s="43">
        <f>Audiences!I49</f>
        <v>0</v>
      </c>
      <c r="J294" s="44">
        <f>Audiences!J49</f>
        <v>0</v>
      </c>
    </row>
    <row r="295" spans="1:10">
      <c r="A295" s="45">
        <f>Audiences!A50</f>
        <v>17</v>
      </c>
      <c r="B295" s="46" t="str">
        <f>Audiences!B50</f>
        <v>11:45-12:30</v>
      </c>
      <c r="C295" s="46">
        <f>Audiences!C50</f>
        <v>19</v>
      </c>
      <c r="D295" s="46" t="str">
        <f>Audiences!D50</f>
        <v>12:15-13:00</v>
      </c>
      <c r="E295" s="46">
        <f>Audiences!E50</f>
        <v>0</v>
      </c>
      <c r="F295" s="46">
        <f>Audiences!F50</f>
        <v>0</v>
      </c>
      <c r="G295" s="46">
        <f>Audiences!G50</f>
        <v>0</v>
      </c>
      <c r="H295" s="46">
        <f>Audiences!H50</f>
        <v>0</v>
      </c>
      <c r="I295" s="46">
        <f>Audiences!I50</f>
        <v>0</v>
      </c>
      <c r="J295" s="47">
        <f>Audiences!J50</f>
        <v>0</v>
      </c>
    </row>
    <row r="296" spans="1:10">
      <c r="A296" s="42">
        <f>Audiences!A51</f>
        <v>18</v>
      </c>
      <c r="B296" s="43" t="str">
        <f>Audiences!B51</f>
        <v>12:00-13:00</v>
      </c>
      <c r="C296" s="43">
        <f>Audiences!C51</f>
        <v>19</v>
      </c>
      <c r="D296" s="43" t="str">
        <f>Audiences!D51</f>
        <v>12:15-13:00</v>
      </c>
      <c r="E296" s="43">
        <f>Audiences!E51</f>
        <v>0</v>
      </c>
      <c r="F296" s="43">
        <f>Audiences!F51</f>
        <v>0</v>
      </c>
      <c r="G296" s="43">
        <f>Audiences!G51</f>
        <v>0</v>
      </c>
      <c r="H296" s="43">
        <f>Audiences!H51</f>
        <v>0</v>
      </c>
      <c r="I296" s="43">
        <f>Audiences!I51</f>
        <v>0</v>
      </c>
      <c r="J296" s="44">
        <f>Audiences!J51</f>
        <v>0</v>
      </c>
    </row>
    <row r="297" spans="1:10">
      <c r="A297" s="45">
        <f>Audiences!A52</f>
        <v>18</v>
      </c>
      <c r="B297" s="46" t="str">
        <f>Audiences!B52</f>
        <v>12:00-13:00</v>
      </c>
      <c r="C297" s="46">
        <f>Audiences!C52</f>
        <v>20</v>
      </c>
      <c r="D297" s="46" t="str">
        <f>Audiences!D52</f>
        <v>12:30-13:15</v>
      </c>
      <c r="E297" s="46">
        <f>Audiences!E52</f>
        <v>0</v>
      </c>
      <c r="F297" s="46">
        <f>Audiences!F52</f>
        <v>0</v>
      </c>
      <c r="G297" s="46">
        <f>Audiences!G52</f>
        <v>0</v>
      </c>
      <c r="H297" s="46">
        <f>Audiences!H52</f>
        <v>0</v>
      </c>
      <c r="I297" s="46">
        <f>Audiences!I52</f>
        <v>0</v>
      </c>
      <c r="J297" s="47">
        <f>Audiences!J52</f>
        <v>0</v>
      </c>
    </row>
    <row r="298" spans="1:10">
      <c r="A298" s="42">
        <f>Audiences!A53</f>
        <v>18</v>
      </c>
      <c r="B298" s="43" t="str">
        <f>Audiences!B53</f>
        <v>12:00-13:00</v>
      </c>
      <c r="C298" s="43">
        <f>Audiences!C53</f>
        <v>21</v>
      </c>
      <c r="D298" s="43" t="str">
        <f>Audiences!D53</f>
        <v>12:45-13:30</v>
      </c>
      <c r="E298" s="43">
        <f>Audiences!E53</f>
        <v>0</v>
      </c>
      <c r="F298" s="43">
        <f>Audiences!F53</f>
        <v>0</v>
      </c>
      <c r="G298" s="43">
        <f>Audiences!G53</f>
        <v>0</v>
      </c>
      <c r="H298" s="43">
        <f>Audiences!H53</f>
        <v>0</v>
      </c>
      <c r="I298" s="43">
        <f>Audiences!I53</f>
        <v>0</v>
      </c>
      <c r="J298" s="44">
        <f>Audiences!J53</f>
        <v>0</v>
      </c>
    </row>
    <row r="299" spans="1:10">
      <c r="A299" s="45">
        <f>Audiences!A54</f>
        <v>19</v>
      </c>
      <c r="B299" s="46" t="str">
        <f>Audiences!B54</f>
        <v>12:15-13:00</v>
      </c>
      <c r="C299" s="46">
        <f>Audiences!C54</f>
        <v>20</v>
      </c>
      <c r="D299" s="46" t="str">
        <f>Audiences!D54</f>
        <v>12:30-13:15</v>
      </c>
      <c r="E299" s="46">
        <f>Audiences!E54</f>
        <v>0</v>
      </c>
      <c r="F299" s="46">
        <f>Audiences!F54</f>
        <v>0</v>
      </c>
      <c r="G299" s="46">
        <f>Audiences!G54</f>
        <v>0</v>
      </c>
      <c r="H299" s="46">
        <f>Audiences!H54</f>
        <v>0</v>
      </c>
      <c r="I299" s="46">
        <f>Audiences!I54</f>
        <v>0</v>
      </c>
      <c r="J299" s="47">
        <f>Audiences!J54</f>
        <v>0</v>
      </c>
    </row>
    <row r="300" spans="1:10">
      <c r="A300" s="42">
        <f>Audiences!A55</f>
        <v>19</v>
      </c>
      <c r="B300" s="43" t="str">
        <f>Audiences!B55</f>
        <v>12:15-13:00</v>
      </c>
      <c r="C300" s="43">
        <f>Audiences!C55</f>
        <v>21</v>
      </c>
      <c r="D300" s="43" t="str">
        <f>Audiences!D55</f>
        <v>12:45-13:30</v>
      </c>
      <c r="E300" s="43">
        <f>Audiences!E55</f>
        <v>0</v>
      </c>
      <c r="F300" s="43">
        <f>Audiences!F55</f>
        <v>0</v>
      </c>
      <c r="G300" s="43">
        <f>Audiences!G55</f>
        <v>0</v>
      </c>
      <c r="H300" s="43">
        <f>Audiences!H55</f>
        <v>0</v>
      </c>
      <c r="I300" s="43">
        <f>Audiences!I55</f>
        <v>0</v>
      </c>
      <c r="J300" s="44">
        <f>Audiences!J55</f>
        <v>0</v>
      </c>
    </row>
    <row r="301" spans="1:10">
      <c r="A301" s="45">
        <f>Audiences!A56</f>
        <v>20</v>
      </c>
      <c r="B301" s="46" t="str">
        <f>Audiences!B56</f>
        <v>12:30-13:15</v>
      </c>
      <c r="C301" s="46">
        <f>Audiences!C56</f>
        <v>21</v>
      </c>
      <c r="D301" s="46" t="str">
        <f>Audiences!D56</f>
        <v>12:45-13:30</v>
      </c>
      <c r="E301" s="46">
        <f>Audiences!E56</f>
        <v>0</v>
      </c>
      <c r="F301" s="46">
        <f>Audiences!F56</f>
        <v>0</v>
      </c>
      <c r="G301" s="46">
        <f>Audiences!G56</f>
        <v>0</v>
      </c>
      <c r="H301" s="46">
        <f>Audiences!H56</f>
        <v>0</v>
      </c>
      <c r="I301" s="46">
        <f>Audiences!I56</f>
        <v>0</v>
      </c>
      <c r="J301" s="47">
        <f>Audiences!J56</f>
        <v>0</v>
      </c>
    </row>
    <row r="302" spans="1:10">
      <c r="A302" s="42">
        <f>Audiences!A57</f>
        <v>20</v>
      </c>
      <c r="B302" s="43" t="str">
        <f>Audiences!B57</f>
        <v>12:30-13:15</v>
      </c>
      <c r="C302" s="43">
        <f>Audiences!C57</f>
        <v>22</v>
      </c>
      <c r="D302" s="43" t="str">
        <f>Audiences!D57</f>
        <v>13:00-14:00</v>
      </c>
      <c r="E302" s="43">
        <f>Audiences!E57</f>
        <v>0</v>
      </c>
      <c r="F302" s="43">
        <f>Audiences!F57</f>
        <v>0</v>
      </c>
      <c r="G302" s="43">
        <f>Audiences!G57</f>
        <v>0</v>
      </c>
      <c r="H302" s="43">
        <f>Audiences!H57</f>
        <v>0</v>
      </c>
      <c r="I302" s="43">
        <f>Audiences!I57</f>
        <v>0</v>
      </c>
      <c r="J302" s="44">
        <f>Audiences!J57</f>
        <v>0</v>
      </c>
    </row>
    <row r="303" spans="1:10">
      <c r="A303" s="45">
        <f>Audiences!A58</f>
        <v>21</v>
      </c>
      <c r="B303" s="46" t="str">
        <f>Audiences!B58</f>
        <v>12:45-13:30</v>
      </c>
      <c r="C303" s="46">
        <f>Audiences!C58</f>
        <v>22</v>
      </c>
      <c r="D303" s="46" t="str">
        <f>Audiences!D58</f>
        <v>13:00-14:00</v>
      </c>
      <c r="E303" s="46">
        <f>Audiences!E58</f>
        <v>0</v>
      </c>
      <c r="F303" s="46">
        <f>Audiences!F58</f>
        <v>0</v>
      </c>
      <c r="G303" s="46">
        <f>Audiences!G58</f>
        <v>0</v>
      </c>
      <c r="H303" s="46">
        <f>Audiences!H58</f>
        <v>0</v>
      </c>
      <c r="I303" s="46">
        <f>Audiences!I58</f>
        <v>0</v>
      </c>
      <c r="J303" s="47">
        <f>Audiences!J58</f>
        <v>0</v>
      </c>
    </row>
    <row r="304" spans="1:10">
      <c r="A304" s="42">
        <f>Audiences!A59</f>
        <v>21</v>
      </c>
      <c r="B304" s="43" t="str">
        <f>Audiences!B59</f>
        <v>12:45-13:30</v>
      </c>
      <c r="C304" s="43">
        <f>Audiences!C59</f>
        <v>23</v>
      </c>
      <c r="D304" s="43" t="str">
        <f>Audiences!D59</f>
        <v>13:15-14:00</v>
      </c>
      <c r="E304" s="43">
        <f>Audiences!E59</f>
        <v>0</v>
      </c>
      <c r="F304" s="43">
        <f>Audiences!F59</f>
        <v>0</v>
      </c>
      <c r="G304" s="43">
        <f>Audiences!G59</f>
        <v>0</v>
      </c>
      <c r="H304" s="43">
        <f>Audiences!H59</f>
        <v>0</v>
      </c>
      <c r="I304" s="43">
        <f>Audiences!I59</f>
        <v>0</v>
      </c>
      <c r="J304" s="44">
        <f>Audiences!J59</f>
        <v>0</v>
      </c>
    </row>
    <row r="305" spans="1:10">
      <c r="A305" s="45">
        <f>Audiences!A60</f>
        <v>22</v>
      </c>
      <c r="B305" s="46" t="str">
        <f>Audiences!B60</f>
        <v>13:00-14:00</v>
      </c>
      <c r="C305" s="46">
        <f>Audiences!C60</f>
        <v>23</v>
      </c>
      <c r="D305" s="46" t="str">
        <f>Audiences!D60</f>
        <v>13:15-14:00</v>
      </c>
      <c r="E305" s="46">
        <f>Audiences!E60</f>
        <v>0</v>
      </c>
      <c r="F305" s="46">
        <f>Audiences!F60</f>
        <v>0</v>
      </c>
      <c r="G305" s="46">
        <f>Audiences!G60</f>
        <v>0</v>
      </c>
      <c r="H305" s="46">
        <f>Audiences!H60</f>
        <v>0</v>
      </c>
      <c r="I305" s="46">
        <f>Audiences!I60</f>
        <v>0</v>
      </c>
      <c r="J305" s="47">
        <f>Audiences!J60</f>
        <v>0</v>
      </c>
    </row>
    <row r="306" spans="1:10">
      <c r="A306" s="42">
        <f>Audiences!A61</f>
        <v>22</v>
      </c>
      <c r="B306" s="43" t="str">
        <f>Audiences!B61</f>
        <v>13:00-14:00</v>
      </c>
      <c r="C306" s="43">
        <f>Audiences!C61</f>
        <v>24</v>
      </c>
      <c r="D306" s="43" t="str">
        <f>Audiences!D61</f>
        <v>13:30-14:15</v>
      </c>
      <c r="E306" s="43">
        <f>Audiences!E61</f>
        <v>0</v>
      </c>
      <c r="F306" s="43">
        <f>Audiences!F61</f>
        <v>0</v>
      </c>
      <c r="G306" s="43">
        <f>Audiences!G61</f>
        <v>0</v>
      </c>
      <c r="H306" s="43">
        <f>Audiences!H61</f>
        <v>0</v>
      </c>
      <c r="I306" s="43">
        <f>Audiences!I61</f>
        <v>0</v>
      </c>
      <c r="J306" s="44">
        <f>Audiences!J61</f>
        <v>0</v>
      </c>
    </row>
    <row r="307" spans="1:10">
      <c r="A307" s="45">
        <f>Audiences!A62</f>
        <v>22</v>
      </c>
      <c r="B307" s="46" t="str">
        <f>Audiences!B62</f>
        <v>13:00-14:00</v>
      </c>
      <c r="C307" s="46">
        <f>Audiences!C62</f>
        <v>25</v>
      </c>
      <c r="D307" s="46" t="str">
        <f>Audiences!D62</f>
        <v>13:45-14:30</v>
      </c>
      <c r="E307" s="46">
        <f>Audiences!E62</f>
        <v>0</v>
      </c>
      <c r="F307" s="46">
        <f>Audiences!F62</f>
        <v>0</v>
      </c>
      <c r="G307" s="46">
        <f>Audiences!G62</f>
        <v>0</v>
      </c>
      <c r="H307" s="46">
        <f>Audiences!H62</f>
        <v>0</v>
      </c>
      <c r="I307" s="46">
        <f>Audiences!I62</f>
        <v>0</v>
      </c>
      <c r="J307" s="47">
        <f>Audiences!J62</f>
        <v>0</v>
      </c>
    </row>
    <row r="308" spans="1:10">
      <c r="A308" s="42">
        <f>Audiences!A63</f>
        <v>23</v>
      </c>
      <c r="B308" s="43" t="str">
        <f>Audiences!B63</f>
        <v>13:15-14:00</v>
      </c>
      <c r="C308" s="43">
        <f>Audiences!C63</f>
        <v>24</v>
      </c>
      <c r="D308" s="43" t="str">
        <f>Audiences!D63</f>
        <v>13:30-14:15</v>
      </c>
      <c r="E308" s="43">
        <f>Audiences!E63</f>
        <v>0</v>
      </c>
      <c r="F308" s="43">
        <f>Audiences!F63</f>
        <v>0</v>
      </c>
      <c r="G308" s="43">
        <f>Audiences!G63</f>
        <v>0</v>
      </c>
      <c r="H308" s="43">
        <f>Audiences!H63</f>
        <v>0</v>
      </c>
      <c r="I308" s="43">
        <f>Audiences!I63</f>
        <v>0</v>
      </c>
      <c r="J308" s="44">
        <f>Audiences!J63</f>
        <v>0</v>
      </c>
    </row>
    <row r="309" spans="1:10">
      <c r="A309" s="45">
        <f>Audiences!A64</f>
        <v>23</v>
      </c>
      <c r="B309" s="46" t="str">
        <f>Audiences!B64</f>
        <v>13:15-14:00</v>
      </c>
      <c r="C309" s="46">
        <f>Audiences!C64</f>
        <v>25</v>
      </c>
      <c r="D309" s="46" t="str">
        <f>Audiences!D64</f>
        <v>13:45-14:30</v>
      </c>
      <c r="E309" s="46">
        <f>Audiences!E64</f>
        <v>0</v>
      </c>
      <c r="F309" s="46">
        <f>Audiences!F64</f>
        <v>0</v>
      </c>
      <c r="G309" s="46">
        <f>Audiences!G64</f>
        <v>0</v>
      </c>
      <c r="H309" s="46">
        <f>Audiences!H64</f>
        <v>0</v>
      </c>
      <c r="I309" s="46">
        <f>Audiences!I64</f>
        <v>0</v>
      </c>
      <c r="J309" s="47">
        <f>Audiences!J64</f>
        <v>0</v>
      </c>
    </row>
    <row r="310" spans="1:10">
      <c r="A310" s="42">
        <f>Audiences!A65</f>
        <v>24</v>
      </c>
      <c r="B310" s="43" t="str">
        <f>Audiences!B65</f>
        <v>13:30-14:15</v>
      </c>
      <c r="C310" s="43">
        <f>Audiences!C65</f>
        <v>25</v>
      </c>
      <c r="D310" s="43" t="str">
        <f>Audiences!D65</f>
        <v>13:45-14:30</v>
      </c>
      <c r="E310" s="43">
        <f>Audiences!E65</f>
        <v>0</v>
      </c>
      <c r="F310" s="43">
        <f>Audiences!F65</f>
        <v>0</v>
      </c>
      <c r="G310" s="43">
        <f>Audiences!G65</f>
        <v>0</v>
      </c>
      <c r="H310" s="43">
        <f>Audiences!H65</f>
        <v>0</v>
      </c>
      <c r="I310" s="43">
        <f>Audiences!I65</f>
        <v>0</v>
      </c>
      <c r="J310" s="44">
        <f>Audiences!J65</f>
        <v>0</v>
      </c>
    </row>
    <row r="311" spans="1:10">
      <c r="A311" s="45">
        <f>Audiences!A66</f>
        <v>24</v>
      </c>
      <c r="B311" s="46" t="str">
        <f>Audiences!B66</f>
        <v>13:30-14:15</v>
      </c>
      <c r="C311" s="46">
        <f>Audiences!C66</f>
        <v>26</v>
      </c>
      <c r="D311" s="46" t="str">
        <f>Audiences!D66</f>
        <v>14:00-15:00</v>
      </c>
      <c r="E311" s="46">
        <f>Audiences!E66</f>
        <v>1</v>
      </c>
      <c r="F311" s="46">
        <f>Audiences!F66</f>
        <v>0</v>
      </c>
      <c r="G311" s="46">
        <f>Audiences!G66</f>
        <v>0</v>
      </c>
      <c r="H311" s="46">
        <f>Audiences!H66</f>
        <v>0</v>
      </c>
      <c r="I311" s="46">
        <f>Audiences!I66</f>
        <v>0</v>
      </c>
      <c r="J311" s="47">
        <f>Audiences!J66</f>
        <v>0</v>
      </c>
    </row>
    <row r="312" spans="1:10">
      <c r="A312" s="42">
        <f>Audiences!A67</f>
        <v>25</v>
      </c>
      <c r="B312" s="43" t="str">
        <f>Audiences!B67</f>
        <v>13:45-14:30</v>
      </c>
      <c r="C312" s="43">
        <f>Audiences!C67</f>
        <v>26</v>
      </c>
      <c r="D312" s="43" t="str">
        <f>Audiences!D67</f>
        <v>14:00-15:00</v>
      </c>
      <c r="E312" s="43">
        <f>Audiences!E67</f>
        <v>1</v>
      </c>
      <c r="F312" s="43">
        <f>Audiences!F67</f>
        <v>0</v>
      </c>
      <c r="G312" s="43">
        <f>Audiences!G67</f>
        <v>0</v>
      </c>
      <c r="H312" s="43">
        <f>Audiences!H67</f>
        <v>0</v>
      </c>
      <c r="I312" s="43">
        <f>Audiences!I67</f>
        <v>0</v>
      </c>
      <c r="J312" s="44">
        <f>Audiences!J67</f>
        <v>0</v>
      </c>
    </row>
    <row r="313" spans="1:10">
      <c r="A313" s="45">
        <f>Audiences!A68</f>
        <v>25</v>
      </c>
      <c r="B313" s="46" t="str">
        <f>Audiences!B68</f>
        <v>13:45-14:30</v>
      </c>
      <c r="C313" s="46">
        <f>Audiences!C68</f>
        <v>27</v>
      </c>
      <c r="D313" s="46" t="str">
        <f>Audiences!D68</f>
        <v>14:15-15:00</v>
      </c>
      <c r="E313" s="46">
        <f>Audiences!E68</f>
        <v>0</v>
      </c>
      <c r="F313" s="46">
        <f>Audiences!F68</f>
        <v>0</v>
      </c>
      <c r="G313" s="46">
        <f>Audiences!G68</f>
        <v>0</v>
      </c>
      <c r="H313" s="46">
        <f>Audiences!H68</f>
        <v>0</v>
      </c>
      <c r="I313" s="46">
        <f>Audiences!I68</f>
        <v>0</v>
      </c>
      <c r="J313" s="47">
        <f>Audiences!J68</f>
        <v>0</v>
      </c>
    </row>
    <row r="314" spans="1:10">
      <c r="A314" s="42">
        <f>Audiences!A69</f>
        <v>26</v>
      </c>
      <c r="B314" s="43" t="str">
        <f>Audiences!B69</f>
        <v>14:00-15:00</v>
      </c>
      <c r="C314" s="43">
        <f>Audiences!C69</f>
        <v>27</v>
      </c>
      <c r="D314" s="43" t="str">
        <f>Audiences!D69</f>
        <v>14:15-15:00</v>
      </c>
      <c r="E314" s="43">
        <f>Audiences!E69</f>
        <v>1</v>
      </c>
      <c r="F314" s="43">
        <f>Audiences!F69</f>
        <v>0</v>
      </c>
      <c r="G314" s="43">
        <f>Audiences!G69</f>
        <v>0</v>
      </c>
      <c r="H314" s="43">
        <f>Audiences!H69</f>
        <v>0</v>
      </c>
      <c r="I314" s="43">
        <f>Audiences!I69</f>
        <v>0</v>
      </c>
      <c r="J314" s="44">
        <f>Audiences!J69</f>
        <v>0</v>
      </c>
    </row>
    <row r="315" spans="1:10">
      <c r="A315" s="45">
        <f>Audiences!A70</f>
        <v>26</v>
      </c>
      <c r="B315" s="46" t="str">
        <f>Audiences!B70</f>
        <v>14:00-15:00</v>
      </c>
      <c r="C315" s="46">
        <f>Audiences!C70</f>
        <v>28</v>
      </c>
      <c r="D315" s="46" t="str">
        <f>Audiences!D70</f>
        <v>14:30-15:15</v>
      </c>
      <c r="E315" s="46">
        <f>Audiences!E70</f>
        <v>1</v>
      </c>
      <c r="F315" s="46">
        <f>Audiences!F70</f>
        <v>0</v>
      </c>
      <c r="G315" s="46">
        <f>Audiences!G70</f>
        <v>0</v>
      </c>
      <c r="H315" s="46">
        <f>Audiences!H70</f>
        <v>0</v>
      </c>
      <c r="I315" s="46">
        <f>Audiences!I70</f>
        <v>0</v>
      </c>
      <c r="J315" s="47">
        <f>Audiences!J70</f>
        <v>0</v>
      </c>
    </row>
    <row r="316" spans="1:10">
      <c r="A316" s="42">
        <f>Audiences!A71</f>
        <v>26</v>
      </c>
      <c r="B316" s="43" t="str">
        <f>Audiences!B71</f>
        <v>14:00-15:00</v>
      </c>
      <c r="C316" s="43">
        <f>Audiences!C71</f>
        <v>29</v>
      </c>
      <c r="D316" s="43" t="str">
        <f>Audiences!D71</f>
        <v>14:45-15:30</v>
      </c>
      <c r="E316" s="43">
        <f>Audiences!E71</f>
        <v>1</v>
      </c>
      <c r="F316" s="43">
        <f>Audiences!F71</f>
        <v>0</v>
      </c>
      <c r="G316" s="43">
        <f>Audiences!G71</f>
        <v>0</v>
      </c>
      <c r="H316" s="43">
        <f>Audiences!H71</f>
        <v>0</v>
      </c>
      <c r="I316" s="43">
        <f>Audiences!I71</f>
        <v>0</v>
      </c>
      <c r="J316" s="44">
        <f>Audiences!J71</f>
        <v>0</v>
      </c>
    </row>
    <row r="317" spans="1:10">
      <c r="A317" s="45">
        <f>Audiences!A72</f>
        <v>27</v>
      </c>
      <c r="B317" s="46" t="str">
        <f>Audiences!B72</f>
        <v>14:15-15:00</v>
      </c>
      <c r="C317" s="46">
        <f>Audiences!C72</f>
        <v>28</v>
      </c>
      <c r="D317" s="46" t="str">
        <f>Audiences!D72</f>
        <v>14:30-15:15</v>
      </c>
      <c r="E317" s="46">
        <f>Audiences!E72</f>
        <v>0</v>
      </c>
      <c r="F317" s="46">
        <f>Audiences!F72</f>
        <v>0</v>
      </c>
      <c r="G317" s="46">
        <f>Audiences!G72</f>
        <v>0</v>
      </c>
      <c r="H317" s="46">
        <f>Audiences!H72</f>
        <v>0</v>
      </c>
      <c r="I317" s="46">
        <f>Audiences!I72</f>
        <v>0</v>
      </c>
      <c r="J317" s="47">
        <f>Audiences!J72</f>
        <v>0</v>
      </c>
    </row>
    <row r="318" spans="1:10">
      <c r="A318" s="42">
        <f>Audiences!A73</f>
        <v>27</v>
      </c>
      <c r="B318" s="43" t="str">
        <f>Audiences!B73</f>
        <v>14:15-15:00</v>
      </c>
      <c r="C318" s="43">
        <f>Audiences!C73</f>
        <v>29</v>
      </c>
      <c r="D318" s="43" t="str">
        <f>Audiences!D73</f>
        <v>14:45-15:30</v>
      </c>
      <c r="E318" s="43">
        <f>Audiences!E73</f>
        <v>0</v>
      </c>
      <c r="F318" s="43">
        <f>Audiences!F73</f>
        <v>0</v>
      </c>
      <c r="G318" s="43">
        <f>Audiences!G73</f>
        <v>0</v>
      </c>
      <c r="H318" s="43">
        <f>Audiences!H73</f>
        <v>0</v>
      </c>
      <c r="I318" s="43">
        <f>Audiences!I73</f>
        <v>0</v>
      </c>
      <c r="J318" s="44">
        <f>Audiences!J73</f>
        <v>0</v>
      </c>
    </row>
    <row r="319" spans="1:10">
      <c r="A319" s="45">
        <f>Audiences!A74</f>
        <v>28</v>
      </c>
      <c r="B319" s="46" t="str">
        <f>Audiences!B74</f>
        <v>14:30-15:15</v>
      </c>
      <c r="C319" s="46">
        <f>Audiences!C74</f>
        <v>29</v>
      </c>
      <c r="D319" s="46" t="str">
        <f>Audiences!D74</f>
        <v>14:45-15:30</v>
      </c>
      <c r="E319" s="46">
        <f>Audiences!E74</f>
        <v>0</v>
      </c>
      <c r="F319" s="46">
        <f>Audiences!F74</f>
        <v>0</v>
      </c>
      <c r="G319" s="46">
        <f>Audiences!G74</f>
        <v>0</v>
      </c>
      <c r="H319" s="46">
        <f>Audiences!H74</f>
        <v>0</v>
      </c>
      <c r="I319" s="46">
        <f>Audiences!I74</f>
        <v>0</v>
      </c>
      <c r="J319" s="47">
        <f>Audiences!J74</f>
        <v>0</v>
      </c>
    </row>
    <row r="320" spans="1:10">
      <c r="A320" s="42">
        <f>Audiences!A75</f>
        <v>28</v>
      </c>
      <c r="B320" s="43" t="str">
        <f>Audiences!B75</f>
        <v>14:30-15:15</v>
      </c>
      <c r="C320" s="43">
        <f>Audiences!C75</f>
        <v>30</v>
      </c>
      <c r="D320" s="43" t="str">
        <f>Audiences!D75</f>
        <v>15:00-16:00</v>
      </c>
      <c r="E320" s="43">
        <f>Audiences!E75</f>
        <v>0</v>
      </c>
      <c r="F320" s="43">
        <f>Audiences!F75</f>
        <v>0</v>
      </c>
      <c r="G320" s="43">
        <f>Audiences!G75</f>
        <v>0</v>
      </c>
      <c r="H320" s="43">
        <f>Audiences!H75</f>
        <v>0</v>
      </c>
      <c r="I320" s="43">
        <f>Audiences!I75</f>
        <v>0</v>
      </c>
      <c r="J320" s="44">
        <f>Audiences!J75</f>
        <v>0</v>
      </c>
    </row>
    <row r="321" spans="1:10">
      <c r="A321" s="45">
        <f>Audiences!A76</f>
        <v>29</v>
      </c>
      <c r="B321" s="46" t="str">
        <f>Audiences!B76</f>
        <v>14:45-15:30</v>
      </c>
      <c r="C321" s="46">
        <f>Audiences!C76</f>
        <v>30</v>
      </c>
      <c r="D321" s="46" t="str">
        <f>Audiences!D76</f>
        <v>15:00-16:00</v>
      </c>
      <c r="E321" s="46">
        <f>Audiences!E76</f>
        <v>0</v>
      </c>
      <c r="F321" s="46">
        <f>Audiences!F76</f>
        <v>0</v>
      </c>
      <c r="G321" s="46">
        <f>Audiences!G76</f>
        <v>0</v>
      </c>
      <c r="H321" s="46">
        <f>Audiences!H76</f>
        <v>0</v>
      </c>
      <c r="I321" s="46">
        <f>Audiences!I76</f>
        <v>0</v>
      </c>
      <c r="J321" s="47">
        <f>Audiences!J76</f>
        <v>0</v>
      </c>
    </row>
    <row r="322" spans="1:10">
      <c r="A322" s="42">
        <f>Audiences!A77</f>
        <v>29</v>
      </c>
      <c r="B322" s="43" t="str">
        <f>Audiences!B77</f>
        <v>14:45-15:30</v>
      </c>
      <c r="C322" s="43">
        <f>Audiences!C77</f>
        <v>31</v>
      </c>
      <c r="D322" s="43" t="str">
        <f>Audiences!D77</f>
        <v>15:15-16:00</v>
      </c>
      <c r="E322" s="43">
        <f>Audiences!E77</f>
        <v>0</v>
      </c>
      <c r="F322" s="43">
        <f>Audiences!F77</f>
        <v>0</v>
      </c>
      <c r="G322" s="43">
        <f>Audiences!G77</f>
        <v>0</v>
      </c>
      <c r="H322" s="43">
        <f>Audiences!H77</f>
        <v>0</v>
      </c>
      <c r="I322" s="43">
        <f>Audiences!I77</f>
        <v>0</v>
      </c>
      <c r="J322" s="44">
        <f>Audiences!J77</f>
        <v>0</v>
      </c>
    </row>
    <row r="323" spans="1:10">
      <c r="A323" s="45">
        <f>Audiences!A78</f>
        <v>30</v>
      </c>
      <c r="B323" s="46" t="str">
        <f>Audiences!B78</f>
        <v>15:00-16:00</v>
      </c>
      <c r="C323" s="46">
        <f>Audiences!C78</f>
        <v>31</v>
      </c>
      <c r="D323" s="46" t="str">
        <f>Audiences!D78</f>
        <v>15:15-16:00</v>
      </c>
      <c r="E323" s="46">
        <f>Audiences!E78</f>
        <v>0</v>
      </c>
      <c r="F323" s="46">
        <f>Audiences!F78</f>
        <v>0</v>
      </c>
      <c r="G323" s="46">
        <f>Audiences!G78</f>
        <v>0</v>
      </c>
      <c r="H323" s="46">
        <f>Audiences!H78</f>
        <v>0</v>
      </c>
      <c r="I323" s="46">
        <f>Audiences!I78</f>
        <v>0</v>
      </c>
      <c r="J323" s="47">
        <f>Audiences!J78</f>
        <v>0</v>
      </c>
    </row>
    <row r="324" spans="1:10">
      <c r="A324" s="42">
        <f>Audiences!A79</f>
        <v>30</v>
      </c>
      <c r="B324" s="43" t="str">
        <f>Audiences!B79</f>
        <v>15:00-16:00</v>
      </c>
      <c r="C324" s="43">
        <f>Audiences!C79</f>
        <v>32</v>
      </c>
      <c r="D324" s="43" t="str">
        <f>Audiences!D79</f>
        <v>15:30-16:15</v>
      </c>
      <c r="E324" s="43">
        <f>Audiences!E79</f>
        <v>0</v>
      </c>
      <c r="F324" s="43">
        <f>Audiences!F79</f>
        <v>0</v>
      </c>
      <c r="G324" s="43">
        <f>Audiences!G79</f>
        <v>0</v>
      </c>
      <c r="H324" s="43">
        <f>Audiences!H79</f>
        <v>0</v>
      </c>
      <c r="I324" s="43">
        <f>Audiences!I79</f>
        <v>0</v>
      </c>
      <c r="J324" s="44">
        <f>Audiences!J79</f>
        <v>0</v>
      </c>
    </row>
    <row r="325" spans="1:10">
      <c r="A325" s="45">
        <f>Audiences!A80</f>
        <v>30</v>
      </c>
      <c r="B325" s="46" t="str">
        <f>Audiences!B80</f>
        <v>15:00-16:00</v>
      </c>
      <c r="C325" s="46">
        <f>Audiences!C80</f>
        <v>33</v>
      </c>
      <c r="D325" s="46" t="str">
        <f>Audiences!D80</f>
        <v>15:45-16:30</v>
      </c>
      <c r="E325" s="46">
        <f>Audiences!E80</f>
        <v>0</v>
      </c>
      <c r="F325" s="46">
        <f>Audiences!F80</f>
        <v>0</v>
      </c>
      <c r="G325" s="46">
        <f>Audiences!G80</f>
        <v>0</v>
      </c>
      <c r="H325" s="46">
        <f>Audiences!H80</f>
        <v>0</v>
      </c>
      <c r="I325" s="46">
        <f>Audiences!I80</f>
        <v>0</v>
      </c>
      <c r="J325" s="47">
        <f>Audiences!J80</f>
        <v>0</v>
      </c>
    </row>
    <row r="326" spans="1:10">
      <c r="A326" s="42">
        <f>Audiences!A81</f>
        <v>31</v>
      </c>
      <c r="B326" s="43" t="str">
        <f>Audiences!B81</f>
        <v>15:15-16:00</v>
      </c>
      <c r="C326" s="43">
        <f>Audiences!C81</f>
        <v>32</v>
      </c>
      <c r="D326" s="43" t="str">
        <f>Audiences!D81</f>
        <v>15:30-16:15</v>
      </c>
      <c r="E326" s="43">
        <f>Audiences!E81</f>
        <v>0</v>
      </c>
      <c r="F326" s="43">
        <f>Audiences!F81</f>
        <v>0</v>
      </c>
      <c r="G326" s="43">
        <f>Audiences!G81</f>
        <v>0</v>
      </c>
      <c r="H326" s="43">
        <f>Audiences!H81</f>
        <v>0</v>
      </c>
      <c r="I326" s="43">
        <f>Audiences!I81</f>
        <v>0</v>
      </c>
      <c r="J326" s="44">
        <f>Audiences!J81</f>
        <v>0</v>
      </c>
    </row>
    <row r="327" spans="1:10">
      <c r="A327" s="45">
        <f>Audiences!A82</f>
        <v>31</v>
      </c>
      <c r="B327" s="46" t="str">
        <f>Audiences!B82</f>
        <v>15:15-16:00</v>
      </c>
      <c r="C327" s="46">
        <f>Audiences!C82</f>
        <v>33</v>
      </c>
      <c r="D327" s="46" t="str">
        <f>Audiences!D82</f>
        <v>15:45-16:30</v>
      </c>
      <c r="E327" s="46">
        <f>Audiences!E82</f>
        <v>0</v>
      </c>
      <c r="F327" s="46">
        <f>Audiences!F82</f>
        <v>0</v>
      </c>
      <c r="G327" s="46">
        <f>Audiences!G82</f>
        <v>0</v>
      </c>
      <c r="H327" s="46">
        <f>Audiences!H82</f>
        <v>0</v>
      </c>
      <c r="I327" s="46">
        <f>Audiences!I82</f>
        <v>0</v>
      </c>
      <c r="J327" s="47">
        <f>Audiences!J82</f>
        <v>0</v>
      </c>
    </row>
    <row r="328" spans="1:10">
      <c r="A328" s="42">
        <f>Audiences!A83</f>
        <v>32</v>
      </c>
      <c r="B328" s="43" t="str">
        <f>Audiences!B83</f>
        <v>15:30-16:15</v>
      </c>
      <c r="C328" s="43">
        <f>Audiences!C83</f>
        <v>33</v>
      </c>
      <c r="D328" s="43" t="str">
        <f>Audiences!D83</f>
        <v>15:45-16:30</v>
      </c>
      <c r="E328" s="43">
        <f>Audiences!E83</f>
        <v>0</v>
      </c>
      <c r="F328" s="43">
        <f>Audiences!F83</f>
        <v>0</v>
      </c>
      <c r="G328" s="43">
        <f>Audiences!G83</f>
        <v>0</v>
      </c>
      <c r="H328" s="43">
        <f>Audiences!H83</f>
        <v>0</v>
      </c>
      <c r="I328" s="43">
        <f>Audiences!I83</f>
        <v>0</v>
      </c>
      <c r="J328" s="44">
        <f>Audiences!J83</f>
        <v>0</v>
      </c>
    </row>
    <row r="329" spans="1:10">
      <c r="A329" s="45">
        <f>Audiences!A84</f>
        <v>32</v>
      </c>
      <c r="B329" s="46" t="str">
        <f>Audiences!B84</f>
        <v>15:30-16:15</v>
      </c>
      <c r="C329" s="46">
        <f>Audiences!C84</f>
        <v>34</v>
      </c>
      <c r="D329" s="46" t="str">
        <f>Audiences!D84</f>
        <v>16:00-17:00</v>
      </c>
      <c r="E329" s="46">
        <f>Audiences!E84</f>
        <v>0</v>
      </c>
      <c r="F329" s="46">
        <f>Audiences!F84</f>
        <v>0</v>
      </c>
      <c r="G329" s="46">
        <f>Audiences!G84</f>
        <v>0</v>
      </c>
      <c r="H329" s="46">
        <f>Audiences!H84</f>
        <v>0</v>
      </c>
      <c r="I329" s="46">
        <f>Audiences!I84</f>
        <v>0</v>
      </c>
      <c r="J329" s="47">
        <f>Audiences!J84</f>
        <v>0</v>
      </c>
    </row>
    <row r="330" spans="1:10">
      <c r="A330" s="42">
        <f>Audiences!A85</f>
        <v>33</v>
      </c>
      <c r="B330" s="43" t="str">
        <f>Audiences!B85</f>
        <v>15:45-16:30</v>
      </c>
      <c r="C330" s="43">
        <f>Audiences!C85</f>
        <v>34</v>
      </c>
      <c r="D330" s="43" t="str">
        <f>Audiences!D85</f>
        <v>16:00-17:00</v>
      </c>
      <c r="E330" s="43">
        <f>Audiences!E85</f>
        <v>0</v>
      </c>
      <c r="F330" s="43">
        <f>Audiences!F85</f>
        <v>0</v>
      </c>
      <c r="G330" s="43">
        <f>Audiences!G85</f>
        <v>0</v>
      </c>
      <c r="H330" s="43">
        <f>Audiences!H85</f>
        <v>0</v>
      </c>
      <c r="I330" s="43">
        <f>Audiences!I85</f>
        <v>0</v>
      </c>
      <c r="J330" s="44">
        <f>Audiences!J85</f>
        <v>0</v>
      </c>
    </row>
    <row r="331" spans="1:10">
      <c r="A331" s="45">
        <f>Audiences!A86</f>
        <v>33</v>
      </c>
      <c r="B331" s="46" t="str">
        <f>Audiences!B86</f>
        <v>15:45-16:30</v>
      </c>
      <c r="C331" s="46">
        <f>Audiences!C86</f>
        <v>35</v>
      </c>
      <c r="D331" s="46" t="str">
        <f>Audiences!D86</f>
        <v>16:15-17:00</v>
      </c>
      <c r="E331" s="46">
        <f>Audiences!E86</f>
        <v>0</v>
      </c>
      <c r="F331" s="46">
        <f>Audiences!F86</f>
        <v>0</v>
      </c>
      <c r="G331" s="46">
        <f>Audiences!G86</f>
        <v>0</v>
      </c>
      <c r="H331" s="46">
        <f>Audiences!H86</f>
        <v>0</v>
      </c>
      <c r="I331" s="46">
        <f>Audiences!I86</f>
        <v>0</v>
      </c>
      <c r="J331" s="47">
        <f>Audiences!J86</f>
        <v>0</v>
      </c>
    </row>
    <row r="332" spans="1:10">
      <c r="A332" s="42">
        <f>Audiences!A87</f>
        <v>34</v>
      </c>
      <c r="B332" s="43" t="str">
        <f>Audiences!B87</f>
        <v>16:00-17:00</v>
      </c>
      <c r="C332" s="43">
        <f>Audiences!C87</f>
        <v>35</v>
      </c>
      <c r="D332" s="43" t="str">
        <f>Audiences!D87</f>
        <v>16:15-17:00</v>
      </c>
      <c r="E332" s="43">
        <f>Audiences!E87</f>
        <v>0</v>
      </c>
      <c r="F332" s="43">
        <f>Audiences!F87</f>
        <v>0</v>
      </c>
      <c r="G332" s="43">
        <f>Audiences!G87</f>
        <v>0</v>
      </c>
      <c r="H332" s="43">
        <f>Audiences!H87</f>
        <v>0</v>
      </c>
      <c r="I332" s="43">
        <f>Audiences!I87</f>
        <v>0</v>
      </c>
      <c r="J332" s="44">
        <f>Audiences!J87</f>
        <v>0</v>
      </c>
    </row>
    <row r="333" spans="1:10">
      <c r="A333" s="45">
        <f>Audiences!A88</f>
        <v>34</v>
      </c>
      <c r="B333" s="46" t="str">
        <f>Audiences!B88</f>
        <v>16:00-17:00</v>
      </c>
      <c r="C333" s="46">
        <f>Audiences!C88</f>
        <v>36</v>
      </c>
      <c r="D333" s="46" t="str">
        <f>Audiences!D88</f>
        <v>16:30-17:15</v>
      </c>
      <c r="E333" s="46">
        <f>Audiences!E88</f>
        <v>0</v>
      </c>
      <c r="F333" s="46">
        <f>Audiences!F88</f>
        <v>0</v>
      </c>
      <c r="G333" s="46">
        <f>Audiences!G88</f>
        <v>0</v>
      </c>
      <c r="H333" s="46">
        <f>Audiences!H88</f>
        <v>0</v>
      </c>
      <c r="I333" s="46">
        <f>Audiences!I88</f>
        <v>0</v>
      </c>
      <c r="J333" s="47">
        <f>Audiences!J88</f>
        <v>0</v>
      </c>
    </row>
    <row r="334" spans="1:10">
      <c r="A334" s="42">
        <f>Audiences!A89</f>
        <v>34</v>
      </c>
      <c r="B334" s="43" t="str">
        <f>Audiences!B89</f>
        <v>16:00-17:00</v>
      </c>
      <c r="C334" s="43">
        <f>Audiences!C89</f>
        <v>37</v>
      </c>
      <c r="D334" s="43" t="str">
        <f>Audiences!D89</f>
        <v>16:45-17:30</v>
      </c>
      <c r="E334" s="43">
        <f>Audiences!E89</f>
        <v>0</v>
      </c>
      <c r="F334" s="43">
        <f>Audiences!F89</f>
        <v>0</v>
      </c>
      <c r="G334" s="43">
        <f>Audiences!G89</f>
        <v>0</v>
      </c>
      <c r="H334" s="43">
        <f>Audiences!H89</f>
        <v>0</v>
      </c>
      <c r="I334" s="43">
        <f>Audiences!I89</f>
        <v>0</v>
      </c>
      <c r="J334" s="44">
        <f>Audiences!J89</f>
        <v>0</v>
      </c>
    </row>
    <row r="335" spans="1:10">
      <c r="A335" s="45">
        <f>Audiences!A90</f>
        <v>35</v>
      </c>
      <c r="B335" s="46" t="str">
        <f>Audiences!B90</f>
        <v>16:15-17:00</v>
      </c>
      <c r="C335" s="46">
        <f>Audiences!C90</f>
        <v>36</v>
      </c>
      <c r="D335" s="46" t="str">
        <f>Audiences!D90</f>
        <v>16:30-17:15</v>
      </c>
      <c r="E335" s="46">
        <f>Audiences!E90</f>
        <v>0</v>
      </c>
      <c r="F335" s="46">
        <f>Audiences!F90</f>
        <v>0</v>
      </c>
      <c r="G335" s="46">
        <f>Audiences!G90</f>
        <v>0</v>
      </c>
      <c r="H335" s="46">
        <f>Audiences!H90</f>
        <v>0</v>
      </c>
      <c r="I335" s="46">
        <f>Audiences!I90</f>
        <v>0</v>
      </c>
      <c r="J335" s="47">
        <f>Audiences!J90</f>
        <v>0</v>
      </c>
    </row>
    <row r="336" spans="1:10">
      <c r="A336" s="42">
        <f>Audiences!A91</f>
        <v>35</v>
      </c>
      <c r="B336" s="43" t="str">
        <f>Audiences!B91</f>
        <v>16:15-17:00</v>
      </c>
      <c r="C336" s="43">
        <f>Audiences!C91</f>
        <v>37</v>
      </c>
      <c r="D336" s="43" t="str">
        <f>Audiences!D91</f>
        <v>16:45-17:30</v>
      </c>
      <c r="E336" s="43">
        <f>Audiences!E91</f>
        <v>0</v>
      </c>
      <c r="F336" s="43">
        <f>Audiences!F91</f>
        <v>0</v>
      </c>
      <c r="G336" s="43">
        <f>Audiences!G91</f>
        <v>0</v>
      </c>
      <c r="H336" s="43">
        <f>Audiences!H91</f>
        <v>0</v>
      </c>
      <c r="I336" s="43">
        <f>Audiences!I91</f>
        <v>0</v>
      </c>
      <c r="J336" s="44">
        <f>Audiences!J91</f>
        <v>0</v>
      </c>
    </row>
    <row r="337" spans="1:10">
      <c r="A337" s="45">
        <f>Audiences!A92</f>
        <v>36</v>
      </c>
      <c r="B337" s="46" t="str">
        <f>Audiences!B92</f>
        <v>16:30-17:15</v>
      </c>
      <c r="C337" s="46">
        <f>Audiences!C92</f>
        <v>37</v>
      </c>
      <c r="D337" s="46" t="str">
        <f>Audiences!D92</f>
        <v>16:45-17:30</v>
      </c>
      <c r="E337" s="46">
        <f>Audiences!E92</f>
        <v>0</v>
      </c>
      <c r="F337" s="46">
        <f>Audiences!F92</f>
        <v>0</v>
      </c>
      <c r="G337" s="46">
        <f>Audiences!G92</f>
        <v>0</v>
      </c>
      <c r="H337" s="46">
        <f>Audiences!H92</f>
        <v>0</v>
      </c>
      <c r="I337" s="46">
        <f>Audiences!I92</f>
        <v>0</v>
      </c>
      <c r="J337" s="47">
        <f>Audiences!J92</f>
        <v>0</v>
      </c>
    </row>
    <row r="338" spans="1:10">
      <c r="A338" s="42">
        <f>Audiences!A93</f>
        <v>36</v>
      </c>
      <c r="B338" s="43" t="str">
        <f>Audiences!B93</f>
        <v>16:30-17:15</v>
      </c>
      <c r="C338" s="43">
        <f>Audiences!C93</f>
        <v>38</v>
      </c>
      <c r="D338" s="43" t="str">
        <f>Audiences!D93</f>
        <v>17:00-18:00</v>
      </c>
      <c r="E338" s="43">
        <f>Audiences!E93</f>
        <v>0</v>
      </c>
      <c r="F338" s="43">
        <f>Audiences!F93</f>
        <v>0</v>
      </c>
      <c r="G338" s="43">
        <f>Audiences!G93</f>
        <v>0</v>
      </c>
      <c r="H338" s="43">
        <f>Audiences!H93</f>
        <v>0</v>
      </c>
      <c r="I338" s="43">
        <f>Audiences!I93</f>
        <v>0</v>
      </c>
      <c r="J338" s="44">
        <f>Audiences!J93</f>
        <v>0</v>
      </c>
    </row>
    <row r="339" spans="1:10">
      <c r="A339" s="45">
        <f>Audiences!A94</f>
        <v>37</v>
      </c>
      <c r="B339" s="46" t="str">
        <f>Audiences!B94</f>
        <v>16:45-17:30</v>
      </c>
      <c r="C339" s="46">
        <f>Audiences!C94</f>
        <v>38</v>
      </c>
      <c r="D339" s="46" t="str">
        <f>Audiences!D94</f>
        <v>17:00-18:00</v>
      </c>
      <c r="E339" s="46">
        <f>Audiences!E94</f>
        <v>0</v>
      </c>
      <c r="F339" s="46">
        <f>Audiences!F94</f>
        <v>0</v>
      </c>
      <c r="G339" s="46">
        <f>Audiences!G94</f>
        <v>0</v>
      </c>
      <c r="H339" s="46">
        <f>Audiences!H94</f>
        <v>0</v>
      </c>
      <c r="I339" s="46">
        <f>Audiences!I94</f>
        <v>0</v>
      </c>
      <c r="J339" s="47">
        <f>Audiences!J94</f>
        <v>0</v>
      </c>
    </row>
    <row r="340" spans="1:10">
      <c r="A340" s="42">
        <f>Audiences!A95</f>
        <v>37</v>
      </c>
      <c r="B340" s="43" t="str">
        <f>Audiences!B95</f>
        <v>16:45-17:30</v>
      </c>
      <c r="C340" s="43">
        <f>Audiences!C95</f>
        <v>39</v>
      </c>
      <c r="D340" s="43" t="str">
        <f>Audiences!D95</f>
        <v>17:15-18:00</v>
      </c>
      <c r="E340" s="43">
        <f>Audiences!E95</f>
        <v>0</v>
      </c>
      <c r="F340" s="43">
        <f>Audiences!F95</f>
        <v>1</v>
      </c>
      <c r="G340" s="43">
        <f>Audiences!G95</f>
        <v>0</v>
      </c>
      <c r="H340" s="43">
        <f>Audiences!H95</f>
        <v>1</v>
      </c>
      <c r="I340" s="43">
        <f>Audiences!I95</f>
        <v>0</v>
      </c>
      <c r="J340" s="44">
        <f>Audiences!J95</f>
        <v>0</v>
      </c>
    </row>
    <row r="341" spans="1:10">
      <c r="A341" s="45">
        <f>Audiences!A96</f>
        <v>38</v>
      </c>
      <c r="B341" s="46" t="str">
        <f>Audiences!B96</f>
        <v>17:00-18:00</v>
      </c>
      <c r="C341" s="46">
        <f>Audiences!C96</f>
        <v>39</v>
      </c>
      <c r="D341" s="46" t="str">
        <f>Audiences!D96</f>
        <v>17:15-18:00</v>
      </c>
      <c r="E341" s="46">
        <f>Audiences!E96</f>
        <v>0</v>
      </c>
      <c r="F341" s="46">
        <f>Audiences!F96</f>
        <v>1</v>
      </c>
      <c r="G341" s="46">
        <f>Audiences!G96</f>
        <v>0</v>
      </c>
      <c r="H341" s="46">
        <f>Audiences!H96</f>
        <v>1</v>
      </c>
      <c r="I341" s="46">
        <f>Audiences!I96</f>
        <v>0</v>
      </c>
      <c r="J341" s="47">
        <f>Audiences!J96</f>
        <v>0</v>
      </c>
    </row>
    <row r="342" spans="1:10">
      <c r="A342" s="42">
        <f>Audiences!A97</f>
        <v>38</v>
      </c>
      <c r="B342" s="43" t="str">
        <f>Audiences!B97</f>
        <v>17:00-18:00</v>
      </c>
      <c r="C342" s="43">
        <f>Audiences!C97</f>
        <v>40</v>
      </c>
      <c r="D342" s="43" t="str">
        <f>Audiences!D97</f>
        <v>17:30-18:15</v>
      </c>
      <c r="E342" s="43">
        <f>Audiences!E97</f>
        <v>0</v>
      </c>
      <c r="F342" s="43">
        <f>Audiences!F97</f>
        <v>0</v>
      </c>
      <c r="G342" s="43">
        <f>Audiences!G97</f>
        <v>0</v>
      </c>
      <c r="H342" s="43">
        <f>Audiences!H97</f>
        <v>0</v>
      </c>
      <c r="I342" s="43">
        <f>Audiences!I97</f>
        <v>0</v>
      </c>
      <c r="J342" s="44">
        <f>Audiences!J97</f>
        <v>0</v>
      </c>
    </row>
    <row r="343" spans="1:10">
      <c r="A343" s="45">
        <f>Audiences!A98</f>
        <v>38</v>
      </c>
      <c r="B343" s="46" t="str">
        <f>Audiences!B98</f>
        <v>17:00-18:00</v>
      </c>
      <c r="C343" s="46">
        <f>Audiences!C98</f>
        <v>41</v>
      </c>
      <c r="D343" s="46" t="str">
        <f>Audiences!D98</f>
        <v>17:45-18:30</v>
      </c>
      <c r="E343" s="46">
        <f>Audiences!E98</f>
        <v>0</v>
      </c>
      <c r="F343" s="46">
        <f>Audiences!F98</f>
        <v>0</v>
      </c>
      <c r="G343" s="46">
        <f>Audiences!G98</f>
        <v>0</v>
      </c>
      <c r="H343" s="46">
        <f>Audiences!H98</f>
        <v>0</v>
      </c>
      <c r="I343" s="46">
        <f>Audiences!I98</f>
        <v>0</v>
      </c>
      <c r="J343" s="47">
        <f>Audiences!J98</f>
        <v>0</v>
      </c>
    </row>
    <row r="344" spans="1:10">
      <c r="A344" s="42">
        <f>Audiences!A99</f>
        <v>39</v>
      </c>
      <c r="B344" s="43" t="str">
        <f>Audiences!B99</f>
        <v>17:15-18:00</v>
      </c>
      <c r="C344" s="43">
        <f>Audiences!C99</f>
        <v>40</v>
      </c>
      <c r="D344" s="43" t="str">
        <f>Audiences!D99</f>
        <v>17:30-18:15</v>
      </c>
      <c r="E344" s="43">
        <f>Audiences!E99</f>
        <v>0</v>
      </c>
      <c r="F344" s="43">
        <f>Audiences!F99</f>
        <v>1</v>
      </c>
      <c r="G344" s="43">
        <f>Audiences!G99</f>
        <v>0</v>
      </c>
      <c r="H344" s="43">
        <f>Audiences!H99</f>
        <v>1</v>
      </c>
      <c r="I344" s="43">
        <f>Audiences!I99</f>
        <v>0</v>
      </c>
      <c r="J344" s="44">
        <f>Audiences!J99</f>
        <v>0</v>
      </c>
    </row>
    <row r="345" spans="1:10">
      <c r="A345" s="45">
        <f>Audiences!A100</f>
        <v>39</v>
      </c>
      <c r="B345" s="46" t="str">
        <f>Audiences!B100</f>
        <v>17:15-18:00</v>
      </c>
      <c r="C345" s="46">
        <f>Audiences!C100</f>
        <v>41</v>
      </c>
      <c r="D345" s="46" t="str">
        <f>Audiences!D100</f>
        <v>17:45-18:30</v>
      </c>
      <c r="E345" s="46">
        <f>Audiences!E100</f>
        <v>0</v>
      </c>
      <c r="F345" s="46">
        <f>Audiences!F100</f>
        <v>1</v>
      </c>
      <c r="G345" s="46">
        <f>Audiences!G100</f>
        <v>0</v>
      </c>
      <c r="H345" s="46">
        <f>Audiences!H100</f>
        <v>1</v>
      </c>
      <c r="I345" s="46">
        <f>Audiences!I100</f>
        <v>0</v>
      </c>
      <c r="J345" s="47">
        <f>Audiences!J100</f>
        <v>0</v>
      </c>
    </row>
    <row r="346" spans="1:10">
      <c r="A346" s="42">
        <f>Audiences!A101</f>
        <v>40</v>
      </c>
      <c r="B346" s="43" t="str">
        <f>Audiences!B101</f>
        <v>17:30-18:15</v>
      </c>
      <c r="C346" s="43">
        <f>Audiences!C101</f>
        <v>41</v>
      </c>
      <c r="D346" s="43" t="str">
        <f>Audiences!D101</f>
        <v>17:45-18:30</v>
      </c>
      <c r="E346" s="43">
        <f>Audiences!E101</f>
        <v>0</v>
      </c>
      <c r="F346" s="43">
        <f>Audiences!F101</f>
        <v>0</v>
      </c>
      <c r="G346" s="43">
        <f>Audiences!G101</f>
        <v>0</v>
      </c>
      <c r="H346" s="43">
        <f>Audiences!H101</f>
        <v>0</v>
      </c>
      <c r="I346" s="43">
        <f>Audiences!I101</f>
        <v>0</v>
      </c>
      <c r="J346" s="44">
        <f>Audiences!J101</f>
        <v>0</v>
      </c>
    </row>
    <row r="347" spans="1:10">
      <c r="A347" s="45">
        <f>Audiences!A102</f>
        <v>40</v>
      </c>
      <c r="B347" s="46" t="str">
        <f>Audiences!B102</f>
        <v>17:30-18:15</v>
      </c>
      <c r="C347" s="46">
        <f>Audiences!C102</f>
        <v>42</v>
      </c>
      <c r="D347" s="46" t="str">
        <f>Audiences!D102</f>
        <v>18:00-19:00</v>
      </c>
      <c r="E347" s="46">
        <f>Audiences!E102</f>
        <v>0</v>
      </c>
      <c r="F347" s="46">
        <f>Audiences!F102</f>
        <v>0</v>
      </c>
      <c r="G347" s="46">
        <f>Audiences!G102</f>
        <v>0</v>
      </c>
      <c r="H347" s="46">
        <f>Audiences!H102</f>
        <v>0</v>
      </c>
      <c r="I347" s="46">
        <f>Audiences!I102</f>
        <v>0</v>
      </c>
      <c r="J347" s="47">
        <f>Audiences!J102</f>
        <v>0</v>
      </c>
    </row>
    <row r="348" spans="1:10">
      <c r="A348" s="42">
        <f>Audiences!A103</f>
        <v>41</v>
      </c>
      <c r="B348" s="43" t="str">
        <f>Audiences!B103</f>
        <v>17:45-18:30</v>
      </c>
      <c r="C348" s="43">
        <f>Audiences!C103</f>
        <v>42</v>
      </c>
      <c r="D348" s="43" t="str">
        <f>Audiences!D103</f>
        <v>18:00-19:00</v>
      </c>
      <c r="E348" s="43">
        <f>Audiences!E103</f>
        <v>0</v>
      </c>
      <c r="F348" s="43">
        <f>Audiences!F103</f>
        <v>0</v>
      </c>
      <c r="G348" s="43">
        <f>Audiences!G103</f>
        <v>0</v>
      </c>
      <c r="H348" s="43">
        <f>Audiences!H103</f>
        <v>0</v>
      </c>
      <c r="I348" s="43">
        <f>Audiences!I103</f>
        <v>0</v>
      </c>
      <c r="J348" s="44">
        <f>Audiences!J103</f>
        <v>0</v>
      </c>
    </row>
    <row r="349" spans="1:10">
      <c r="A349" s="45">
        <f>Audiences!A104</f>
        <v>41</v>
      </c>
      <c r="B349" s="46" t="str">
        <f>Audiences!B104</f>
        <v>17:45-18:30</v>
      </c>
      <c r="C349" s="46">
        <f>Audiences!C104</f>
        <v>43</v>
      </c>
      <c r="D349" s="46" t="str">
        <f>Audiences!D104</f>
        <v>18:15-19:00</v>
      </c>
      <c r="E349" s="46">
        <f>Audiences!E104</f>
        <v>0</v>
      </c>
      <c r="F349" s="46">
        <f>Audiences!F104</f>
        <v>0</v>
      </c>
      <c r="G349" s="46">
        <f>Audiences!G104</f>
        <v>0</v>
      </c>
      <c r="H349" s="46">
        <f>Audiences!H104</f>
        <v>0</v>
      </c>
      <c r="I349" s="46">
        <f>Audiences!I104</f>
        <v>0</v>
      </c>
      <c r="J349" s="47">
        <f>Audiences!J104</f>
        <v>0</v>
      </c>
    </row>
    <row r="350" spans="1:10">
      <c r="A350" s="42">
        <f>Audiences!A105</f>
        <v>42</v>
      </c>
      <c r="B350" s="43" t="str">
        <f>Audiences!B105</f>
        <v>18:00-19:00</v>
      </c>
      <c r="C350" s="43">
        <f>Audiences!C105</f>
        <v>43</v>
      </c>
      <c r="D350" s="43" t="str">
        <f>Audiences!D105</f>
        <v>18:15-19:00</v>
      </c>
      <c r="E350" s="43">
        <f>Audiences!E105</f>
        <v>0</v>
      </c>
      <c r="F350" s="43">
        <f>Audiences!F105</f>
        <v>0</v>
      </c>
      <c r="G350" s="43">
        <f>Audiences!G105</f>
        <v>0</v>
      </c>
      <c r="H350" s="43">
        <f>Audiences!H105</f>
        <v>0</v>
      </c>
      <c r="I350" s="43">
        <f>Audiences!I105</f>
        <v>0</v>
      </c>
      <c r="J350" s="44">
        <f>Audiences!J105</f>
        <v>0</v>
      </c>
    </row>
    <row r="351" spans="1:10">
      <c r="A351" s="45">
        <f>Audiences!A106</f>
        <v>42</v>
      </c>
      <c r="B351" s="46" t="str">
        <f>Audiences!B106</f>
        <v>18:00-19:00</v>
      </c>
      <c r="C351" s="46">
        <f>Audiences!C106</f>
        <v>44</v>
      </c>
      <c r="D351" s="46" t="str">
        <f>Audiences!D106</f>
        <v>18:30-19:15</v>
      </c>
      <c r="E351" s="46">
        <f>Audiences!E106</f>
        <v>0</v>
      </c>
      <c r="F351" s="46">
        <f>Audiences!F106</f>
        <v>0</v>
      </c>
      <c r="G351" s="46">
        <f>Audiences!G106</f>
        <v>0</v>
      </c>
      <c r="H351" s="46">
        <f>Audiences!H106</f>
        <v>0</v>
      </c>
      <c r="I351" s="46">
        <f>Audiences!I106</f>
        <v>0</v>
      </c>
      <c r="J351" s="47">
        <f>Audiences!J106</f>
        <v>0</v>
      </c>
    </row>
    <row r="352" spans="1:10">
      <c r="A352" s="42">
        <f>Audiences!A107</f>
        <v>42</v>
      </c>
      <c r="B352" s="43" t="str">
        <f>Audiences!B107</f>
        <v>18:00-19:00</v>
      </c>
      <c r="C352" s="43">
        <f>Audiences!C107</f>
        <v>45</v>
      </c>
      <c r="D352" s="43" t="str">
        <f>Audiences!D107</f>
        <v>18:45-19:30</v>
      </c>
      <c r="E352" s="43">
        <f>Audiences!E107</f>
        <v>0</v>
      </c>
      <c r="F352" s="43">
        <f>Audiences!F107</f>
        <v>0</v>
      </c>
      <c r="G352" s="43">
        <f>Audiences!G107</f>
        <v>0</v>
      </c>
      <c r="H352" s="43">
        <f>Audiences!H107</f>
        <v>0</v>
      </c>
      <c r="I352" s="43">
        <f>Audiences!I107</f>
        <v>0</v>
      </c>
      <c r="J352" s="44">
        <f>Audiences!J107</f>
        <v>0</v>
      </c>
    </row>
    <row r="353" spans="1:10">
      <c r="A353" s="45">
        <f>Audiences!A108</f>
        <v>43</v>
      </c>
      <c r="B353" s="46" t="str">
        <f>Audiences!B108</f>
        <v>18:15-19:00</v>
      </c>
      <c r="C353" s="46">
        <f>Audiences!C108</f>
        <v>44</v>
      </c>
      <c r="D353" s="46" t="str">
        <f>Audiences!D108</f>
        <v>18:30-19:15</v>
      </c>
      <c r="E353" s="46">
        <f>Audiences!E108</f>
        <v>0</v>
      </c>
      <c r="F353" s="46">
        <f>Audiences!F108</f>
        <v>0</v>
      </c>
      <c r="G353" s="46">
        <f>Audiences!G108</f>
        <v>0</v>
      </c>
      <c r="H353" s="46">
        <f>Audiences!H108</f>
        <v>0</v>
      </c>
      <c r="I353" s="46">
        <f>Audiences!I108</f>
        <v>0</v>
      </c>
      <c r="J353" s="47">
        <f>Audiences!J108</f>
        <v>0</v>
      </c>
    </row>
    <row r="354" spans="1:10">
      <c r="A354" s="42">
        <f>Audiences!A109</f>
        <v>43</v>
      </c>
      <c r="B354" s="43" t="str">
        <f>Audiences!B109</f>
        <v>18:15-19:00</v>
      </c>
      <c r="C354" s="43">
        <f>Audiences!C109</f>
        <v>45</v>
      </c>
      <c r="D354" s="43" t="str">
        <f>Audiences!D109</f>
        <v>18:45-19:30</v>
      </c>
      <c r="E354" s="43">
        <f>Audiences!E109</f>
        <v>0</v>
      </c>
      <c r="F354" s="43">
        <f>Audiences!F109</f>
        <v>0</v>
      </c>
      <c r="G354" s="43">
        <f>Audiences!G109</f>
        <v>0</v>
      </c>
      <c r="H354" s="43">
        <f>Audiences!H109</f>
        <v>0</v>
      </c>
      <c r="I354" s="43">
        <f>Audiences!I109</f>
        <v>0</v>
      </c>
      <c r="J354" s="44">
        <f>Audiences!J109</f>
        <v>0</v>
      </c>
    </row>
    <row r="355" spans="1:10">
      <c r="A355" s="45">
        <f>Audiences!A110</f>
        <v>44</v>
      </c>
      <c r="B355" s="46" t="str">
        <f>Audiences!B110</f>
        <v>18:30-19:15</v>
      </c>
      <c r="C355" s="46">
        <f>Audiences!C110</f>
        <v>45</v>
      </c>
      <c r="D355" s="46" t="str">
        <f>Audiences!D110</f>
        <v>18:45-19:30</v>
      </c>
      <c r="E355" s="46">
        <f>Audiences!E110</f>
        <v>0</v>
      </c>
      <c r="F355" s="46">
        <f>Audiences!F110</f>
        <v>0</v>
      </c>
      <c r="G355" s="46">
        <f>Audiences!G110</f>
        <v>0</v>
      </c>
      <c r="H355" s="46">
        <f>Audiences!H110</f>
        <v>0</v>
      </c>
      <c r="I355" s="46">
        <f>Audiences!I110</f>
        <v>0</v>
      </c>
      <c r="J355" s="47">
        <f>Audiences!J110</f>
        <v>0</v>
      </c>
    </row>
    <row r="356" spans="1:10">
      <c r="A356" s="42">
        <f>Audiences!A111</f>
        <v>44</v>
      </c>
      <c r="B356" s="43" t="str">
        <f>Audiences!B111</f>
        <v>18:30-19:15</v>
      </c>
      <c r="C356" s="43">
        <f>Audiences!C111</f>
        <v>46</v>
      </c>
      <c r="D356" s="43" t="str">
        <f>Audiences!D111</f>
        <v>19:00-20:00</v>
      </c>
      <c r="E356" s="43">
        <f>Audiences!E111</f>
        <v>0</v>
      </c>
      <c r="F356" s="43">
        <f>Audiences!F111</f>
        <v>0</v>
      </c>
      <c r="G356" s="43">
        <f>Audiences!G111</f>
        <v>0</v>
      </c>
      <c r="H356" s="43">
        <f>Audiences!H111</f>
        <v>0</v>
      </c>
      <c r="I356" s="43">
        <f>Audiences!I111</f>
        <v>0</v>
      </c>
      <c r="J356" s="44">
        <f>Audiences!J111</f>
        <v>0</v>
      </c>
    </row>
    <row r="357" spans="1:10">
      <c r="A357" s="45">
        <f>Audiences!A112</f>
        <v>45</v>
      </c>
      <c r="B357" s="46" t="str">
        <f>Audiences!B112</f>
        <v>18:45-19:30</v>
      </c>
      <c r="C357" s="46">
        <f>Audiences!C112</f>
        <v>46</v>
      </c>
      <c r="D357" s="46" t="str">
        <f>Audiences!D112</f>
        <v>19:00-20:00</v>
      </c>
      <c r="E357" s="46">
        <f>Audiences!E112</f>
        <v>0</v>
      </c>
      <c r="F357" s="46">
        <f>Audiences!F112</f>
        <v>0</v>
      </c>
      <c r="G357" s="46">
        <f>Audiences!G112</f>
        <v>0</v>
      </c>
      <c r="H357" s="46">
        <f>Audiences!H112</f>
        <v>0</v>
      </c>
      <c r="I357" s="46">
        <f>Audiences!I112</f>
        <v>0</v>
      </c>
      <c r="J357" s="47">
        <f>Audiences!J112</f>
        <v>0</v>
      </c>
    </row>
    <row r="358" spans="1:10">
      <c r="A358" s="42">
        <f>Audiences!A113</f>
        <v>45</v>
      </c>
      <c r="B358" s="43" t="str">
        <f>Audiences!B113</f>
        <v>18:45-19:30</v>
      </c>
      <c r="C358" s="43">
        <f>Audiences!C113</f>
        <v>47</v>
      </c>
      <c r="D358" s="43" t="str">
        <f>Audiences!D113</f>
        <v>19:15-20:00</v>
      </c>
      <c r="E358" s="43">
        <f>Audiences!E113</f>
        <v>0</v>
      </c>
      <c r="F358" s="43">
        <f>Audiences!F113</f>
        <v>0</v>
      </c>
      <c r="G358" s="43">
        <f>Audiences!G113</f>
        <v>0</v>
      </c>
      <c r="H358" s="43">
        <f>Audiences!H113</f>
        <v>0</v>
      </c>
      <c r="I358" s="43">
        <f>Audiences!I113</f>
        <v>0</v>
      </c>
      <c r="J358" s="44">
        <f>Audiences!J113</f>
        <v>0</v>
      </c>
    </row>
    <row r="359" spans="1:10">
      <c r="A359" s="45">
        <f>Audiences!A114</f>
        <v>46</v>
      </c>
      <c r="B359" s="46" t="str">
        <f>Audiences!B114</f>
        <v>19:00-20:00</v>
      </c>
      <c r="C359" s="46">
        <f>Audiences!C114</f>
        <v>47</v>
      </c>
      <c r="D359" s="46" t="str">
        <f>Audiences!D114</f>
        <v>19:15-20:00</v>
      </c>
      <c r="E359" s="46">
        <f>Audiences!E114</f>
        <v>0</v>
      </c>
      <c r="F359" s="46">
        <f>Audiences!F114</f>
        <v>0</v>
      </c>
      <c r="G359" s="46">
        <f>Audiences!G114</f>
        <v>0</v>
      </c>
      <c r="H359" s="46">
        <f>Audiences!H114</f>
        <v>0</v>
      </c>
      <c r="I359" s="46">
        <f>Audiences!I114</f>
        <v>0</v>
      </c>
      <c r="J359" s="47">
        <f>Audiences!J114</f>
        <v>0</v>
      </c>
    </row>
    <row r="360" spans="1:10">
      <c r="A360" s="42">
        <f>Audiences!A115</f>
        <v>46</v>
      </c>
      <c r="B360" s="43" t="str">
        <f>Audiences!B115</f>
        <v>19:00-20:00</v>
      </c>
      <c r="C360" s="43">
        <f>Audiences!C115</f>
        <v>48</v>
      </c>
      <c r="D360" s="43" t="str">
        <f>Audiences!D115</f>
        <v>19:30-20:15</v>
      </c>
      <c r="E360" s="43">
        <f>Audiences!E115</f>
        <v>0</v>
      </c>
      <c r="F360" s="43">
        <f>Audiences!F115</f>
        <v>0</v>
      </c>
      <c r="G360" s="43">
        <f>Audiences!G115</f>
        <v>0</v>
      </c>
      <c r="H360" s="43">
        <f>Audiences!H115</f>
        <v>0</v>
      </c>
      <c r="I360" s="43">
        <f>Audiences!I115</f>
        <v>0</v>
      </c>
      <c r="J360" s="44">
        <f>Audiences!J115</f>
        <v>0</v>
      </c>
    </row>
    <row r="361" spans="1:10">
      <c r="A361" s="45">
        <f>Audiences!A116</f>
        <v>46</v>
      </c>
      <c r="B361" s="46" t="str">
        <f>Audiences!B116</f>
        <v>19:00-20:00</v>
      </c>
      <c r="C361" s="46">
        <f>Audiences!C116</f>
        <v>49</v>
      </c>
      <c r="D361" s="46" t="str">
        <f>Audiences!D116</f>
        <v>19:45-20:30</v>
      </c>
      <c r="E361" s="46">
        <f>Audiences!E116</f>
        <v>0</v>
      </c>
      <c r="F361" s="46">
        <f>Audiences!F116</f>
        <v>0</v>
      </c>
      <c r="G361" s="46">
        <f>Audiences!G116</f>
        <v>0</v>
      </c>
      <c r="H361" s="46">
        <f>Audiences!H116</f>
        <v>0</v>
      </c>
      <c r="I361" s="46">
        <f>Audiences!I116</f>
        <v>0</v>
      </c>
      <c r="J361" s="47">
        <f>Audiences!J116</f>
        <v>0</v>
      </c>
    </row>
    <row r="362" spans="1:10">
      <c r="A362" s="42">
        <f>Audiences!A117</f>
        <v>47</v>
      </c>
      <c r="B362" s="43" t="str">
        <f>Audiences!B117</f>
        <v>19:15-20:00</v>
      </c>
      <c r="C362" s="43">
        <f>Audiences!C117</f>
        <v>48</v>
      </c>
      <c r="D362" s="43" t="str">
        <f>Audiences!D117</f>
        <v>19:30-20:15</v>
      </c>
      <c r="E362" s="43">
        <f>Audiences!E117</f>
        <v>0</v>
      </c>
      <c r="F362" s="43">
        <f>Audiences!F117</f>
        <v>0</v>
      </c>
      <c r="G362" s="43">
        <f>Audiences!G117</f>
        <v>0</v>
      </c>
      <c r="H362" s="43">
        <f>Audiences!H117</f>
        <v>0</v>
      </c>
      <c r="I362" s="43">
        <f>Audiences!I117</f>
        <v>0</v>
      </c>
      <c r="J362" s="44">
        <f>Audiences!J117</f>
        <v>0</v>
      </c>
    </row>
    <row r="363" spans="1:10">
      <c r="A363" s="45">
        <f>Audiences!A118</f>
        <v>47</v>
      </c>
      <c r="B363" s="46" t="str">
        <f>Audiences!B118</f>
        <v>19:15-20:00</v>
      </c>
      <c r="C363" s="46">
        <f>Audiences!C118</f>
        <v>49</v>
      </c>
      <c r="D363" s="46" t="str">
        <f>Audiences!D118</f>
        <v>19:45-20:30</v>
      </c>
      <c r="E363" s="46">
        <f>Audiences!E118</f>
        <v>0</v>
      </c>
      <c r="F363" s="46">
        <f>Audiences!F118</f>
        <v>0</v>
      </c>
      <c r="G363" s="46">
        <f>Audiences!G118</f>
        <v>0</v>
      </c>
      <c r="H363" s="46">
        <f>Audiences!H118</f>
        <v>0</v>
      </c>
      <c r="I363" s="46">
        <f>Audiences!I118</f>
        <v>0</v>
      </c>
      <c r="J363" s="47">
        <f>Audiences!J118</f>
        <v>0</v>
      </c>
    </row>
    <row r="364" spans="1:10">
      <c r="A364" s="42">
        <f>Audiences!A119</f>
        <v>48</v>
      </c>
      <c r="B364" s="43" t="str">
        <f>Audiences!B119</f>
        <v>19:30-20:15</v>
      </c>
      <c r="C364" s="43">
        <f>Audiences!C119</f>
        <v>49</v>
      </c>
      <c r="D364" s="43" t="str">
        <f>Audiences!D119</f>
        <v>19:45-20:30</v>
      </c>
      <c r="E364" s="43">
        <f>Audiences!E119</f>
        <v>0</v>
      </c>
      <c r="F364" s="43">
        <f>Audiences!F119</f>
        <v>0</v>
      </c>
      <c r="G364" s="43">
        <f>Audiences!G119</f>
        <v>0</v>
      </c>
      <c r="H364" s="43">
        <f>Audiences!H119</f>
        <v>0</v>
      </c>
      <c r="I364" s="43">
        <f>Audiences!I119</f>
        <v>0</v>
      </c>
      <c r="J364" s="44">
        <f>Audiences!J119</f>
        <v>0</v>
      </c>
    </row>
  </sheetData>
  <conditionalFormatting sqref="D75:BK123">
    <cfRule type="cellIs" dxfId="19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53"/>
  <sheetViews>
    <sheetView workbookViewId="0">
      <selection activeCell="A2" sqref="A2"/>
    </sheetView>
  </sheetViews>
  <sheetFormatPr defaultRowHeight="15"/>
  <cols>
    <col min="2" max="3" width="9.140625" style="5"/>
  </cols>
  <sheetData>
    <row r="1" spans="1:9">
      <c r="A1" t="s">
        <v>119</v>
      </c>
    </row>
    <row r="3" spans="1:9" ht="15.75" thickBot="1">
      <c r="D3" t="s">
        <v>52</v>
      </c>
    </row>
    <row r="4" spans="1:9" ht="26.25" thickBot="1">
      <c r="A4" t="str">
        <f>СВ[[#Headers],[Кол-во отрезков]]</f>
        <v>Кол-во отрезков</v>
      </c>
      <c r="B4" s="5" t="str">
        <f>СВ[[#Headers],[49]]</f>
        <v>49</v>
      </c>
      <c r="D4" s="3" t="s">
        <v>1</v>
      </c>
      <c r="E4" s="3" t="s">
        <v>2</v>
      </c>
      <c r="F4" s="3" t="s">
        <v>3</v>
      </c>
      <c r="G4" s="3" t="s">
        <v>4</v>
      </c>
      <c r="H4" s="3" t="s">
        <v>5</v>
      </c>
      <c r="I4" s="3" t="s">
        <v>6</v>
      </c>
    </row>
    <row r="5" spans="1:9">
      <c r="A5">
        <f>СВ!B28</f>
        <v>1</v>
      </c>
      <c r="B5" s="5">
        <f>СВ!C28</f>
        <v>0.35416666666666669</v>
      </c>
      <c r="C5" s="5">
        <f>СВ!D28</f>
        <v>0.38541666666666669</v>
      </c>
      <c r="D5">
        <f>SUM(DV!D18,DV!J18,DV!P18,DV!V18,DV!AB18,DV!AH18,DV!AN18,DV!AT18,DV!AZ18,DV!BF18,DV!BL17,DV!BR17,DV!BX17,DV!CD17,DV!CJ17,DV!CP17)</f>
        <v>0</v>
      </c>
      <c r="E5">
        <f>SUM(DV!E18,DV!K18,DV!Q18,DV!W18,DV!AC18,DV!AI18,DV!AO18,DV!AU18,DV!BA18,DV!BG18,DV!BM17,DV!BS17,DV!BY17,DV!CE17,DV!CK17,DV!CQ17)</f>
        <v>0</v>
      </c>
      <c r="F5">
        <f>SUM(DV!F18,DV!L18,DV!R18,DV!X18,DV!AD18,DV!AJ18,DV!AP18,DV!AV18,DV!BB18,DV!BH18,DV!BN17,DV!BT17,DV!BZ17,DV!CF17,DV!CL17,DV!CR17)</f>
        <v>0</v>
      </c>
      <c r="G5">
        <f>SUM(DV!G18,DV!M18,DV!S18,DV!Y18,DV!AE18,DV!AK18,DV!AQ18,DV!AW18,DV!BC18,DV!BI18,DV!BO17,DV!BU17,DV!CA17,DV!CG17,DV!CM17,DV!CS17)</f>
        <v>0</v>
      </c>
      <c r="H5">
        <f>SUM(DV!H18,DV!N18,DV!T18,DV!Z18,DV!AF18,DV!AL18,DV!AR18,DV!AX18,DV!BD18,DV!BJ18,DV!BP17,DV!BV17,DV!CB17,DV!CH17,DV!CN17,DV!CT17)</f>
        <v>0</v>
      </c>
      <c r="I5">
        <f>SUM(DV!I18,DV!O18,DV!U18,DV!AA18,DV!AG18,DV!AM18,DV!AS18,DV!AY18,DV!BE18,DV!BK18,DV!BQ17,DV!BW17,DV!CC17,DV!CI17,DV!CO17,DV!CU17)</f>
        <v>0</v>
      </c>
    </row>
    <row r="6" spans="1:9">
      <c r="A6">
        <f>СВ!B29</f>
        <v>2</v>
      </c>
      <c r="B6" s="5">
        <f>СВ!C29</f>
        <v>0.35416666666666669</v>
      </c>
      <c r="C6" s="5">
        <f>СВ!D29</f>
        <v>0.39583333333333331</v>
      </c>
      <c r="D6">
        <f>SUM(DV!D19,DV!J19,DV!P19,DV!V19,DV!AB19,DV!AH19,DV!AN19,DV!AT19,DV!AZ19,DV!BF19,DV!BL18,DV!BR18,DV!BX18,DV!CD18,DV!CJ18,DV!CP18)</f>
        <v>0</v>
      </c>
      <c r="E6">
        <f>SUM(DV!E19,DV!K19,DV!Q19,DV!W19,DV!AC19,DV!AI19,DV!AO19,DV!AU19,DV!BA19,DV!BG19,DV!BM18,DV!BS18,DV!BY18,DV!CE18,DV!CK18,DV!CQ18)</f>
        <v>0</v>
      </c>
      <c r="F6">
        <f>SUM(DV!F19,DV!L19,DV!R19,DV!X19,DV!AD19,DV!AJ19,DV!AP19,DV!AV19,DV!BB19,DV!BH19,DV!BN18,DV!BT18,DV!BZ18,DV!CF18,DV!CL18,DV!CR18)</f>
        <v>0</v>
      </c>
      <c r="G6">
        <f>SUM(DV!G19,DV!M19,DV!S19,DV!Y19,DV!AE19,DV!AK19,DV!AQ19,DV!AW19,DV!BC19,DV!BI19,DV!BO18,DV!BU18,DV!CA18,DV!CG18,DV!CM18,DV!CS18)</f>
        <v>0</v>
      </c>
      <c r="H6">
        <f>SUM(DV!H19,DV!N19,DV!T19,DV!Z19,DV!AF19,DV!AL19,DV!AR19,DV!AX19,DV!BD19,DV!BJ19,DV!BP18,DV!BV18,DV!CB18,DV!CH18,DV!CN18,DV!CT18)</f>
        <v>0</v>
      </c>
      <c r="I6">
        <f>SUM(DV!I19,DV!O19,DV!U19,DV!AA19,DV!AG19,DV!AM19,DV!AS19,DV!AY19,DV!BE19,DV!BK19,DV!BQ18,DV!BW18,DV!CC18,DV!CI18,DV!CO18,DV!CU18)</f>
        <v>0</v>
      </c>
    </row>
    <row r="7" spans="1:9">
      <c r="A7">
        <f>СВ!B30</f>
        <v>3</v>
      </c>
      <c r="B7" s="5">
        <f>СВ!C30</f>
        <v>0.36458333333333331</v>
      </c>
      <c r="C7" s="5">
        <f>СВ!D30</f>
        <v>0.39583333333333331</v>
      </c>
      <c r="D7">
        <f>SUM(DV!D20,DV!J20,DV!P20,DV!V20,DV!AB20,DV!AH20,DV!AN20,DV!AT20,DV!AZ20,DV!BF20,DV!BL19,DV!BR19,DV!BX19,DV!CD19,DV!CJ19,DV!CP19)</f>
        <v>0</v>
      </c>
      <c r="E7">
        <f>SUM(DV!E20,DV!K20,DV!Q20,DV!W20,DV!AC20,DV!AI20,DV!AO20,DV!AU20,DV!BA20,DV!BG20,DV!BM19,DV!BS19,DV!BY19,DV!CE19,DV!CK19,DV!CQ19)</f>
        <v>0</v>
      </c>
      <c r="F7">
        <f>SUM(DV!F20,DV!L20,DV!R20,DV!X20,DV!AD20,DV!AJ20,DV!AP20,DV!AV20,DV!BB20,DV!BH20,DV!BN19,DV!BT19,DV!BZ19,DV!CF19,DV!CL19,DV!CR19)</f>
        <v>0</v>
      </c>
      <c r="G7">
        <f>SUM(DV!G20,DV!M20,DV!S20,DV!Y20,DV!AE20,DV!AK20,DV!AQ20,DV!AW20,DV!BC20,DV!BI20,DV!BO19,DV!BU19,DV!CA19,DV!CG19,DV!CM19,DV!CS19)</f>
        <v>0</v>
      </c>
      <c r="H7">
        <f>SUM(DV!H20,DV!N20,DV!T20,DV!Z20,DV!AF20,DV!AL20,DV!AR20,DV!AX20,DV!BD20,DV!BJ20,DV!BP19,DV!BV19,DV!CB19,DV!CH19,DV!CN19,DV!CT19)</f>
        <v>0</v>
      </c>
      <c r="I7">
        <f>SUM(DV!I20,DV!O20,DV!U20,DV!AA20,DV!AG20,DV!AM20,DV!AS20,DV!AY20,DV!BE20,DV!BK20,DV!BQ19,DV!BW19,DV!CC19,DV!CI19,DV!CO19,DV!CU19)</f>
        <v>0</v>
      </c>
    </row>
    <row r="8" spans="1:9">
      <c r="A8">
        <f>СВ!B31</f>
        <v>4</v>
      </c>
      <c r="B8" s="5">
        <f>СВ!C31</f>
        <v>0.375</v>
      </c>
      <c r="C8" s="5">
        <f>СВ!D31</f>
        <v>0.40625</v>
      </c>
      <c r="D8">
        <f>SUM(DV!D21,DV!J21,DV!P21,DV!V21,DV!AB21,DV!AH21,DV!AN21,DV!AT21,DV!AZ21,DV!BF21,DV!BL20,DV!BR20,DV!BX20,DV!CD20,DV!CJ20,DV!CP20)</f>
        <v>0</v>
      </c>
      <c r="E8">
        <f>SUM(DV!E21,DV!K21,DV!Q21,DV!W21,DV!AC21,DV!AI21,DV!AO21,DV!AU21,DV!BA21,DV!BG21,DV!BM20,DV!BS20,DV!BY20,DV!CE20,DV!CK20,DV!CQ20)</f>
        <v>0</v>
      </c>
      <c r="F8">
        <f>SUM(DV!F21,DV!L21,DV!R21,DV!X21,DV!AD21,DV!AJ21,DV!AP21,DV!AV21,DV!BB21,DV!BH21,DV!BN20,DV!BT20,DV!BZ20,DV!CF20,DV!CL20,DV!CR20)</f>
        <v>0</v>
      </c>
      <c r="G8">
        <f>SUM(DV!G21,DV!M21,DV!S21,DV!Y21,DV!AE21,DV!AK21,DV!AQ21,DV!AW21,DV!BC21,DV!BI21,DV!BO20,DV!BU20,DV!CA20,DV!CG20,DV!CM20,DV!CS20)</f>
        <v>0</v>
      </c>
      <c r="H8">
        <f>SUM(DV!H21,DV!N21,DV!T21,DV!Z21,DV!AF21,DV!AL21,DV!AR21,DV!AX21,DV!BD21,DV!BJ21,DV!BP20,DV!BV20,DV!CB20,DV!CH20,DV!CN20,DV!CT20)</f>
        <v>0</v>
      </c>
      <c r="I8">
        <f>SUM(DV!I21,DV!O21,DV!U21,DV!AA21,DV!AG21,DV!AM21,DV!AS21,DV!AY21,DV!BE21,DV!BK21,DV!BQ20,DV!BW20,DV!CC20,DV!CI20,DV!CO20,DV!CU20)</f>
        <v>0</v>
      </c>
    </row>
    <row r="9" spans="1:9">
      <c r="A9">
        <f>СВ!B32</f>
        <v>5</v>
      </c>
      <c r="B9" s="5">
        <f>СВ!C32</f>
        <v>0.375</v>
      </c>
      <c r="C9" s="5">
        <f>СВ!D32</f>
        <v>0.41666666666666669</v>
      </c>
      <c r="D9">
        <f>SUM(DV!D22,DV!J22,DV!P22,DV!V22,DV!AB22,DV!AH22,DV!AN22,DV!AT22,DV!AZ22,DV!BF22,DV!BL21,DV!BR21,DV!BX21,DV!CD21,DV!CJ21,DV!CP21)</f>
        <v>0</v>
      </c>
      <c r="E9">
        <f>SUM(DV!E22,DV!K22,DV!Q22,DV!W22,DV!AC22,DV!AI22,DV!AO22,DV!AU22,DV!BA22,DV!BG22,DV!BM21,DV!BS21,DV!BY21,DV!CE21,DV!CK21,DV!CQ21)</f>
        <v>0</v>
      </c>
      <c r="F9">
        <f>SUM(DV!F22,DV!L22,DV!R22,DV!X22,DV!AD22,DV!AJ22,DV!AP22,DV!AV22,DV!BB22,DV!BH22,DV!BN21,DV!BT21,DV!BZ21,DV!CF21,DV!CL21,DV!CR21)</f>
        <v>0</v>
      </c>
      <c r="G9">
        <f>SUM(DV!G22,DV!M22,DV!S22,DV!Y22,DV!AE22,DV!AK22,DV!AQ22,DV!AW22,DV!BC22,DV!BI22,DV!BO21,DV!BU21,DV!CA21,DV!CG21,DV!CM21,DV!CS21)</f>
        <v>0</v>
      </c>
      <c r="H9">
        <f>SUM(DV!H22,DV!N22,DV!T22,DV!Z22,DV!AF22,DV!AL22,DV!AR22,DV!AX22,DV!BD22,DV!BJ22,DV!BP21,DV!BV21,DV!CB21,DV!CH21,DV!CN21,DV!CT21)</f>
        <v>0</v>
      </c>
      <c r="I9">
        <f>SUM(DV!I22,DV!O22,DV!U22,DV!AA22,DV!AG22,DV!AM22,DV!AS22,DV!AY22,DV!BE22,DV!BK22,DV!BQ21,DV!BW21,DV!CC21,DV!CI21,DV!CO21,DV!CU21)</f>
        <v>0</v>
      </c>
    </row>
    <row r="10" spans="1:9">
      <c r="A10">
        <f>СВ!B33</f>
        <v>6</v>
      </c>
      <c r="B10" s="5">
        <f>СВ!C33</f>
        <v>0.38541666666666669</v>
      </c>
      <c r="C10" s="5">
        <f>СВ!D33</f>
        <v>0.41666666666666669</v>
      </c>
      <c r="D10">
        <f>SUM(DV!D23,DV!J23,DV!P23,DV!V23,DV!AB23,DV!AH23,DV!AN23,DV!AT23,DV!AZ23,DV!BF23,DV!BL22,DV!BR22,DV!BX22,DV!CD22,DV!CJ22,DV!CP22)</f>
        <v>0</v>
      </c>
      <c r="E10">
        <f>SUM(DV!E23,DV!K23,DV!Q23,DV!W23,DV!AC23,DV!AI23,DV!AO23,DV!AU23,DV!BA23,DV!BG23,DV!BM22,DV!BS22,DV!BY22,DV!CE22,DV!CK22,DV!CQ22)</f>
        <v>0</v>
      </c>
      <c r="F10">
        <f>SUM(DV!F23,DV!L23,DV!R23,DV!X23,DV!AD23,DV!AJ23,DV!AP23,DV!AV23,DV!BB23,DV!BH23,DV!BN22,DV!BT22,DV!BZ22,DV!CF22,DV!CL22,DV!CR22)</f>
        <v>0</v>
      </c>
      <c r="G10">
        <f>SUM(DV!G23,DV!M23,DV!S23,DV!Y23,DV!AE23,DV!AK23,DV!AQ23,DV!AW23,DV!BC23,DV!BI23,DV!BO22,DV!BU22,DV!CA22,DV!CG22,DV!CM22,DV!CS22)</f>
        <v>0</v>
      </c>
      <c r="H10">
        <f>SUM(DV!H23,DV!N23,DV!T23,DV!Z23,DV!AF23,DV!AL23,DV!AR23,DV!AX23,DV!BD23,DV!BJ23,DV!BP22,DV!BV22,DV!CB22,DV!CH22,DV!CN22,DV!CT22)</f>
        <v>0</v>
      </c>
      <c r="I10">
        <f>SUM(DV!I23,DV!O23,DV!U23,DV!AA23,DV!AG23,DV!AM23,DV!AS23,DV!AY23,DV!BE23,DV!BK23,DV!BQ22,DV!BW22,DV!CC22,DV!CI22,DV!CO22,DV!CU22)</f>
        <v>0</v>
      </c>
    </row>
    <row r="11" spans="1:9">
      <c r="A11">
        <f>СВ!B34</f>
        <v>7</v>
      </c>
      <c r="B11" s="5">
        <f>СВ!C34</f>
        <v>0.39583333333333331</v>
      </c>
      <c r="C11" s="5">
        <f>СВ!D34</f>
        <v>0.42708333333333331</v>
      </c>
      <c r="D11">
        <f>SUM(DV!D24,DV!J24,DV!P24,DV!V24,DV!AB24,DV!AH24,DV!AN24,DV!AT24,DV!AZ24,DV!BF24,DV!BL23,DV!BR23,DV!BX23,DV!CD23,DV!CJ23,DV!CP23)</f>
        <v>0</v>
      </c>
      <c r="E11">
        <f>SUM(DV!E24,DV!K24,DV!Q24,DV!W24,DV!AC24,DV!AI24,DV!AO24,DV!AU24,DV!BA24,DV!BG24,DV!BM23,DV!BS23,DV!BY23,DV!CE23,DV!CK23,DV!CQ23)</f>
        <v>0</v>
      </c>
      <c r="F11">
        <f>SUM(DV!F24,DV!L24,DV!R24,DV!X24,DV!AD24,DV!AJ24,DV!AP24,DV!AV24,DV!BB24,DV!BH24,DV!BN23,DV!BT23,DV!BZ23,DV!CF23,DV!CL23,DV!CR23)</f>
        <v>0</v>
      </c>
      <c r="G11">
        <f>SUM(DV!G24,DV!M24,DV!S24,DV!Y24,DV!AE24,DV!AK24,DV!AQ24,DV!AW24,DV!BC24,DV!BI24,DV!BO23,DV!BU23,DV!CA23,DV!CG23,DV!CM23,DV!CS23)</f>
        <v>0</v>
      </c>
      <c r="H11">
        <f>SUM(DV!H24,DV!N24,DV!T24,DV!Z24,DV!AF24,DV!AL24,DV!AR24,DV!AX24,DV!BD24,DV!BJ24,DV!BP23,DV!BV23,DV!CB23,DV!CH23,DV!CN23,DV!CT23)</f>
        <v>0</v>
      </c>
      <c r="I11">
        <f>SUM(DV!I24,DV!O24,DV!U24,DV!AA24,DV!AG24,DV!AM24,DV!AS24,DV!AY24,DV!BE24,DV!BK24,DV!BQ23,DV!BW23,DV!CC23,DV!CI23,DV!CO23,DV!CU23)</f>
        <v>0</v>
      </c>
    </row>
    <row r="12" spans="1:9">
      <c r="A12">
        <f>СВ!B35</f>
        <v>8</v>
      </c>
      <c r="B12" s="5">
        <f>СВ!C35</f>
        <v>0.40625</v>
      </c>
      <c r="C12" s="5">
        <f>СВ!D35</f>
        <v>0.4375</v>
      </c>
      <c r="D12">
        <f>SUM(DV!D25,DV!J25,DV!P25,DV!V25,DV!AB25,DV!AH25,DV!AN25,DV!AT25,DV!AZ25,DV!BF25,DV!BL24,DV!BR24,DV!BX24,DV!CD24,DV!CJ24,DV!CP24)</f>
        <v>0</v>
      </c>
      <c r="E12">
        <f>SUM(DV!E25,DV!K25,DV!Q25,DV!W25,DV!AC25,DV!AI25,DV!AO25,DV!AU25,DV!BA25,DV!BG25,DV!BM24,DV!BS24,DV!BY24,DV!CE24,DV!CK24,DV!CQ24)</f>
        <v>0</v>
      </c>
      <c r="F12">
        <f>SUM(DV!F25,DV!L25,DV!R25,DV!X25,DV!AD25,DV!AJ25,DV!AP25,DV!AV25,DV!BB25,DV!BH25,DV!BN24,DV!BT24,DV!BZ24,DV!CF24,DV!CL24,DV!CR24)</f>
        <v>0</v>
      </c>
      <c r="G12">
        <f>SUM(DV!G25,DV!M25,DV!S25,DV!Y25,DV!AE25,DV!AK25,DV!AQ25,DV!AW25,DV!BC25,DV!BI25,DV!BO24,DV!BU24,DV!CA24,DV!CG24,DV!CM24,DV!CS24)</f>
        <v>0</v>
      </c>
      <c r="H12">
        <f>SUM(DV!H25,DV!N25,DV!T25,DV!Z25,DV!AF25,DV!AL25,DV!AR25,DV!AX25,DV!BD25,DV!BJ25,DV!BP24,DV!BV24,DV!CB24,DV!CH24,DV!CN24,DV!CT24)</f>
        <v>0</v>
      </c>
      <c r="I12">
        <f>SUM(DV!I25,DV!O25,DV!U25,DV!AA25,DV!AG25,DV!AM25,DV!AS25,DV!AY25,DV!BE25,DV!BK25,DV!BQ24,DV!BW24,DV!CC24,DV!CI24,DV!CO24,DV!CU24)</f>
        <v>0</v>
      </c>
    </row>
    <row r="13" spans="1:9">
      <c r="A13">
        <f>СВ!B36</f>
        <v>9</v>
      </c>
      <c r="B13" s="5">
        <f>СВ!C36</f>
        <v>0.41666666666666669</v>
      </c>
      <c r="C13" s="5">
        <f>СВ!D36</f>
        <v>0.44791666666666669</v>
      </c>
      <c r="D13">
        <f>SUM(DV!D26,DV!J26,DV!P26,DV!V26,DV!AB26,DV!AH26,DV!AN26,DV!AT26,DV!AZ26,DV!BF26,DV!BL25,DV!BR25,DV!BX25,DV!CD25,DV!CJ25,DV!CP25)</f>
        <v>0</v>
      </c>
      <c r="E13">
        <f>SUM(DV!E26,DV!K26,DV!Q26,DV!W26,DV!AC26,DV!AI26,DV!AO26,DV!AU26,DV!BA26,DV!BG26,DV!BM25,DV!BS25,DV!BY25,DV!CE25,DV!CK25,DV!CQ25)</f>
        <v>0</v>
      </c>
      <c r="F13">
        <f>SUM(DV!F26,DV!L26,DV!R26,DV!X26,DV!AD26,DV!AJ26,DV!AP26,DV!AV26,DV!BB26,DV!BH26,DV!BN25,DV!BT25,DV!BZ25,DV!CF25,DV!CL25,DV!CR25)</f>
        <v>0</v>
      </c>
      <c r="G13">
        <f>SUM(DV!G26,DV!M26,DV!S26,DV!Y26,DV!AE26,DV!AK26,DV!AQ26,DV!AW26,DV!BC26,DV!BI26,DV!BO25,DV!BU25,DV!CA25,DV!CG25,DV!CM25,DV!CS25)</f>
        <v>0</v>
      </c>
      <c r="H13">
        <f>SUM(DV!H26,DV!N26,DV!T26,DV!Z26,DV!AF26,DV!AL26,DV!AR26,DV!AX26,DV!BD26,DV!BJ26,DV!BP25,DV!BV25,DV!CB25,DV!CH25,DV!CN25,DV!CT25)</f>
        <v>0</v>
      </c>
      <c r="I13">
        <f>SUM(DV!I26,DV!O26,DV!U26,DV!AA26,DV!AG26,DV!AM26,DV!AS26,DV!AY26,DV!BE26,DV!BK26,DV!BQ25,DV!BW25,DV!CC25,DV!CI25,DV!CO25,DV!CU25)</f>
        <v>0</v>
      </c>
    </row>
    <row r="14" spans="1:9">
      <c r="A14">
        <f>СВ!B37</f>
        <v>10</v>
      </c>
      <c r="B14" s="5">
        <f>СВ!C37</f>
        <v>0.41666666666666669</v>
      </c>
      <c r="C14" s="5">
        <f>СВ!D37</f>
        <v>0.45833333333333331</v>
      </c>
      <c r="D14">
        <f>SUM(DV!D27,DV!J27,DV!P27,DV!V27,DV!AB27,DV!AH27,DV!AN27,DV!AT27,DV!AZ27,DV!BF27,DV!BL26,DV!BR26,DV!BX26,DV!CD26,DV!CJ26,DV!CP26)</f>
        <v>0</v>
      </c>
      <c r="E14">
        <f>SUM(DV!E27,DV!K27,DV!Q27,DV!W27,DV!AC27,DV!AI27,DV!AO27,DV!AU27,DV!BA27,DV!BG27,DV!BM26,DV!BS26,DV!BY26,DV!CE26,DV!CK26,DV!CQ26)</f>
        <v>0</v>
      </c>
      <c r="F14">
        <f>SUM(DV!F27,DV!L27,DV!R27,DV!X27,DV!AD27,DV!AJ27,DV!AP27,DV!AV27,DV!BB27,DV!BH27,DV!BN26,DV!BT26,DV!BZ26,DV!CF26,DV!CL26,DV!CR26)</f>
        <v>0</v>
      </c>
      <c r="G14">
        <f>SUM(DV!G27,DV!M27,DV!S27,DV!Y27,DV!AE27,DV!AK27,DV!AQ27,DV!AW27,DV!BC27,DV!BI27,DV!BO26,DV!BU26,DV!CA26,DV!CG26,DV!CM26,DV!CS26)</f>
        <v>0</v>
      </c>
      <c r="H14">
        <f>SUM(DV!H27,DV!N27,DV!T27,DV!Z27,DV!AF27,DV!AL27,DV!AR27,DV!AX27,DV!BD27,DV!BJ27,DV!BP26,DV!BV26,DV!CB26,DV!CH26,DV!CN26,DV!CT26)</f>
        <v>0</v>
      </c>
      <c r="I14">
        <f>SUM(DV!I27,DV!O27,DV!U27,DV!AA27,DV!AG27,DV!AM27,DV!AS27,DV!AY27,DV!BE27,DV!BK27,DV!BQ26,DV!BW26,DV!CC26,DV!CI26,DV!CO26,DV!CU26)</f>
        <v>0</v>
      </c>
    </row>
    <row r="15" spans="1:9">
      <c r="A15">
        <f>СВ!B38</f>
        <v>11</v>
      </c>
      <c r="B15" s="5">
        <f>СВ!C38</f>
        <v>0.42708333333333331</v>
      </c>
      <c r="C15" s="5">
        <f>СВ!D38</f>
        <v>0.45833333333333331</v>
      </c>
      <c r="D15">
        <f>SUM(DV!D28,DV!J28,DV!P28,DV!V28,DV!AB28,DV!AH28,DV!AN28,DV!AT28,DV!AZ28,DV!BF28,DV!BL27,DV!BR27,DV!BX27,DV!CD27,DV!CJ27,DV!CP27)</f>
        <v>0</v>
      </c>
      <c r="E15">
        <f>SUM(DV!E28,DV!K28,DV!Q28,DV!W28,DV!AC28,DV!AI28,DV!AO28,DV!AU28,DV!BA28,DV!BG28,DV!BM27,DV!BS27,DV!BY27,DV!CE27,DV!CK27,DV!CQ27)</f>
        <v>0</v>
      </c>
      <c r="F15">
        <f>SUM(DV!F28,DV!L28,DV!R28,DV!X28,DV!AD28,DV!AJ28,DV!AP28,DV!AV28,DV!BB28,DV!BH28,DV!BN27,DV!BT27,DV!BZ27,DV!CF27,DV!CL27,DV!CR27)</f>
        <v>0</v>
      </c>
      <c r="G15">
        <f>SUM(DV!G28,DV!M28,DV!S28,DV!Y28,DV!AE28,DV!AK28,DV!AQ28,DV!AW28,DV!BC28,DV!BI28,DV!BO27,DV!BU27,DV!CA27,DV!CG27,DV!CM27,DV!CS27)</f>
        <v>0</v>
      </c>
      <c r="H15">
        <f>SUM(DV!H28,DV!N28,DV!T28,DV!Z28,DV!AF28,DV!AL28,DV!AR28,DV!AX28,DV!BD28,DV!BJ28,DV!BP27,DV!BV27,DV!CB27,DV!CH27,DV!CN27,DV!CT27)</f>
        <v>0</v>
      </c>
      <c r="I15">
        <f>SUM(DV!I28,DV!O28,DV!U28,DV!AA28,DV!AG28,DV!AM28,DV!AS28,DV!AY28,DV!BE28,DV!BK28,DV!BQ27,DV!BW27,DV!CC27,DV!CI27,DV!CO27,DV!CU27)</f>
        <v>0</v>
      </c>
    </row>
    <row r="16" spans="1:9">
      <c r="A16">
        <f>СВ!B39</f>
        <v>12</v>
      </c>
      <c r="B16" s="5">
        <f>СВ!C39</f>
        <v>0.4375</v>
      </c>
      <c r="C16" s="5">
        <f>СВ!D39</f>
        <v>0.46875</v>
      </c>
      <c r="D16">
        <f>SUM(DV!D29,DV!J29,DV!P29,DV!V29,DV!AB29,DV!AH29,DV!AN29,DV!AT29,DV!AZ29,DV!BF29,DV!BL28,DV!BR28,DV!BX28,DV!CD28,DV!CJ28,DV!CP28)</f>
        <v>0</v>
      </c>
      <c r="E16">
        <f>SUM(DV!E29,DV!K29,DV!Q29,DV!W29,DV!AC29,DV!AI29,DV!AO29,DV!AU29,DV!BA29,DV!BG29,DV!BM28,DV!BS28,DV!BY28,DV!CE28,DV!CK28,DV!CQ28)</f>
        <v>0</v>
      </c>
      <c r="F16">
        <f>SUM(DV!F29,DV!L29,DV!R29,DV!X29,DV!AD29,DV!AJ29,DV!AP29,DV!AV29,DV!BB29,DV!BH29,DV!BN28,DV!BT28,DV!BZ28,DV!CF28,DV!CL28,DV!CR28)</f>
        <v>0</v>
      </c>
      <c r="G16">
        <f>SUM(DV!G29,DV!M29,DV!S29,DV!Y29,DV!AE29,DV!AK29,DV!AQ29,DV!AW29,DV!BC29,DV!BI29,DV!BO28,DV!BU28,DV!CA28,DV!CG28,DV!CM28,DV!CS28)</f>
        <v>0</v>
      </c>
      <c r="H16">
        <f>SUM(DV!H29,DV!N29,DV!T29,DV!Z29,DV!AF29,DV!AL29,DV!AR29,DV!AX29,DV!BD29,DV!BJ29,DV!BP28,DV!BV28,DV!CB28,DV!CH28,DV!CN28,DV!CT28)</f>
        <v>0</v>
      </c>
      <c r="I16">
        <f>SUM(DV!I29,DV!O29,DV!U29,DV!AA29,DV!AG29,DV!AM29,DV!AS29,DV!AY29,DV!BE29,DV!BK29,DV!BQ28,DV!BW28,DV!CC28,DV!CI28,DV!CO28,DV!CU28)</f>
        <v>0</v>
      </c>
    </row>
    <row r="17" spans="1:9">
      <c r="A17">
        <f>СВ!B40</f>
        <v>13</v>
      </c>
      <c r="B17" s="5">
        <f>СВ!C40</f>
        <v>0.44791666666666669</v>
      </c>
      <c r="C17" s="5">
        <f>СВ!D40</f>
        <v>0.47916666666666669</v>
      </c>
      <c r="D17">
        <f>SUM(DV!D30,DV!J30,DV!P30,DV!V30,DV!AB30,DV!AH30,DV!AN30,DV!AT30,DV!AZ30,DV!BF30,DV!BL29,DV!BR29,DV!BX29,DV!CD29,DV!CJ29,DV!CP29)</f>
        <v>0</v>
      </c>
      <c r="E17">
        <f>SUM(DV!E30,DV!K30,DV!Q30,DV!W30,DV!AC30,DV!AI30,DV!AO30,DV!AU30,DV!BA30,DV!BG30,DV!BM29,DV!BS29,DV!BY29,DV!CE29,DV!CK29,DV!CQ29)</f>
        <v>0</v>
      </c>
      <c r="F17">
        <f>SUM(DV!F30,DV!L30,DV!R30,DV!X30,DV!AD30,DV!AJ30,DV!AP30,DV!AV30,DV!BB30,DV!BH30,DV!BN29,DV!BT29,DV!BZ29,DV!CF29,DV!CL29,DV!CR29)</f>
        <v>0</v>
      </c>
      <c r="G17">
        <f>SUM(DV!G30,DV!M30,DV!S30,DV!Y30,DV!AE30,DV!AK30,DV!AQ30,DV!AW30,DV!BC30,DV!BI30,DV!BO29,DV!BU29,DV!CA29,DV!CG29,DV!CM29,DV!CS29)</f>
        <v>0</v>
      </c>
      <c r="H17">
        <f>SUM(DV!H30,DV!N30,DV!T30,DV!Z30,DV!AF30,DV!AL30,DV!AR30,DV!AX30,DV!BD30,DV!BJ30,DV!BP29,DV!BV29,DV!CB29,DV!CH29,DV!CN29,DV!CT29)</f>
        <v>0</v>
      </c>
      <c r="I17">
        <f>SUM(DV!I30,DV!O30,DV!U30,DV!AA30,DV!AG30,DV!AM30,DV!AS30,DV!AY30,DV!BE30,DV!BK30,DV!BQ29,DV!BW29,DV!CC29,DV!CI29,DV!CO29,DV!CU29)</f>
        <v>0</v>
      </c>
    </row>
    <row r="18" spans="1:9">
      <c r="A18">
        <f>СВ!B41</f>
        <v>14</v>
      </c>
      <c r="B18" s="5">
        <f>СВ!C41</f>
        <v>0.45833333333333337</v>
      </c>
      <c r="C18" s="5">
        <f>СВ!D41</f>
        <v>0.5</v>
      </c>
      <c r="D18">
        <f>SUM(DV!D31,DV!J31,DV!P31,DV!V31,DV!AB31,DV!AH31,DV!AN31,DV!AT31,DV!AZ31,DV!BF31,DV!BL30,DV!BR30,DV!BX30,DV!CD30,DV!CJ30,DV!CP30)</f>
        <v>0</v>
      </c>
      <c r="E18">
        <f>SUM(DV!E31,DV!K31,DV!Q31,DV!W31,DV!AC31,DV!AI31,DV!AO31,DV!AU31,DV!BA31,DV!BG31,DV!BM30,DV!BS30,DV!BY30,DV!CE30,DV!CK30,DV!CQ30)</f>
        <v>0</v>
      </c>
      <c r="F18">
        <f>SUM(DV!F31,DV!L31,DV!R31,DV!X31,DV!AD31,DV!AJ31,DV!AP31,DV!AV31,DV!BB31,DV!BH31,DV!BN30,DV!BT30,DV!BZ30,DV!CF30,DV!CL30,DV!CR30)</f>
        <v>0</v>
      </c>
      <c r="G18">
        <f>SUM(DV!G31,DV!M31,DV!S31,DV!Y31,DV!AE31,DV!AK31,DV!AQ31,DV!AW31,DV!BC31,DV!BI31,DV!BO30,DV!BU30,DV!CA30,DV!CG30,DV!CM30,DV!CS30)</f>
        <v>0</v>
      </c>
      <c r="H18">
        <f>SUM(DV!H31,DV!N31,DV!T31,DV!Z31,DV!AF31,DV!AL31,DV!AR31,DV!AX31,DV!BD31,DV!BJ31,DV!BP30,DV!BV30,DV!CB30,DV!CH30,DV!CN30,DV!CT30)</f>
        <v>0</v>
      </c>
      <c r="I18">
        <f>SUM(DV!I31,DV!O31,DV!U31,DV!AA31,DV!AG31,DV!AM31,DV!AS31,DV!AY31,DV!BE31,DV!BK31,DV!BQ30,DV!BW30,DV!CC30,DV!CI30,DV!CO30,DV!CU30)</f>
        <v>0</v>
      </c>
    </row>
    <row r="19" spans="1:9">
      <c r="A19">
        <f>СВ!B42</f>
        <v>15</v>
      </c>
      <c r="B19" s="5">
        <f>СВ!C42</f>
        <v>0.46875</v>
      </c>
      <c r="C19" s="5">
        <f>СВ!D42</f>
        <v>0.5</v>
      </c>
      <c r="D19">
        <f>SUM(DV!D32,DV!J32,DV!P32,DV!V32,DV!AB32,DV!AH32,DV!AN32,DV!AT32,DV!AZ32,DV!BF32,DV!BL31,DV!BR31,DV!BX31,DV!CD31,DV!CJ31,DV!CP31)</f>
        <v>0</v>
      </c>
      <c r="E19">
        <f>SUM(DV!E32,DV!K32,DV!Q32,DV!W32,DV!AC32,DV!AI32,DV!AO32,DV!AU32,DV!BA32,DV!BG32,DV!BM31,DV!BS31,DV!BY31,DV!CE31,DV!CK31,DV!CQ31)</f>
        <v>0</v>
      </c>
      <c r="F19">
        <f>SUM(DV!F32,DV!L32,DV!R32,DV!X32,DV!AD32,DV!AJ32,DV!AP32,DV!AV32,DV!BB32,DV!BH32,DV!BN31,DV!BT31,DV!BZ31,DV!CF31,DV!CL31,DV!CR31)</f>
        <v>0</v>
      </c>
      <c r="G19">
        <f>SUM(DV!G32,DV!M32,DV!S32,DV!Y32,DV!AE32,DV!AK32,DV!AQ32,DV!AW32,DV!BC32,DV!BI32,DV!BO31,DV!BU31,DV!CA31,DV!CG31,DV!CM31,DV!CS31)</f>
        <v>0</v>
      </c>
      <c r="H19">
        <f>SUM(DV!H32,DV!N32,DV!T32,DV!Z32,DV!AF32,DV!AL32,DV!AR32,DV!AX32,DV!BD32,DV!BJ32,DV!BP31,DV!BV31,DV!CB31,DV!CH31,DV!CN31,DV!CT31)</f>
        <v>0</v>
      </c>
      <c r="I19">
        <f>SUM(DV!I32,DV!O32,DV!U32,DV!AA32,DV!AG32,DV!AM32,DV!AS32,DV!AY32,DV!BE32,DV!BK32,DV!BQ31,DV!BW31,DV!CC31,DV!CI31,DV!CO31,DV!CU31)</f>
        <v>1</v>
      </c>
    </row>
    <row r="20" spans="1:9">
      <c r="A20">
        <f>СВ!B43</f>
        <v>16</v>
      </c>
      <c r="B20" s="5">
        <f>СВ!C43</f>
        <v>0.47916666666666669</v>
      </c>
      <c r="C20" s="5">
        <f>СВ!D43</f>
        <v>0.51041666666666663</v>
      </c>
      <c r="D20">
        <f>SUM(DV!D33,DV!J33,DV!P33,DV!V33,DV!AB33,DV!AH33,DV!AN33,DV!AT33,DV!AZ33,DV!BF33,DV!BL32,DV!BR32,DV!BX32,DV!CD32,DV!CJ32,DV!CP32)</f>
        <v>0</v>
      </c>
      <c r="E20">
        <f>SUM(DV!E33,DV!K33,DV!Q33,DV!W33,DV!AC33,DV!AI33,DV!AO33,DV!AU33,DV!BA33,DV!BG33,DV!BM32,DV!BS32,DV!BY32,DV!CE32,DV!CK32,DV!CQ32)</f>
        <v>0</v>
      </c>
      <c r="F20">
        <f>SUM(DV!F33,DV!L33,DV!R33,DV!X33,DV!AD33,DV!AJ33,DV!AP33,DV!AV33,DV!BB33,DV!BH33,DV!BN32,DV!BT32,DV!BZ32,DV!CF32,DV!CL32,DV!CR32)</f>
        <v>0</v>
      </c>
      <c r="G20">
        <f>SUM(DV!G33,DV!M33,DV!S33,DV!Y33,DV!AE33,DV!AK33,DV!AQ33,DV!AW33,DV!BC33,DV!BI33,DV!BO32,DV!BU32,DV!CA32,DV!CG32,DV!CM32,DV!CS32)</f>
        <v>0</v>
      </c>
      <c r="H20">
        <f>SUM(DV!H33,DV!N33,DV!T33,DV!Z33,DV!AF33,DV!AL33,DV!AR33,DV!AX33,DV!BD33,DV!BJ33,DV!BP32,DV!BV32,DV!CB32,DV!CH32,DV!CN32,DV!CT32)</f>
        <v>0</v>
      </c>
      <c r="I20">
        <f>SUM(DV!I33,DV!O33,DV!U33,DV!AA33,DV!AG33,DV!AM33,DV!AS33,DV!AY33,DV!BE33,DV!BK33,DV!BQ32,DV!BW32,DV!CC32,DV!CI32,DV!CO32,DV!CU32)</f>
        <v>0</v>
      </c>
    </row>
    <row r="21" spans="1:9">
      <c r="A21">
        <f>СВ!B44</f>
        <v>17</v>
      </c>
      <c r="B21" s="5">
        <f>СВ!C44</f>
        <v>0.48958333333333337</v>
      </c>
      <c r="C21" s="5">
        <f>СВ!D44</f>
        <v>0.52083333333333337</v>
      </c>
      <c r="D21">
        <f>SUM(DV!D34,DV!J34,DV!P34,DV!V34,DV!AB34,DV!AH34,DV!AN34,DV!AT34,DV!AZ34,DV!BF34,DV!BL33,DV!BR33,DV!BX33,DV!CD33,DV!CJ33,DV!CP33)</f>
        <v>0</v>
      </c>
      <c r="E21">
        <f>SUM(DV!E34,DV!K34,DV!Q34,DV!W34,DV!AC34,DV!AI34,DV!AO34,DV!AU34,DV!BA34,DV!BG34,DV!BM33,DV!BS33,DV!BY33,DV!CE33,DV!CK33,DV!CQ33)</f>
        <v>0</v>
      </c>
      <c r="F21">
        <f>SUM(DV!F34,DV!L34,DV!R34,DV!X34,DV!AD34,DV!AJ34,DV!AP34,DV!AV34,DV!BB34,DV!BH34,DV!BN33,DV!BT33,DV!BZ33,DV!CF33,DV!CL33,DV!CR33)</f>
        <v>0</v>
      </c>
      <c r="G21">
        <f>SUM(DV!G34,DV!M34,DV!S34,DV!Y34,DV!AE34,DV!AK34,DV!AQ34,DV!AW34,DV!BC34,DV!BI34,DV!BO33,DV!BU33,DV!CA33,DV!CG33,DV!CM33,DV!CS33)</f>
        <v>0</v>
      </c>
      <c r="H21">
        <f>SUM(DV!H34,DV!N34,DV!T34,DV!Z34,DV!AF34,DV!AL34,DV!AR34,DV!AX34,DV!BD34,DV!BJ34,DV!BP33,DV!BV33,DV!CB33,DV!CH33,DV!CN33,DV!CT33)</f>
        <v>0</v>
      </c>
      <c r="I21">
        <f>SUM(DV!I34,DV!O34,DV!U34,DV!AA34,DV!AG34,DV!AM34,DV!AS34,DV!AY34,DV!BE34,DV!BK34,DV!BQ33,DV!BW33,DV!CC33,DV!CI33,DV!CO33,DV!CU33)</f>
        <v>0</v>
      </c>
    </row>
    <row r="22" spans="1:9">
      <c r="A22">
        <f>СВ!B45</f>
        <v>18</v>
      </c>
      <c r="B22" s="5">
        <f>СВ!C45</f>
        <v>0.5</v>
      </c>
      <c r="C22" s="5">
        <f>СВ!D45</f>
        <v>0.54166666666666663</v>
      </c>
      <c r="D22">
        <f>SUM(DV!D35,DV!J35,DV!P35,DV!V35,DV!AB35,DV!AH35,DV!AN35,DV!AT35,DV!AZ35,DV!BF35,DV!BL34,DV!BR34,DV!BX34,DV!CD34,DV!CJ34,DV!CP34)</f>
        <v>0</v>
      </c>
      <c r="E22">
        <f>SUM(DV!E35,DV!K35,DV!Q35,DV!W35,DV!AC35,DV!AI35,DV!AO35,DV!AU35,DV!BA35,DV!BG35,DV!BM34,DV!BS34,DV!BY34,DV!CE34,DV!CK34,DV!CQ34)</f>
        <v>0</v>
      </c>
      <c r="F22">
        <f>SUM(DV!F35,DV!L35,DV!R35,DV!X35,DV!AD35,DV!AJ35,DV!AP35,DV!AV35,DV!BB35,DV!BH35,DV!BN34,DV!BT34,DV!BZ34,DV!CF34,DV!CL34,DV!CR34)</f>
        <v>0</v>
      </c>
      <c r="G22">
        <f>SUM(DV!G35,DV!M35,DV!S35,DV!Y35,DV!AE35,DV!AK35,DV!AQ35,DV!AW35,DV!BC35,DV!BI35,DV!BO34,DV!BU34,DV!CA34,DV!CG34,DV!CM34,DV!CS34)</f>
        <v>0</v>
      </c>
      <c r="H22">
        <f>SUM(DV!H35,DV!N35,DV!T35,DV!Z35,DV!AF35,DV!AL35,DV!AR35,DV!AX35,DV!BD35,DV!BJ35,DV!BP34,DV!BV34,DV!CB34,DV!CH34,DV!CN34,DV!CT34)</f>
        <v>0</v>
      </c>
      <c r="I22">
        <f>SUM(DV!I35,DV!O35,DV!U35,DV!AA35,DV!AG35,DV!AM35,DV!AS35,DV!AY35,DV!BE35,DV!BK35,DV!BQ34,DV!BW34,DV!CC34,DV!CI34,DV!CO34,DV!CU34)</f>
        <v>0</v>
      </c>
    </row>
    <row r="23" spans="1:9">
      <c r="A23">
        <f>СВ!B46</f>
        <v>19</v>
      </c>
      <c r="B23" s="5">
        <f>СВ!C46</f>
        <v>0.51041666666666663</v>
      </c>
      <c r="C23" s="5">
        <f>СВ!D46</f>
        <v>0.54166666666666663</v>
      </c>
      <c r="D23">
        <f>SUM(DV!D36,DV!J36,DV!P36,DV!V36,DV!AB36,DV!AH36,DV!AN36,DV!AT36,DV!AZ36,DV!BF36,DV!BL35,DV!BR35,DV!BX35,DV!CD35,DV!CJ35,DV!CP35)</f>
        <v>0</v>
      </c>
      <c r="E23">
        <f>SUM(DV!E36,DV!K36,DV!Q36,DV!W36,DV!AC36,DV!AI36,DV!AO36,DV!AU36,DV!BA36,DV!BG36,DV!BM35,DV!BS35,DV!BY35,DV!CE35,DV!CK35,DV!CQ35)</f>
        <v>0</v>
      </c>
      <c r="F23">
        <f>SUM(DV!F36,DV!L36,DV!R36,DV!X36,DV!AD36,DV!AJ36,DV!AP36,DV!AV36,DV!BB36,DV!BH36,DV!BN35,DV!BT35,DV!BZ35,DV!CF35,DV!CL35,DV!CR35)</f>
        <v>0</v>
      </c>
      <c r="G23">
        <f>SUM(DV!G36,DV!M36,DV!S36,DV!Y36,DV!AE36,DV!AK36,DV!AQ36,DV!AW36,DV!BC36,DV!BI36,DV!BO35,DV!BU35,DV!CA35,DV!CG35,DV!CM35,DV!CS35)</f>
        <v>0</v>
      </c>
      <c r="H23">
        <f>SUM(DV!H36,DV!N36,DV!T36,DV!Z36,DV!AF36,DV!AL36,DV!AR36,DV!AX36,DV!BD36,DV!BJ36,DV!BP35,DV!BV35,DV!CB35,DV!CH35,DV!CN35,DV!CT35)</f>
        <v>0</v>
      </c>
      <c r="I23">
        <f>SUM(DV!I36,DV!O36,DV!U36,DV!AA36,DV!AG36,DV!AM36,DV!AS36,DV!AY36,DV!BE36,DV!BK36,DV!BQ35,DV!BW35,DV!CC35,DV!CI35,DV!CO35,DV!CU35)</f>
        <v>0</v>
      </c>
    </row>
    <row r="24" spans="1:9">
      <c r="A24">
        <f>СВ!B47</f>
        <v>20</v>
      </c>
      <c r="B24" s="5">
        <f>СВ!C47</f>
        <v>0.52083333333333337</v>
      </c>
      <c r="C24" s="5">
        <f>СВ!D47</f>
        <v>0.55208333333333326</v>
      </c>
      <c r="D24">
        <f>SUM(DV!D37,DV!J37,DV!P37,DV!V37,DV!AB37,DV!AH37,DV!AN37,DV!AT37,DV!AZ37,DV!BF37,DV!BL36,DV!BR36,DV!BX36,DV!CD36,DV!CJ36,DV!CP36)</f>
        <v>0</v>
      </c>
      <c r="E24">
        <f>SUM(DV!E37,DV!K37,DV!Q37,DV!W37,DV!AC37,DV!AI37,DV!AO37,DV!AU37,DV!BA37,DV!BG37,DV!BM36,DV!BS36,DV!BY36,DV!CE36,DV!CK36,DV!CQ36)</f>
        <v>0</v>
      </c>
      <c r="F24">
        <f>SUM(DV!F37,DV!L37,DV!R37,DV!X37,DV!AD37,DV!AJ37,DV!AP37,DV!AV37,DV!BB37,DV!BH37,DV!BN36,DV!BT36,DV!BZ36,DV!CF36,DV!CL36,DV!CR36)</f>
        <v>0</v>
      </c>
      <c r="G24">
        <f>SUM(DV!G37,DV!M37,DV!S37,DV!Y37,DV!AE37,DV!AK37,DV!AQ37,DV!AW37,DV!BC37,DV!BI37,DV!BO36,DV!BU36,DV!CA36,DV!CG36,DV!CM36,DV!CS36)</f>
        <v>0</v>
      </c>
      <c r="H24">
        <f>SUM(DV!H37,DV!N37,DV!T37,DV!Z37,DV!AF37,DV!AL37,DV!AR37,DV!AX37,DV!BD37,DV!BJ37,DV!BP36,DV!BV36,DV!CB36,DV!CH36,DV!CN36,DV!CT36)</f>
        <v>0</v>
      </c>
      <c r="I24">
        <f>SUM(DV!I37,DV!O37,DV!U37,DV!AA37,DV!AG37,DV!AM37,DV!AS37,DV!AY37,DV!BE37,DV!BK37,DV!BQ36,DV!BW36,DV!CC36,DV!CI36,DV!CO36,DV!CU36)</f>
        <v>0</v>
      </c>
    </row>
    <row r="25" spans="1:9">
      <c r="A25">
        <f>СВ!B48</f>
        <v>21</v>
      </c>
      <c r="B25" s="5">
        <f>СВ!C48</f>
        <v>0.53125</v>
      </c>
      <c r="C25" s="5">
        <f>СВ!D48</f>
        <v>0.5625</v>
      </c>
      <c r="D25">
        <f>SUM(DV!D38,DV!J38,DV!P38,DV!V38,DV!AB38,DV!AH38,DV!AN38,DV!AT38,DV!AZ38,DV!BF38,DV!BL37,DV!BR37,DV!BX37,DV!CD37,DV!CJ37,DV!CP37)</f>
        <v>0</v>
      </c>
      <c r="E25">
        <f>SUM(DV!E38,DV!K38,DV!Q38,DV!W38,DV!AC38,DV!AI38,DV!AO38,DV!AU38,DV!BA38,DV!BG38,DV!BM37,DV!BS37,DV!BY37,DV!CE37,DV!CK37,DV!CQ37)</f>
        <v>0</v>
      </c>
      <c r="F25">
        <f>SUM(DV!F38,DV!L38,DV!R38,DV!X38,DV!AD38,DV!AJ38,DV!AP38,DV!AV38,DV!BB38,DV!BH38,DV!BN37,DV!BT37,DV!BZ37,DV!CF37,DV!CL37,DV!CR37)</f>
        <v>0</v>
      </c>
      <c r="G25">
        <f>SUM(DV!G38,DV!M38,DV!S38,DV!Y38,DV!AE38,DV!AK38,DV!AQ38,DV!AW38,DV!BC38,DV!BI38,DV!BO37,DV!BU37,DV!CA37,DV!CG37,DV!CM37,DV!CS37)</f>
        <v>0</v>
      </c>
      <c r="H25">
        <f>SUM(DV!H38,DV!N38,DV!T38,DV!Z38,DV!AF38,DV!AL38,DV!AR38,DV!AX38,DV!BD38,DV!BJ38,DV!BP37,DV!BV37,DV!CB37,DV!CH37,DV!CN37,DV!CT37)</f>
        <v>0</v>
      </c>
      <c r="I25">
        <f>SUM(DV!I38,DV!O38,DV!U38,DV!AA38,DV!AG38,DV!AM38,DV!AS38,DV!AY38,DV!BE38,DV!BK38,DV!BQ37,DV!BW37,DV!CC37,DV!CI37,DV!CO37,DV!CU37)</f>
        <v>0</v>
      </c>
    </row>
    <row r="26" spans="1:9">
      <c r="A26">
        <f>СВ!B49</f>
        <v>22</v>
      </c>
      <c r="B26" s="5">
        <f>СВ!C49</f>
        <v>0.54166666666666663</v>
      </c>
      <c r="C26" s="5">
        <f>СВ!D49</f>
        <v>0.58333333333333326</v>
      </c>
      <c r="D26">
        <f>SUM(DV!D39,DV!J39,DV!P39,DV!V39,DV!AB39,DV!AH39,DV!AN39,DV!AT39,DV!AZ39,DV!BF39,DV!BL38,DV!BR38,DV!BX38,DV!CD38,DV!CJ38,DV!CP38)</f>
        <v>0</v>
      </c>
      <c r="E26">
        <f>SUM(DV!E39,DV!K39,DV!Q39,DV!W39,DV!AC39,DV!AI39,DV!AO39,DV!AU39,DV!BA39,DV!BG39,DV!BM38,DV!BS38,DV!BY38,DV!CE38,DV!CK38,DV!CQ38)</f>
        <v>0</v>
      </c>
      <c r="F26">
        <f>SUM(DV!F39,DV!L39,DV!R39,DV!X39,DV!AD39,DV!AJ39,DV!AP39,DV!AV39,DV!BB39,DV!BH39,DV!BN38,DV!BT38,DV!BZ38,DV!CF38,DV!CL38,DV!CR38)</f>
        <v>0</v>
      </c>
      <c r="G26">
        <f>SUM(DV!G39,DV!M39,DV!S39,DV!Y39,DV!AE39,DV!AK39,DV!AQ39,DV!AW39,DV!BC39,DV!BI39,DV!BO38,DV!BU38,DV!CA38,DV!CG38,DV!CM38,DV!CS38)</f>
        <v>0</v>
      </c>
      <c r="H26">
        <f>SUM(DV!H39,DV!N39,DV!T39,DV!Z39,DV!AF39,DV!AL39,DV!AR39,DV!AX39,DV!BD39,DV!BJ39,DV!BP38,DV!BV38,DV!CB38,DV!CH38,DV!CN38,DV!CT38)</f>
        <v>0</v>
      </c>
      <c r="I26">
        <f>SUM(DV!I39,DV!O39,DV!U39,DV!AA39,DV!AG39,DV!AM39,DV!AS39,DV!AY39,DV!BE39,DV!BK39,DV!BQ38,DV!BW38,DV!CC38,DV!CI38,DV!CO38,DV!CU38)</f>
        <v>0</v>
      </c>
    </row>
    <row r="27" spans="1:9">
      <c r="A27">
        <f>СВ!B50</f>
        <v>23</v>
      </c>
      <c r="B27" s="5">
        <f>СВ!C50</f>
        <v>0.55208333333333326</v>
      </c>
      <c r="C27" s="5">
        <f>СВ!D50</f>
        <v>0.58333333333333326</v>
      </c>
      <c r="D27">
        <f>SUM(DV!D40,DV!J40,DV!P40,DV!V40,DV!AB40,DV!AH40,DV!AN40,DV!AT40,DV!AZ40,DV!BF40,DV!BL39,DV!BR39,DV!BX39,DV!CD39,DV!CJ39,DV!CP39)</f>
        <v>0</v>
      </c>
      <c r="E27">
        <f>SUM(DV!E40,DV!K40,DV!Q40,DV!W40,DV!AC40,DV!AI40,DV!AO40,DV!AU40,DV!BA40,DV!BG40,DV!BM39,DV!BS39,DV!BY39,DV!CE39,DV!CK39,DV!CQ39)</f>
        <v>0</v>
      </c>
      <c r="F27">
        <f>SUM(DV!F40,DV!L40,DV!R40,DV!X40,DV!AD40,DV!AJ40,DV!AP40,DV!AV40,DV!BB40,DV!BH40,DV!BN39,DV!BT39,DV!BZ39,DV!CF39,DV!CL39,DV!CR39)</f>
        <v>0</v>
      </c>
      <c r="G27">
        <f>SUM(DV!G40,DV!M40,DV!S40,DV!Y40,DV!AE40,DV!AK40,DV!AQ40,DV!AW40,DV!BC40,DV!BI40,DV!BO39,DV!BU39,DV!CA39,DV!CG39,DV!CM39,DV!CS39)</f>
        <v>0</v>
      </c>
      <c r="H27">
        <f>SUM(DV!H40,DV!N40,DV!T40,DV!Z40,DV!AF40,DV!AL40,DV!AR40,DV!AX40,DV!BD40,DV!BJ40,DV!BP39,DV!BV39,DV!CB39,DV!CH39,DV!CN39,DV!CT39)</f>
        <v>0</v>
      </c>
      <c r="I27">
        <f>SUM(DV!I40,DV!O40,DV!U40,DV!AA40,DV!AG40,DV!AM40,DV!AS40,DV!AY40,DV!BE40,DV!BK40,DV!BQ39,DV!BW39,DV!CC39,DV!CI39,DV!CO39,DV!CU39)</f>
        <v>0</v>
      </c>
    </row>
    <row r="28" spans="1:9">
      <c r="A28">
        <f>СВ!B51</f>
        <v>24</v>
      </c>
      <c r="B28" s="5">
        <f>СВ!C51</f>
        <v>0.5625</v>
      </c>
      <c r="C28" s="5">
        <f>СВ!D51</f>
        <v>0.59374999999999989</v>
      </c>
      <c r="D28">
        <f>SUM(DV!D41,DV!J41,DV!P41,DV!V41,DV!AB41,DV!AH41,DV!AN41,DV!AT41,DV!AZ41,DV!BF41,DV!BL40,DV!BR40,DV!BX40,DV!CD40,DV!CJ40,DV!CP40)</f>
        <v>0</v>
      </c>
      <c r="E28">
        <f>SUM(DV!E41,DV!K41,DV!Q41,DV!W41,DV!AC41,DV!AI41,DV!AO41,DV!AU41,DV!BA41,DV!BG41,DV!BM40,DV!BS40,DV!BY40,DV!CE40,DV!CK40,DV!CQ40)</f>
        <v>0</v>
      </c>
      <c r="F28">
        <f>SUM(DV!F41,DV!L41,DV!R41,DV!X41,DV!AD41,DV!AJ41,DV!AP41,DV!AV41,DV!BB41,DV!BH41,DV!BN40,DV!BT40,DV!BZ40,DV!CF40,DV!CL40,DV!CR40)</f>
        <v>0</v>
      </c>
      <c r="G28">
        <f>SUM(DV!G41,DV!M41,DV!S41,DV!Y41,DV!AE41,DV!AK41,DV!AQ41,DV!AW41,DV!BC41,DV!BI41,DV!BO40,DV!BU40,DV!CA40,DV!CG40,DV!CM40,DV!CS40)</f>
        <v>0</v>
      </c>
      <c r="H28">
        <f>SUM(DV!H41,DV!N41,DV!T41,DV!Z41,DV!AF41,DV!AL41,DV!AR41,DV!AX41,DV!BD41,DV!BJ41,DV!BP40,DV!BV40,DV!CB40,DV!CH40,DV!CN40,DV!CT40)</f>
        <v>0</v>
      </c>
      <c r="I28">
        <f>SUM(DV!I41,DV!O41,DV!U41,DV!AA41,DV!AG41,DV!AM41,DV!AS41,DV!AY41,DV!BE41,DV!BK41,DV!BQ40,DV!BW40,DV!CC40,DV!CI40,DV!CO40,DV!CU40)</f>
        <v>0</v>
      </c>
    </row>
    <row r="29" spans="1:9">
      <c r="A29">
        <f>СВ!B52</f>
        <v>25</v>
      </c>
      <c r="B29" s="5">
        <f>СВ!C52</f>
        <v>0.57291666666666663</v>
      </c>
      <c r="C29" s="5">
        <f>СВ!D52</f>
        <v>0.60416666666666663</v>
      </c>
      <c r="D29">
        <f>SUM(DV!D42,DV!J42,DV!P42,DV!V42,DV!AB42,DV!AH42,DV!AN42,DV!AT42,DV!AZ42,DV!BF42,DV!BL41,DV!BR41,DV!BX41,DV!CD41,DV!CJ41,DV!CP41)</f>
        <v>0</v>
      </c>
      <c r="E29">
        <f>SUM(DV!E42,DV!K42,DV!Q42,DV!W42,DV!AC42,DV!AI42,DV!AO42,DV!AU42,DV!BA42,DV!BG42,DV!BM41,DV!BS41,DV!BY41,DV!CE41,DV!CK41,DV!CQ41)</f>
        <v>0</v>
      </c>
      <c r="F29">
        <f>SUM(DV!F42,DV!L42,DV!R42,DV!X42,DV!AD42,DV!AJ42,DV!AP42,DV!AV42,DV!BB42,DV!BH42,DV!BN41,DV!BT41,DV!BZ41,DV!CF41,DV!CL41,DV!CR41)</f>
        <v>0</v>
      </c>
      <c r="G29">
        <f>SUM(DV!G42,DV!M42,DV!S42,DV!Y42,DV!AE42,DV!AK42,DV!AQ42,DV!AW42,DV!BC42,DV!BI42,DV!BO41,DV!BU41,DV!CA41,DV!CG41,DV!CM41,DV!CS41)</f>
        <v>0</v>
      </c>
      <c r="H29">
        <f>SUM(DV!H42,DV!N42,DV!T42,DV!Z42,DV!AF42,DV!AL42,DV!AR42,DV!AX42,DV!BD42,DV!BJ42,DV!BP41,DV!BV41,DV!CB41,DV!CH41,DV!CN41,DV!CT41)</f>
        <v>0</v>
      </c>
      <c r="I29">
        <f>SUM(DV!I42,DV!O42,DV!U42,DV!AA42,DV!AG42,DV!AM42,DV!AS42,DV!AY42,DV!BE42,DV!BK42,DV!BQ41,DV!BW41,DV!CC41,DV!CI41,DV!CO41,DV!CU41)</f>
        <v>0</v>
      </c>
    </row>
    <row r="30" spans="1:9">
      <c r="A30">
        <f>СВ!B53</f>
        <v>26</v>
      </c>
      <c r="B30" s="5">
        <f>СВ!C53</f>
        <v>0.58333333333333326</v>
      </c>
      <c r="C30" s="5">
        <f>СВ!D53</f>
        <v>0.62499999999999989</v>
      </c>
      <c r="D30">
        <f>SUM(DV!D43,DV!J43,DV!P43,DV!V43,DV!AB43,DV!AH43,DV!AN43,DV!AT43,DV!AZ43,DV!BF43,DV!BL42,DV!BR42,DV!BX42,DV!CD42,DV!CJ42,DV!CP42)</f>
        <v>1</v>
      </c>
      <c r="E30">
        <f>SUM(DV!E43,DV!K43,DV!Q43,DV!W43,DV!AC43,DV!AI43,DV!AO43,DV!AU43,DV!BA43,DV!BG43,DV!BM42,DV!BS42,DV!BY42,DV!CE42,DV!CK42,DV!CQ42)</f>
        <v>0</v>
      </c>
      <c r="F30">
        <f>SUM(DV!F43,DV!L43,DV!R43,DV!X43,DV!AD43,DV!AJ43,DV!AP43,DV!AV43,DV!BB43,DV!BH43,DV!BN42,DV!BT42,DV!BZ42,DV!CF42,DV!CL42,DV!CR42)</f>
        <v>0</v>
      </c>
      <c r="G30">
        <f>SUM(DV!G43,DV!M43,DV!S43,DV!Y43,DV!AE43,DV!AK43,DV!AQ43,DV!AW43,DV!BC43,DV!BI43,DV!BO42,DV!BU42,DV!CA42,DV!CG42,DV!CM42,DV!CS42)</f>
        <v>0</v>
      </c>
      <c r="H30">
        <f>SUM(DV!H43,DV!N43,DV!T43,DV!Z43,DV!AF43,DV!AL43,DV!AR43,DV!AX43,DV!BD43,DV!BJ43,DV!BP42,DV!BV42,DV!CB42,DV!CH42,DV!CN42,DV!CT42)</f>
        <v>0</v>
      </c>
      <c r="I30">
        <f>SUM(DV!I43,DV!O43,DV!U43,DV!AA43,DV!AG43,DV!AM43,DV!AS43,DV!AY43,DV!BE43,DV!BK43,DV!BQ42,DV!BW42,DV!CC42,DV!CI42,DV!CO42,DV!CU42)</f>
        <v>0</v>
      </c>
    </row>
    <row r="31" spans="1:9">
      <c r="A31">
        <f>СВ!B54</f>
        <v>27</v>
      </c>
      <c r="B31" s="5">
        <f>СВ!C54</f>
        <v>0.59374999999999989</v>
      </c>
      <c r="C31" s="5">
        <f>СВ!D54</f>
        <v>0.62499999999999989</v>
      </c>
      <c r="D31">
        <f>SUM(DV!D44,DV!J44,DV!P44,DV!V44,DV!AB44,DV!AH44,DV!AN44,DV!AT44,DV!AZ44,DV!BF44,DV!BL43,DV!BR43,DV!BX43,DV!CD43,DV!CJ43,DV!CP43)</f>
        <v>0</v>
      </c>
      <c r="E31">
        <f>SUM(DV!E44,DV!K44,DV!Q44,DV!W44,DV!AC44,DV!AI44,DV!AO44,DV!AU44,DV!BA44,DV!BG44,DV!BM43,DV!BS43,DV!BY43,DV!CE43,DV!CK43,DV!CQ43)</f>
        <v>0</v>
      </c>
      <c r="F31">
        <f>SUM(DV!F44,DV!L44,DV!R44,DV!X44,DV!AD44,DV!AJ44,DV!AP44,DV!AV44,DV!BB44,DV!BH44,DV!BN43,DV!BT43,DV!BZ43,DV!CF43,DV!CL43,DV!CR43)</f>
        <v>0</v>
      </c>
      <c r="G31">
        <f>SUM(DV!G44,DV!M44,DV!S44,DV!Y44,DV!AE44,DV!AK44,DV!AQ44,DV!AW44,DV!BC44,DV!BI44,DV!BO43,DV!BU43,DV!CA43,DV!CG43,DV!CM43,DV!CS43)</f>
        <v>0</v>
      </c>
      <c r="H31">
        <f>SUM(DV!H44,DV!N44,DV!T44,DV!Z44,DV!AF44,DV!AL44,DV!AR44,DV!AX44,DV!BD44,DV!BJ44,DV!BP43,DV!BV43,DV!CB43,DV!CH43,DV!CN43,DV!CT43)</f>
        <v>0</v>
      </c>
      <c r="I31">
        <f>SUM(DV!I44,DV!O44,DV!U44,DV!AA44,DV!AG44,DV!AM44,DV!AS44,DV!AY44,DV!BE44,DV!BK44,DV!BQ43,DV!BW43,DV!CC43,DV!CI43,DV!CO43,DV!CU43)</f>
        <v>0</v>
      </c>
    </row>
    <row r="32" spans="1:9">
      <c r="A32">
        <f>СВ!B55</f>
        <v>28</v>
      </c>
      <c r="B32" s="5">
        <f>СВ!C55</f>
        <v>0.60416666666666663</v>
      </c>
      <c r="C32" s="5">
        <f>СВ!D55</f>
        <v>0.63541666666666652</v>
      </c>
      <c r="D32">
        <f>SUM(DV!D45,DV!J45,DV!P45,DV!V45,DV!AB45,DV!AH45,DV!AN45,DV!AT45,DV!AZ45,DV!BF45,DV!BL44,DV!BR44,DV!BX44,DV!CD44,DV!CJ44,DV!CP44)</f>
        <v>0</v>
      </c>
      <c r="E32">
        <f>SUM(DV!E45,DV!K45,DV!Q45,DV!W45,DV!AC45,DV!AI45,DV!AO45,DV!AU45,DV!BA45,DV!BG45,DV!BM44,DV!BS44,DV!BY44,DV!CE44,DV!CK44,DV!CQ44)</f>
        <v>0</v>
      </c>
      <c r="F32">
        <f>SUM(DV!F45,DV!L45,DV!R45,DV!X45,DV!AD45,DV!AJ45,DV!AP45,DV!AV45,DV!BB45,DV!BH45,DV!BN44,DV!BT44,DV!BZ44,DV!CF44,DV!CL44,DV!CR44)</f>
        <v>0</v>
      </c>
      <c r="G32">
        <f>SUM(DV!G45,DV!M45,DV!S45,DV!Y45,DV!AE45,DV!AK45,DV!AQ45,DV!AW45,DV!BC45,DV!BI45,DV!BO44,DV!BU44,DV!CA44,DV!CG44,DV!CM44,DV!CS44)</f>
        <v>0</v>
      </c>
      <c r="H32">
        <f>SUM(DV!H45,DV!N45,DV!T45,DV!Z45,DV!AF45,DV!AL45,DV!AR45,DV!AX45,DV!BD45,DV!BJ45,DV!BP44,DV!BV44,DV!CB44,DV!CH44,DV!CN44,DV!CT44)</f>
        <v>0</v>
      </c>
      <c r="I32">
        <f>SUM(DV!I45,DV!O45,DV!U45,DV!AA45,DV!AG45,DV!AM45,DV!AS45,DV!AY45,DV!BE45,DV!BK45,DV!BQ44,DV!BW44,DV!CC44,DV!CI44,DV!CO44,DV!CU44)</f>
        <v>0</v>
      </c>
    </row>
    <row r="33" spans="1:9">
      <c r="A33">
        <f>СВ!B56</f>
        <v>29</v>
      </c>
      <c r="B33" s="5">
        <f>СВ!C56</f>
        <v>0.61458333333333326</v>
      </c>
      <c r="C33" s="5">
        <f>СВ!D56</f>
        <v>0.64583333333333326</v>
      </c>
      <c r="D33">
        <f>SUM(DV!D46,DV!J46,DV!P46,DV!V46,DV!AB46,DV!AH46,DV!AN46,DV!AT46,DV!AZ46,DV!BF46,DV!BL45,DV!BR45,DV!BX45,DV!CD45,DV!CJ45,DV!CP45)</f>
        <v>0</v>
      </c>
      <c r="E33">
        <f>SUM(DV!E46,DV!K46,DV!Q46,DV!W46,DV!AC46,DV!AI46,DV!AO46,DV!AU46,DV!BA46,DV!BG46,DV!BM45,DV!BS45,DV!BY45,DV!CE45,DV!CK45,DV!CQ45)</f>
        <v>0</v>
      </c>
      <c r="F33">
        <f>SUM(DV!F46,DV!L46,DV!R46,DV!X46,DV!AD46,DV!AJ46,DV!AP46,DV!AV46,DV!BB46,DV!BH46,DV!BN45,DV!BT45,DV!BZ45,DV!CF45,DV!CL45,DV!CR45)</f>
        <v>0</v>
      </c>
      <c r="G33">
        <f>SUM(DV!G46,DV!M46,DV!S46,DV!Y46,DV!AE46,DV!AK46,DV!AQ46,DV!AW46,DV!BC46,DV!BI46,DV!BO45,DV!BU45,DV!CA45,DV!CG45,DV!CM45,DV!CS45)</f>
        <v>0</v>
      </c>
      <c r="H33">
        <f>SUM(DV!H46,DV!N46,DV!T46,DV!Z46,DV!AF46,DV!AL46,DV!AR46,DV!AX46,DV!BD46,DV!BJ46,DV!BP45,DV!BV45,DV!CB45,DV!CH45,DV!CN45,DV!CT45)</f>
        <v>0</v>
      </c>
      <c r="I33">
        <f>SUM(DV!I46,DV!O46,DV!U46,DV!AA46,DV!AG46,DV!AM46,DV!AS46,DV!AY46,DV!BE46,DV!BK46,DV!BQ45,DV!BW45,DV!CC45,DV!CI45,DV!CO45,DV!CU45)</f>
        <v>0</v>
      </c>
    </row>
    <row r="34" spans="1:9">
      <c r="A34">
        <f>СВ!B57</f>
        <v>30</v>
      </c>
      <c r="B34" s="5">
        <f>СВ!C57</f>
        <v>0.62499999999999989</v>
      </c>
      <c r="C34" s="5">
        <f>СВ!D57</f>
        <v>0.66666666666666652</v>
      </c>
      <c r="D34">
        <f>SUM(DV!D47,DV!J47,DV!P47,DV!V47,DV!AB47,DV!AH47,DV!AN47,DV!AT47,DV!AZ47,DV!BF47,DV!BL46,DV!BR46,DV!BX46,DV!CD46,DV!CJ46,DV!CP46)</f>
        <v>0</v>
      </c>
      <c r="E34">
        <f>SUM(DV!E47,DV!K47,DV!Q47,DV!W47,DV!AC47,DV!AI47,DV!AO47,DV!AU47,DV!BA47,DV!BG47,DV!BM46,DV!BS46,DV!BY46,DV!CE46,DV!CK46,DV!CQ46)</f>
        <v>0</v>
      </c>
      <c r="F34">
        <f>SUM(DV!F47,DV!L47,DV!R47,DV!X47,DV!AD47,DV!AJ47,DV!AP47,DV!AV47,DV!BB47,DV!BH47,DV!BN46,DV!BT46,DV!BZ46,DV!CF46,DV!CL46,DV!CR46)</f>
        <v>0</v>
      </c>
      <c r="G34">
        <f>SUM(DV!G47,DV!M47,DV!S47,DV!Y47,DV!AE47,DV!AK47,DV!AQ47,DV!AW47,DV!BC47,DV!BI47,DV!BO46,DV!BU46,DV!CA46,DV!CG46,DV!CM46,DV!CS46)</f>
        <v>0</v>
      </c>
      <c r="H34">
        <f>SUM(DV!H47,DV!N47,DV!T47,DV!Z47,DV!AF47,DV!AL47,DV!AR47,DV!AX47,DV!BD47,DV!BJ47,DV!BP46,DV!BV46,DV!CB46,DV!CH46,DV!CN46,DV!CT46)</f>
        <v>0</v>
      </c>
      <c r="I34">
        <f>SUM(DV!I47,DV!O47,DV!U47,DV!AA47,DV!AG47,DV!AM47,DV!AS47,DV!AY47,DV!BE47,DV!BK47,DV!BQ46,DV!BW46,DV!CC46,DV!CI46,DV!CO46,DV!CU46)</f>
        <v>0</v>
      </c>
    </row>
    <row r="35" spans="1:9">
      <c r="A35">
        <f>СВ!B58</f>
        <v>31</v>
      </c>
      <c r="B35" s="5">
        <f>СВ!C58</f>
        <v>0.63541666666666652</v>
      </c>
      <c r="C35" s="5">
        <f>СВ!D58</f>
        <v>0.66666666666666652</v>
      </c>
      <c r="D35">
        <f>SUM(DV!D48,DV!J48,DV!P48,DV!V48,DV!AB48,DV!AH48,DV!AN48,DV!AT48,DV!AZ48,DV!BF48,DV!BL47,DV!BR47,DV!BX47,DV!CD47,DV!CJ47,DV!CP47)</f>
        <v>0</v>
      </c>
      <c r="E35">
        <f>SUM(DV!E48,DV!K48,DV!Q48,DV!W48,DV!AC48,DV!AI48,DV!AO48,DV!AU48,DV!BA48,DV!BG48,DV!BM47,DV!BS47,DV!BY47,DV!CE47,DV!CK47,DV!CQ47)</f>
        <v>0</v>
      </c>
      <c r="F35">
        <f>SUM(DV!F48,DV!L48,DV!R48,DV!X48,DV!AD48,DV!AJ48,DV!AP48,DV!AV48,DV!BB48,DV!BH48,DV!BN47,DV!BT47,DV!BZ47,DV!CF47,DV!CL47,DV!CR47)</f>
        <v>0</v>
      </c>
      <c r="G35">
        <f>SUM(DV!G48,DV!M48,DV!S48,DV!Y48,DV!AE48,DV!AK48,DV!AQ48,DV!AW48,DV!BC48,DV!BI48,DV!BO47,DV!BU47,DV!CA47,DV!CG47,DV!CM47,DV!CS47)</f>
        <v>0</v>
      </c>
      <c r="H35">
        <f>SUM(DV!H48,DV!N48,DV!T48,DV!Z48,DV!AF48,DV!AL48,DV!AR48,DV!AX48,DV!BD48,DV!BJ48,DV!BP47,DV!BV47,DV!CB47,DV!CH47,DV!CN47,DV!CT47)</f>
        <v>0</v>
      </c>
      <c r="I35">
        <f>SUM(DV!I48,DV!O48,DV!U48,DV!AA48,DV!AG48,DV!AM48,DV!AS48,DV!AY48,DV!BE48,DV!BK48,DV!BQ47,DV!BW47,DV!CC47,DV!CI47,DV!CO47,DV!CU47)</f>
        <v>0</v>
      </c>
    </row>
    <row r="36" spans="1:9">
      <c r="A36">
        <f>СВ!B59</f>
        <v>32</v>
      </c>
      <c r="B36" s="5">
        <f>СВ!C59</f>
        <v>0.64583333333333326</v>
      </c>
      <c r="C36" s="5">
        <f>СВ!D59</f>
        <v>0.67708333333333315</v>
      </c>
      <c r="D36">
        <f>SUM(DV!D49,DV!J49,DV!P49,DV!V49,DV!AB49,DV!AH49,DV!AN49,DV!AT49,DV!AZ49,DV!BF49,DV!BL48,DV!BR48,DV!BX48,DV!CD48,DV!CJ48,DV!CP48)</f>
        <v>0</v>
      </c>
      <c r="E36">
        <f>SUM(DV!E49,DV!K49,DV!Q49,DV!W49,DV!AC49,DV!AI49,DV!AO49,DV!AU49,DV!BA49,DV!BG49,DV!BM48,DV!BS48,DV!BY48,DV!CE48,DV!CK48,DV!CQ48)</f>
        <v>0</v>
      </c>
      <c r="F36">
        <f>SUM(DV!F49,DV!L49,DV!R49,DV!X49,DV!AD49,DV!AJ49,DV!AP49,DV!AV49,DV!BB49,DV!BH49,DV!BN48,DV!BT48,DV!BZ48,DV!CF48,DV!CL48,DV!CR48)</f>
        <v>0</v>
      </c>
      <c r="G36">
        <f>SUM(DV!G49,DV!M49,DV!S49,DV!Y49,DV!AE49,DV!AK49,DV!AQ49,DV!AW49,DV!BC49,DV!BI49,DV!BO48,DV!BU48,DV!CA48,DV!CG48,DV!CM48,DV!CS48)</f>
        <v>0</v>
      </c>
      <c r="H36">
        <f>SUM(DV!H49,DV!N49,DV!T49,DV!Z49,DV!AF49,DV!AL49,DV!AR49,DV!AX49,DV!BD49,DV!BJ49,DV!BP48,DV!BV48,DV!CB48,DV!CH48,DV!CN48,DV!CT48)</f>
        <v>0</v>
      </c>
      <c r="I36">
        <f>SUM(DV!I49,DV!O49,DV!U49,DV!AA49,DV!AG49,DV!AM49,DV!AS49,DV!AY49,DV!BE49,DV!BK49,DV!BQ48,DV!BW48,DV!CC48,DV!CI48,DV!CO48,DV!CU48)</f>
        <v>0</v>
      </c>
    </row>
    <row r="37" spans="1:9">
      <c r="A37">
        <f>СВ!B60</f>
        <v>33</v>
      </c>
      <c r="B37" s="5">
        <f>СВ!C60</f>
        <v>0.65624999999999989</v>
      </c>
      <c r="C37" s="5">
        <f>СВ!D60</f>
        <v>0.68749999999999989</v>
      </c>
      <c r="D37">
        <f>SUM(DV!D50,DV!J50,DV!P50,DV!V50,DV!AB50,DV!AH50,DV!AN50,DV!AT50,DV!AZ50,DV!BF50,DV!BL49,DV!BR49,DV!BX49,DV!CD49,DV!CJ49,DV!CP49)</f>
        <v>0</v>
      </c>
      <c r="E37">
        <f>SUM(DV!E50,DV!K50,DV!Q50,DV!W50,DV!AC50,DV!AI50,DV!AO50,DV!AU50,DV!BA50,DV!BG50,DV!BM49,DV!BS49,DV!BY49,DV!CE49,DV!CK49,DV!CQ49)</f>
        <v>0</v>
      </c>
      <c r="F37">
        <f>SUM(DV!F50,DV!L50,DV!R50,DV!X50,DV!AD50,DV!AJ50,DV!AP50,DV!AV50,DV!BB50,DV!BH50,DV!BN49,DV!BT49,DV!BZ49,DV!CF49,DV!CL49,DV!CR49)</f>
        <v>0</v>
      </c>
      <c r="G37">
        <f>SUM(DV!G50,DV!M50,DV!S50,DV!Y50,DV!AE50,DV!AK50,DV!AQ50,DV!AW50,DV!BC50,DV!BI50,DV!BO49,DV!BU49,DV!CA49,DV!CG49,DV!CM49,DV!CS49)</f>
        <v>0</v>
      </c>
      <c r="H37">
        <f>SUM(DV!H50,DV!N50,DV!T50,DV!Z50,DV!AF50,DV!AL50,DV!AR50,DV!AX50,DV!BD50,DV!BJ50,DV!BP49,DV!BV49,DV!CB49,DV!CH49,DV!CN49,DV!CT49)</f>
        <v>0</v>
      </c>
      <c r="I37">
        <f>SUM(DV!I50,DV!O50,DV!U50,DV!AA50,DV!AG50,DV!AM50,DV!AS50,DV!AY50,DV!BE50,DV!BK50,DV!BQ49,DV!BW49,DV!CC49,DV!CI49,DV!CO49,DV!CU49)</f>
        <v>0</v>
      </c>
    </row>
    <row r="38" spans="1:9">
      <c r="A38">
        <f>СВ!B61</f>
        <v>34</v>
      </c>
      <c r="B38" s="5">
        <f>СВ!C61</f>
        <v>0.66666666666666652</v>
      </c>
      <c r="C38" s="5">
        <f>СВ!D61</f>
        <v>0.70833333333333315</v>
      </c>
      <c r="D38">
        <f>SUM(DV!D51,DV!J51,DV!P51,DV!V51,DV!AB51,DV!AH51,DV!AN51,DV!AT51,DV!AZ51,DV!BF51,DV!BL50,DV!BR50,DV!BX50,DV!CD50,DV!CJ50,DV!CP50)</f>
        <v>0</v>
      </c>
      <c r="E38">
        <f>SUM(DV!E51,DV!K51,DV!Q51,DV!W51,DV!AC51,DV!AI51,DV!AO51,DV!AU51,DV!BA51,DV!BG51,DV!BM50,DV!BS50,DV!BY50,DV!CE50,DV!CK50,DV!CQ50)</f>
        <v>0</v>
      </c>
      <c r="F38">
        <f>SUM(DV!F51,DV!L51,DV!R51,DV!X51,DV!AD51,DV!AJ51,DV!AP51,DV!AV51,DV!BB51,DV!BH51,DV!BN50,DV!BT50,DV!BZ50,DV!CF50,DV!CL50,DV!CR50)</f>
        <v>0</v>
      </c>
      <c r="G38">
        <f>SUM(DV!G51,DV!M51,DV!S51,DV!Y51,DV!AE51,DV!AK51,DV!AQ51,DV!AW51,DV!BC51,DV!BI51,DV!BO50,DV!BU50,DV!CA50,DV!CG50,DV!CM50,DV!CS50)</f>
        <v>0</v>
      </c>
      <c r="H38">
        <f>SUM(DV!H51,DV!N51,DV!T51,DV!Z51,DV!AF51,DV!AL51,DV!AR51,DV!AX51,DV!BD51,DV!BJ51,DV!BP50,DV!BV50,DV!CB50,DV!CH50,DV!CN50,DV!CT50)</f>
        <v>0</v>
      </c>
      <c r="I38">
        <f>SUM(DV!I51,DV!O51,DV!U51,DV!AA51,DV!AG51,DV!AM51,DV!AS51,DV!AY51,DV!BE51,DV!BK51,DV!BQ50,DV!BW50,DV!CC50,DV!CI50,DV!CO50,DV!CU50)</f>
        <v>0</v>
      </c>
    </row>
    <row r="39" spans="1:9">
      <c r="A39">
        <f>СВ!B62</f>
        <v>35</v>
      </c>
      <c r="B39" s="5">
        <f>СВ!C62</f>
        <v>0.67708333333333315</v>
      </c>
      <c r="C39" s="5">
        <f>СВ!D62</f>
        <v>0.70833333333333315</v>
      </c>
      <c r="D39">
        <f>SUM(DV!D52,DV!J52,DV!P52,DV!V52,DV!AB52,DV!AH52,DV!AN52,DV!AT52,DV!AZ52,DV!BF52,DV!BL51,DV!BR51,DV!BX51,DV!CD51,DV!CJ51,DV!CP51)</f>
        <v>0</v>
      </c>
      <c r="E39">
        <f>SUM(DV!E52,DV!K52,DV!Q52,DV!W52,DV!AC52,DV!AI52,DV!AO52,DV!AU52,DV!BA52,DV!BG52,DV!BM51,DV!BS51,DV!BY51,DV!CE51,DV!CK51,DV!CQ51)</f>
        <v>0</v>
      </c>
      <c r="F39">
        <f>SUM(DV!F52,DV!L52,DV!R52,DV!X52,DV!AD52,DV!AJ52,DV!AP52,DV!AV52,DV!BB52,DV!BH52,DV!BN51,DV!BT51,DV!BZ51,DV!CF51,DV!CL51,DV!CR51)</f>
        <v>0</v>
      </c>
      <c r="G39">
        <f>SUM(DV!G52,DV!M52,DV!S52,DV!Y52,DV!AE52,DV!AK52,DV!AQ52,DV!AW52,DV!BC52,DV!BI52,DV!BO51,DV!BU51,DV!CA51,DV!CG51,DV!CM51,DV!CS51)</f>
        <v>0</v>
      </c>
      <c r="H39">
        <f>SUM(DV!H52,DV!N52,DV!T52,DV!Z52,DV!AF52,DV!AL52,DV!AR52,DV!AX52,DV!BD52,DV!BJ52,DV!BP51,DV!BV51,DV!CB51,DV!CH51,DV!CN51,DV!CT51)</f>
        <v>0</v>
      </c>
      <c r="I39">
        <f>SUM(DV!I52,DV!O52,DV!U52,DV!AA52,DV!AG52,DV!AM52,DV!AS52,DV!AY52,DV!BE52,DV!BK52,DV!BQ51,DV!BW51,DV!CC51,DV!CI51,DV!CO51,DV!CU51)</f>
        <v>0</v>
      </c>
    </row>
    <row r="40" spans="1:9">
      <c r="A40">
        <f>СВ!B63</f>
        <v>36</v>
      </c>
      <c r="B40" s="5">
        <f>СВ!C63</f>
        <v>0.68749999999999989</v>
      </c>
      <c r="C40" s="5">
        <f>СВ!D63</f>
        <v>0.71874999999999978</v>
      </c>
      <c r="D40">
        <f>SUM(DV!D53,DV!J53,DV!P53,DV!V53,DV!AB53,DV!AH53,DV!AN53,DV!AT53,DV!AZ53,DV!BF53,DV!BL52,DV!BR52,DV!BX52,DV!CD52,DV!CJ52,DV!CP52)</f>
        <v>0</v>
      </c>
      <c r="E40">
        <f>SUM(DV!E53,DV!K53,DV!Q53,DV!W53,DV!AC53,DV!AI53,DV!AO53,DV!AU53,DV!BA53,DV!BG53,DV!BM52,DV!BS52,DV!BY52,DV!CE52,DV!CK52,DV!CQ52)</f>
        <v>0</v>
      </c>
      <c r="F40">
        <f>SUM(DV!F53,DV!L53,DV!R53,DV!X53,DV!AD53,DV!AJ53,DV!AP53,DV!AV53,DV!BB53,DV!BH53,DV!BN52,DV!BT52,DV!BZ52,DV!CF52,DV!CL52,DV!CR52)</f>
        <v>0</v>
      </c>
      <c r="G40">
        <f>SUM(DV!G53,DV!M53,DV!S53,DV!Y53,DV!AE53,DV!AK53,DV!AQ53,DV!AW53,DV!BC53,DV!BI53,DV!BO52,DV!BU52,DV!CA52,DV!CG52,DV!CM52,DV!CS52)</f>
        <v>0</v>
      </c>
      <c r="H40">
        <f>SUM(DV!H53,DV!N53,DV!T53,DV!Z53,DV!AF53,DV!AL53,DV!AR53,DV!AX53,DV!BD53,DV!BJ53,DV!BP52,DV!BV52,DV!CB52,DV!CH52,DV!CN52,DV!CT52)</f>
        <v>0</v>
      </c>
      <c r="I40">
        <f>SUM(DV!I53,DV!O53,DV!U53,DV!AA53,DV!AG53,DV!AM53,DV!AS53,DV!AY53,DV!BE53,DV!BK53,DV!BQ52,DV!BW52,DV!CC52,DV!CI52,DV!CO52,DV!CU52)</f>
        <v>0</v>
      </c>
    </row>
    <row r="41" spans="1:9">
      <c r="A41">
        <f>СВ!B64</f>
        <v>37</v>
      </c>
      <c r="B41" s="5">
        <f>СВ!C64</f>
        <v>0.69791666666666652</v>
      </c>
      <c r="C41" s="5">
        <f>СВ!D64</f>
        <v>0.72916666666666652</v>
      </c>
      <c r="D41">
        <f>SUM(DV!D54,DV!J54,DV!P54,DV!V54,DV!AB54,DV!AH54,DV!AN54,DV!AT54,DV!AZ54,DV!BF54,DV!BL53,DV!BR53,DV!BX53,DV!CD53,DV!CJ53,DV!CP53)</f>
        <v>0</v>
      </c>
      <c r="E41">
        <f>SUM(DV!E54,DV!K54,DV!Q54,DV!W54,DV!AC54,DV!AI54,DV!AO54,DV!AU54,DV!BA54,DV!BG54,DV!BM53,DV!BS53,DV!BY53,DV!CE53,DV!CK53,DV!CQ53)</f>
        <v>0</v>
      </c>
      <c r="F41">
        <f>SUM(DV!F54,DV!L54,DV!R54,DV!X54,DV!AD54,DV!AJ54,DV!AP54,DV!AV54,DV!BB54,DV!BH54,DV!BN53,DV!BT53,DV!BZ53,DV!CF53,DV!CL53,DV!CR53)</f>
        <v>0</v>
      </c>
      <c r="G41">
        <f>SUM(DV!G54,DV!M54,DV!S54,DV!Y54,DV!AE54,DV!AK54,DV!AQ54,DV!AW54,DV!BC54,DV!BI54,DV!BO53,DV!BU53,DV!CA53,DV!CG53,DV!CM53,DV!CS53)</f>
        <v>0</v>
      </c>
      <c r="H41">
        <f>SUM(DV!H54,DV!N54,DV!T54,DV!Z54,DV!AF54,DV!AL54,DV!AR54,DV!AX54,DV!BD54,DV!BJ54,DV!BP53,DV!BV53,DV!CB53,DV!CH53,DV!CN53,DV!CT53)</f>
        <v>0</v>
      </c>
      <c r="I41">
        <f>SUM(DV!I54,DV!O54,DV!U54,DV!AA54,DV!AG54,DV!AM54,DV!AS54,DV!AY54,DV!BE54,DV!BK54,DV!BQ53,DV!BW53,DV!CC53,DV!CI53,DV!CO53,DV!CU53)</f>
        <v>0</v>
      </c>
    </row>
    <row r="42" spans="1:9">
      <c r="A42">
        <f>СВ!B65</f>
        <v>38</v>
      </c>
      <c r="B42" s="5">
        <f>СВ!C65</f>
        <v>0.70833333333333315</v>
      </c>
      <c r="C42" s="5">
        <f>СВ!D65</f>
        <v>0.74999999999999978</v>
      </c>
      <c r="D42">
        <f>SUM(DV!D55,DV!J55,DV!P55,DV!V55,DV!AB55,DV!AH55,DV!AN55,DV!AT55,DV!AZ55,DV!BF55,DV!BL54,DV!BR54,DV!BX54,DV!CD54,DV!CJ54,DV!CP54)</f>
        <v>0</v>
      </c>
      <c r="E42">
        <f>SUM(DV!E55,DV!K55,DV!Q55,DV!W55,DV!AC55,DV!AI55,DV!AO55,DV!AU55,DV!BA55,DV!BG55,DV!BM54,DV!BS54,DV!BY54,DV!CE54,DV!CK54,DV!CQ54)</f>
        <v>0</v>
      </c>
      <c r="F42">
        <f>SUM(DV!F55,DV!L55,DV!R55,DV!X55,DV!AD55,DV!AJ55,DV!AP55,DV!AV55,DV!BB55,DV!BH55,DV!BN54,DV!BT54,DV!BZ54,DV!CF54,DV!CL54,DV!CR54)</f>
        <v>0</v>
      </c>
      <c r="G42">
        <f>SUM(DV!G55,DV!M55,DV!S55,DV!Y55,DV!AE55,DV!AK55,DV!AQ55,DV!AW55,DV!BC55,DV!BI55,DV!BO54,DV!BU54,DV!CA54,DV!CG54,DV!CM54,DV!CS54)</f>
        <v>0</v>
      </c>
      <c r="H42">
        <f>SUM(DV!H55,DV!N55,DV!T55,DV!Z55,DV!AF55,DV!AL55,DV!AR55,DV!AX55,DV!BD55,DV!BJ55,DV!BP54,DV!BV54,DV!CB54,DV!CH54,DV!CN54,DV!CT54)</f>
        <v>0</v>
      </c>
      <c r="I42">
        <f>SUM(DV!I55,DV!O55,DV!U55,DV!AA55,DV!AG55,DV!AM55,DV!AS55,DV!AY55,DV!BE55,DV!BK55,DV!BQ54,DV!BW54,DV!CC54,DV!CI54,DV!CO54,DV!CU54)</f>
        <v>0</v>
      </c>
    </row>
    <row r="43" spans="1:9">
      <c r="A43">
        <f>СВ!B66</f>
        <v>39</v>
      </c>
      <c r="B43" s="5">
        <f>СВ!C66</f>
        <v>0.71874999999999978</v>
      </c>
      <c r="C43" s="5">
        <f>СВ!D66</f>
        <v>0.74999999999999978</v>
      </c>
      <c r="D43">
        <f>SUM(DV!D56,DV!J56,DV!P56,DV!V56,DV!AB56,DV!AH56,DV!AN56,DV!AT56,DV!AZ56,DV!BF56,DV!BL55,DV!BR55,DV!BX55,DV!CD55,DV!CJ55,DV!CP55)</f>
        <v>0</v>
      </c>
      <c r="E43">
        <f>SUM(DV!E56,DV!K56,DV!Q56,DV!W56,DV!AC56,DV!AI56,DV!AO56,DV!AU56,DV!BA56,DV!BG56,DV!BM55,DV!BS55,DV!BY55,DV!CE55,DV!CK55,DV!CQ55)</f>
        <v>1</v>
      </c>
      <c r="F43">
        <f>SUM(DV!F56,DV!L56,DV!R56,DV!X56,DV!AD56,DV!AJ56,DV!AP56,DV!AV56,DV!BB56,DV!BH56,DV!BN55,DV!BT55,DV!BZ55,DV!CF55,DV!CL55,DV!CR55)</f>
        <v>0</v>
      </c>
      <c r="G43">
        <f>SUM(DV!G56,DV!M56,DV!S56,DV!Y56,DV!AE56,DV!AK56,DV!AQ56,DV!AW56,DV!BC56,DV!BI56,DV!BO55,DV!BU55,DV!CA55,DV!CG55,DV!CM55,DV!CS55)</f>
        <v>1</v>
      </c>
      <c r="H43">
        <f>SUM(DV!H56,DV!N56,DV!T56,DV!Z56,DV!AF56,DV!AL56,DV!AR56,DV!AX56,DV!BD56,DV!BJ56,DV!BP55,DV!BV55,DV!CB55,DV!CH55,DV!CN55,DV!CT55)</f>
        <v>0</v>
      </c>
      <c r="I43">
        <f>SUM(DV!I56,DV!O56,DV!U56,DV!AA56,DV!AG56,DV!AM56,DV!AS56,DV!AY56,DV!BE56,DV!BK56,DV!BQ55,DV!BW55,DV!CC55,DV!CI55,DV!CO55,DV!CU55)</f>
        <v>0</v>
      </c>
    </row>
    <row r="44" spans="1:9">
      <c r="A44">
        <f>СВ!B67</f>
        <v>40</v>
      </c>
      <c r="B44" s="5">
        <f>СВ!C67</f>
        <v>0.72916666666666652</v>
      </c>
      <c r="C44" s="5">
        <f>СВ!D67</f>
        <v>0.76041666666666641</v>
      </c>
      <c r="D44">
        <f>SUM(DV!D57,DV!J57,DV!P57,DV!V57,DV!AB57,DV!AH57,DV!AN57,DV!AT57,DV!AZ57,DV!BF57,DV!BL56,DV!BR56,DV!BX56,DV!CD56,DV!CJ56,DV!CP56)</f>
        <v>0</v>
      </c>
      <c r="E44">
        <f>SUM(DV!E57,DV!K57,DV!Q57,DV!W57,DV!AC57,DV!AI57,DV!AO57,DV!AU57,DV!BA57,DV!BG57,DV!BM56,DV!BS56,DV!BY56,DV!CE56,DV!CK56,DV!CQ56)</f>
        <v>0</v>
      </c>
      <c r="F44">
        <f>SUM(DV!F57,DV!L57,DV!R57,DV!X57,DV!AD57,DV!AJ57,DV!AP57,DV!AV57,DV!BB57,DV!BH57,DV!BN56,DV!BT56,DV!BZ56,DV!CF56,DV!CL56,DV!CR56)</f>
        <v>0</v>
      </c>
      <c r="G44">
        <f>SUM(DV!G57,DV!M57,DV!S57,DV!Y57,DV!AE57,DV!AK57,DV!AQ57,DV!AW57,DV!BC57,DV!BI57,DV!BO56,DV!BU56,DV!CA56,DV!CG56,DV!CM56,DV!CS56)</f>
        <v>0</v>
      </c>
      <c r="H44">
        <f>SUM(DV!H57,DV!N57,DV!T57,DV!Z57,DV!AF57,DV!AL57,DV!AR57,DV!AX57,DV!BD57,DV!BJ57,DV!BP56,DV!BV56,DV!CB56,DV!CH56,DV!CN56,DV!CT56)</f>
        <v>0</v>
      </c>
      <c r="I44">
        <f>SUM(DV!I57,DV!O57,DV!U57,DV!AA57,DV!AG57,DV!AM57,DV!AS57,DV!AY57,DV!BE57,DV!BK57,DV!BQ56,DV!BW56,DV!CC56,DV!CI56,DV!CO56,DV!CU56)</f>
        <v>0</v>
      </c>
    </row>
    <row r="45" spans="1:9">
      <c r="A45">
        <f>СВ!B68</f>
        <v>41</v>
      </c>
      <c r="B45" s="5">
        <f>СВ!C68</f>
        <v>0.73958333333333315</v>
      </c>
      <c r="C45" s="5">
        <f>СВ!D68</f>
        <v>0.77083333333333315</v>
      </c>
      <c r="D45">
        <f>SUM(DV!D58,DV!J58,DV!P58,DV!V58,DV!AB58,DV!AH58,DV!AN58,DV!AT58,DV!AZ58,DV!BF58,DV!BL57,DV!BR57,DV!BX57,DV!CD57,DV!CJ57,DV!CP57)</f>
        <v>0</v>
      </c>
      <c r="E45">
        <f>SUM(DV!E58,DV!K58,DV!Q58,DV!W58,DV!AC58,DV!AI58,DV!AO58,DV!AU58,DV!BA58,DV!BG58,DV!BM57,DV!BS57,DV!BY57,DV!CE57,DV!CK57,DV!CQ57)</f>
        <v>0</v>
      </c>
      <c r="F45">
        <f>SUM(DV!F58,DV!L58,DV!R58,DV!X58,DV!AD58,DV!AJ58,DV!AP58,DV!AV58,DV!BB58,DV!BH58,DV!BN57,DV!BT57,DV!BZ57,DV!CF57,DV!CL57,DV!CR57)</f>
        <v>0</v>
      </c>
      <c r="G45">
        <f>SUM(DV!G58,DV!M58,DV!S58,DV!Y58,DV!AE58,DV!AK58,DV!AQ58,DV!AW58,DV!BC58,DV!BI58,DV!BO57,DV!BU57,DV!CA57,DV!CG57,DV!CM57,DV!CS57)</f>
        <v>0</v>
      </c>
      <c r="H45">
        <f>SUM(DV!H58,DV!N58,DV!T58,DV!Z58,DV!AF58,DV!AL58,DV!AR58,DV!AX58,DV!BD58,DV!BJ58,DV!BP57,DV!BV57,DV!CB57,DV!CH57,DV!CN57,DV!CT57)</f>
        <v>0</v>
      </c>
      <c r="I45">
        <f>SUM(DV!I58,DV!O58,DV!U58,DV!AA58,DV!AG58,DV!AM58,DV!AS58,DV!AY58,DV!BE58,DV!BK58,DV!BQ57,DV!BW57,DV!CC57,DV!CI57,DV!CO57,DV!CU57)</f>
        <v>0</v>
      </c>
    </row>
    <row r="46" spans="1:9">
      <c r="A46">
        <f>СВ!B69</f>
        <v>42</v>
      </c>
      <c r="B46" s="5">
        <f>СВ!C69</f>
        <v>0.74999999999999978</v>
      </c>
      <c r="C46" s="5">
        <f>СВ!D69</f>
        <v>0.79166666666666641</v>
      </c>
      <c r="D46">
        <f>SUM(DV!D59,DV!J59,DV!P59,DV!V59,DV!AB59,DV!AH59,DV!AN59,DV!AT59,DV!AZ59,DV!BF59,DV!BL58,DV!BR58,DV!BX58,DV!CD58,DV!CJ58,DV!CP58)</f>
        <v>0</v>
      </c>
      <c r="E46">
        <f>SUM(DV!E59,DV!K59,DV!Q59,DV!W59,DV!AC59,DV!AI59,DV!AO59,DV!AU59,DV!BA59,DV!BG59,DV!BM58,DV!BS58,DV!BY58,DV!CE58,DV!CK58,DV!CQ58)</f>
        <v>0</v>
      </c>
      <c r="F46">
        <f>SUM(DV!F59,DV!L59,DV!R59,DV!X59,DV!AD59,DV!AJ59,DV!AP59,DV!AV59,DV!BB59,DV!BH59,DV!BN58,DV!BT58,DV!BZ58,DV!CF58,DV!CL58,DV!CR58)</f>
        <v>0</v>
      </c>
      <c r="G46">
        <f>SUM(DV!G59,DV!M59,DV!S59,DV!Y59,DV!AE59,DV!AK59,DV!AQ59,DV!AW59,DV!BC59,DV!BI59,DV!BO58,DV!BU58,DV!CA58,DV!CG58,DV!CM58,DV!CS58)</f>
        <v>0</v>
      </c>
      <c r="H46">
        <f>SUM(DV!H59,DV!N59,DV!T59,DV!Z59,DV!AF59,DV!AL59,DV!AR59,DV!AX59,DV!BD59,DV!BJ59,DV!BP58,DV!BV58,DV!CB58,DV!CH58,DV!CN58,DV!CT58)</f>
        <v>0</v>
      </c>
      <c r="I46">
        <f>SUM(DV!I59,DV!O59,DV!U59,DV!AA59,DV!AG59,DV!AM59,DV!AS59,DV!AY59,DV!BE59,DV!BK59,DV!BQ58,DV!BW58,DV!CC58,DV!CI58,DV!CO58,DV!CU58)</f>
        <v>0</v>
      </c>
    </row>
    <row r="47" spans="1:9">
      <c r="A47">
        <f>СВ!B70</f>
        <v>43</v>
      </c>
      <c r="B47" s="5">
        <f>СВ!C70</f>
        <v>0.76041666666666641</v>
      </c>
      <c r="C47" s="5">
        <f>СВ!D70</f>
        <v>0.79166666666666641</v>
      </c>
      <c r="D47">
        <f>SUM(DV!D60,DV!J60,DV!P60,DV!V60,DV!AB60,DV!AH60,DV!AN60,DV!AT60,DV!AZ60,DV!BF60,DV!BL59,DV!BR59,DV!BX59,DV!CD59,DV!CJ59,DV!CP59)</f>
        <v>0</v>
      </c>
      <c r="E47">
        <f>SUM(DV!E60,DV!K60,DV!Q60,DV!W60,DV!AC60,DV!AI60,DV!AO60,DV!AU60,DV!BA60,DV!BG60,DV!BM59,DV!BS59,DV!BY59,DV!CE59,DV!CK59,DV!CQ59)</f>
        <v>0</v>
      </c>
      <c r="F47">
        <f>SUM(DV!F60,DV!L60,DV!R60,DV!X60,DV!AD60,DV!AJ60,DV!AP60,DV!AV60,DV!BB60,DV!BH60,DV!BN59,DV!BT59,DV!BZ59,DV!CF59,DV!CL59,DV!CR59)</f>
        <v>0</v>
      </c>
      <c r="G47">
        <f>SUM(DV!G60,DV!M60,DV!S60,DV!Y60,DV!AE60,DV!AK60,DV!AQ60,DV!AW60,DV!BC60,DV!BI60,DV!BO59,DV!BU59,DV!CA59,DV!CG59,DV!CM59,DV!CS59)</f>
        <v>0</v>
      </c>
      <c r="H47">
        <f>SUM(DV!H60,DV!N60,DV!T60,DV!Z60,DV!AF60,DV!AL60,DV!AR60,DV!AX60,DV!BD60,DV!BJ60,DV!BP59,DV!BV59,DV!CB59,DV!CH59,DV!CN59,DV!CT59)</f>
        <v>0</v>
      </c>
      <c r="I47">
        <f>SUM(DV!I60,DV!O60,DV!U60,DV!AA60,DV!AG60,DV!AM60,DV!AS60,DV!AY60,DV!BE60,DV!BK60,DV!BQ59,DV!BW59,DV!CC59,DV!CI59,DV!CO59,DV!CU59)</f>
        <v>0</v>
      </c>
    </row>
    <row r="48" spans="1:9">
      <c r="A48">
        <f>СВ!B71</f>
        <v>44</v>
      </c>
      <c r="B48" s="5">
        <f>СВ!C71</f>
        <v>0.77083333333333315</v>
      </c>
      <c r="C48" s="5">
        <f>СВ!D71</f>
        <v>0.80208333333333304</v>
      </c>
      <c r="D48">
        <f>SUM(DV!D61,DV!J61,DV!P61,DV!V61,DV!AB61,DV!AH61,DV!AN61,DV!AT61,DV!AZ61,DV!BF61,DV!BL60,DV!BR60,DV!BX60,DV!CD60,DV!CJ60,DV!CP60)</f>
        <v>0</v>
      </c>
      <c r="E48">
        <f>SUM(DV!E61,DV!K61,DV!Q61,DV!W61,DV!AC61,DV!AI61,DV!AO61,DV!AU61,DV!BA61,DV!BG61,DV!BM60,DV!BS60,DV!BY60,DV!CE60,DV!CK60,DV!CQ60)</f>
        <v>0</v>
      </c>
      <c r="F48">
        <f>SUM(DV!F61,DV!L61,DV!R61,DV!X61,DV!AD61,DV!AJ61,DV!AP61,DV!AV61,DV!BB61,DV!BH61,DV!BN60,DV!BT60,DV!BZ60,DV!CF60,DV!CL60,DV!CR60)</f>
        <v>0</v>
      </c>
      <c r="G48">
        <f>SUM(DV!G61,DV!M61,DV!S61,DV!Y61,DV!AE61,DV!AK61,DV!AQ61,DV!AW61,DV!BC61,DV!BI61,DV!BO60,DV!BU60,DV!CA60,DV!CG60,DV!CM60,DV!CS60)</f>
        <v>0</v>
      </c>
      <c r="H48">
        <f>SUM(DV!H61,DV!N61,DV!T61,DV!Z61,DV!AF61,DV!AL61,DV!AR61,DV!AX61,DV!BD61,DV!BJ61,DV!BP60,DV!BV60,DV!CB60,DV!CH60,DV!CN60,DV!CT60)</f>
        <v>0</v>
      </c>
      <c r="I48">
        <f>SUM(DV!I61,DV!O61,DV!U61,DV!AA61,DV!AG61,DV!AM61,DV!AS61,DV!AY61,DV!BE61,DV!BK61,DV!BQ60,DV!BW60,DV!CC60,DV!CI60,DV!CO60,DV!CU60)</f>
        <v>0</v>
      </c>
    </row>
    <row r="49" spans="1:9">
      <c r="A49">
        <f>СВ!B72</f>
        <v>45</v>
      </c>
      <c r="B49" s="5">
        <f>СВ!C72</f>
        <v>0.78124999999999978</v>
      </c>
      <c r="C49" s="5">
        <f>СВ!D72</f>
        <v>0.81249999999999978</v>
      </c>
      <c r="D49">
        <f>SUM(DV!D62,DV!J62,DV!P62,DV!V62,DV!AB62,DV!AH62,DV!AN62,DV!AT62,DV!AZ62,DV!BF62,DV!BL61,DV!BR61,DV!BX61,DV!CD61,DV!CJ61,DV!CP61)</f>
        <v>0</v>
      </c>
      <c r="E49">
        <f>SUM(DV!E62,DV!K62,DV!Q62,DV!W62,DV!AC62,DV!AI62,DV!AO62,DV!AU62,DV!BA62,DV!BG62,DV!BM61,DV!BS61,DV!BY61,DV!CE61,DV!CK61,DV!CQ61)</f>
        <v>0</v>
      </c>
      <c r="F49">
        <f>SUM(DV!F62,DV!L62,DV!R62,DV!X62,DV!AD62,DV!AJ62,DV!AP62,DV!AV62,DV!BB62,DV!BH62,DV!BN61,DV!BT61,DV!BZ61,DV!CF61,DV!CL61,DV!CR61)</f>
        <v>0</v>
      </c>
      <c r="G49">
        <f>SUM(DV!G62,DV!M62,DV!S62,DV!Y62,DV!AE62,DV!AK62,DV!AQ62,DV!AW62,DV!BC62,DV!BI62,DV!BO61,DV!BU61,DV!CA61,DV!CG61,DV!CM61,DV!CS61)</f>
        <v>0</v>
      </c>
      <c r="H49">
        <f>SUM(DV!H62,DV!N62,DV!T62,DV!Z62,DV!AF62,DV!AL62,DV!AR62,DV!AX62,DV!BD62,DV!BJ62,DV!BP61,DV!BV61,DV!CB61,DV!CH61,DV!CN61,DV!CT61)</f>
        <v>0</v>
      </c>
      <c r="I49">
        <f>SUM(DV!I62,DV!O62,DV!U62,DV!AA62,DV!AG62,DV!AM62,DV!AS62,DV!AY62,DV!BE62,DV!BK62,DV!BQ61,DV!BW61,DV!CC61,DV!CI61,DV!CO61,DV!CU61)</f>
        <v>0</v>
      </c>
    </row>
    <row r="50" spans="1:9">
      <c r="A50">
        <f>СВ!B73</f>
        <v>46</v>
      </c>
      <c r="B50" s="5">
        <f>СВ!C73</f>
        <v>0.79166666666666641</v>
      </c>
      <c r="C50" s="5">
        <f>СВ!D73</f>
        <v>0.83333333333333304</v>
      </c>
      <c r="D50">
        <f>SUM(DV!D63,DV!J63,DV!P63,DV!V63,DV!AB63,DV!AH63,DV!AN63,DV!AT63,DV!AZ63,DV!BF63,DV!BL62,DV!BR62,DV!BX62,DV!CD62,DV!CJ62,DV!CP62)</f>
        <v>0</v>
      </c>
      <c r="E50">
        <f>SUM(DV!E63,DV!K63,DV!Q63,DV!W63,DV!AC63,DV!AI63,DV!AO63,DV!AU63,DV!BA63,DV!BG63,DV!BM62,DV!BS62,DV!BY62,DV!CE62,DV!CK62,DV!CQ62)</f>
        <v>0</v>
      </c>
      <c r="F50">
        <f>SUM(DV!F63,DV!L63,DV!R63,DV!X63,DV!AD63,DV!AJ63,DV!AP63,DV!AV63,DV!BB63,DV!BH63,DV!BN62,DV!BT62,DV!BZ62,DV!CF62,DV!CL62,DV!CR62)</f>
        <v>0</v>
      </c>
      <c r="G50">
        <f>SUM(DV!G63,DV!M63,DV!S63,DV!Y63,DV!AE63,DV!AK63,DV!AQ63,DV!AW63,DV!BC63,DV!BI63,DV!BO62,DV!BU62,DV!CA62,DV!CG62,DV!CM62,DV!CS62)</f>
        <v>0</v>
      </c>
      <c r="H50">
        <f>SUM(DV!H63,DV!N63,DV!T63,DV!Z63,DV!AF63,DV!AL63,DV!AR63,DV!AX63,DV!BD63,DV!BJ63,DV!BP62,DV!BV62,DV!CB62,DV!CH62,DV!CN62,DV!CT62)</f>
        <v>0</v>
      </c>
      <c r="I50">
        <f>SUM(DV!I63,DV!O63,DV!U63,DV!AA63,DV!AG63,DV!AM63,DV!AS63,DV!AY63,DV!BE63,DV!BK63,DV!BQ62,DV!BW62,DV!CC62,DV!CI62,DV!CO62,DV!CU62)</f>
        <v>0</v>
      </c>
    </row>
    <row r="51" spans="1:9">
      <c r="A51">
        <f>СВ!B74</f>
        <v>47</v>
      </c>
      <c r="B51" s="5">
        <f>СВ!C74</f>
        <v>0.80208333333333304</v>
      </c>
      <c r="C51" s="5">
        <f>СВ!D74</f>
        <v>0.83333333333333304</v>
      </c>
      <c r="D51">
        <f>SUM(DV!D64,DV!J64,DV!P64,DV!V64,DV!AB64,DV!AH64,DV!AN64,DV!AT64,DV!AZ64,DV!BF64,DV!BL63,DV!BR63,DV!BX63,DV!CD63,DV!CJ63,DV!CP63)</f>
        <v>0</v>
      </c>
      <c r="E51">
        <f>SUM(DV!E64,DV!K64,DV!Q64,DV!W64,DV!AC64,DV!AI64,DV!AO64,DV!AU64,DV!BA64,DV!BG64,DV!BM63,DV!BS63,DV!BY63,DV!CE63,DV!CK63,DV!CQ63)</f>
        <v>0</v>
      </c>
      <c r="F51">
        <f>SUM(DV!F64,DV!L64,DV!R64,DV!X64,DV!AD64,DV!AJ64,DV!AP64,DV!AV64,DV!BB64,DV!BH64,DV!BN63,DV!BT63,DV!BZ63,DV!CF63,DV!CL63,DV!CR63)</f>
        <v>0</v>
      </c>
      <c r="G51">
        <f>SUM(DV!G64,DV!M64,DV!S64,DV!Y64,DV!AE64,DV!AK64,DV!AQ64,DV!AW64,DV!BC64,DV!BI64,DV!BO63,DV!BU63,DV!CA63,DV!CG63,DV!CM63,DV!CS63)</f>
        <v>0</v>
      </c>
      <c r="H51">
        <f>SUM(DV!H64,DV!N64,DV!T64,DV!Z64,DV!AF64,DV!AL64,DV!AR64,DV!AX64,DV!BD64,DV!BJ64,DV!BP63,DV!BV63,DV!CB63,DV!CH63,DV!CN63,DV!CT63)</f>
        <v>0</v>
      </c>
      <c r="I51">
        <f>SUM(DV!I64,DV!O64,DV!U64,DV!AA64,DV!AG64,DV!AM64,DV!AS64,DV!AY64,DV!BE64,DV!BK64,DV!BQ63,DV!BW63,DV!CC63,DV!CI63,DV!CO63,DV!CU63)</f>
        <v>0</v>
      </c>
    </row>
    <row r="52" spans="1:9">
      <c r="A52">
        <f>СВ!B75</f>
        <v>48</v>
      </c>
      <c r="B52" s="5">
        <f>СВ!C75</f>
        <v>0.81249999999999978</v>
      </c>
      <c r="C52" s="5">
        <f>СВ!D75</f>
        <v>0.84374999999999967</v>
      </c>
      <c r="D52">
        <f>SUM(DV!D65,DV!J65,DV!P65,DV!V65,DV!AB65,DV!AH65,DV!AN65,DV!AT65,DV!AZ65,DV!BF65,DV!BL64,DV!BR64,DV!BX64,DV!CD64,DV!CJ64,DV!CP64)</f>
        <v>0</v>
      </c>
      <c r="E52">
        <f>SUM(DV!E65,DV!K65,DV!Q65,DV!W65,DV!AC65,DV!AI65,DV!AO65,DV!AU65,DV!BA65,DV!BG65,DV!BM64,DV!BS64,DV!BY64,DV!CE64,DV!CK64,DV!CQ64)</f>
        <v>0</v>
      </c>
      <c r="F52">
        <f>SUM(DV!F65,DV!L65,DV!R65,DV!X65,DV!AD65,DV!AJ65,DV!AP65,DV!AV65,DV!BB65,DV!BH65,DV!BN64,DV!BT64,DV!BZ64,DV!CF64,DV!CL64,DV!CR64)</f>
        <v>0</v>
      </c>
      <c r="G52">
        <f>SUM(DV!G65,DV!M65,DV!S65,DV!Y65,DV!AE65,DV!AK65,DV!AQ65,DV!AW65,DV!BC65,DV!BI65,DV!BO64,DV!BU64,DV!CA64,DV!CG64,DV!CM64,DV!CS64)</f>
        <v>0</v>
      </c>
      <c r="H52">
        <f>SUM(DV!H65,DV!N65,DV!T65,DV!Z65,DV!AF65,DV!AL65,DV!AR65,DV!AX65,DV!BD65,DV!BJ65,DV!BP64,DV!BV64,DV!CB64,DV!CH64,DV!CN64,DV!CT64)</f>
        <v>0</v>
      </c>
      <c r="I52">
        <f>SUM(DV!I65,DV!O65,DV!U65,DV!AA65,DV!AG65,DV!AM65,DV!AS65,DV!AY65,DV!BE65,DV!BK65,DV!BQ64,DV!BW64,DV!CC64,DV!CI64,DV!CO64,DV!CU64)</f>
        <v>0</v>
      </c>
    </row>
    <row r="53" spans="1:9">
      <c r="A53">
        <f>СВ!B76</f>
        <v>49</v>
      </c>
      <c r="B53" s="5">
        <f>СВ!C76</f>
        <v>0.82291666666666641</v>
      </c>
      <c r="C53" s="5">
        <f>СВ!D76</f>
        <v>0.85416666666666641</v>
      </c>
      <c r="D53">
        <f>SUM(DV!D66,DV!J66,DV!P66,DV!V66,DV!AB66,DV!AH66,DV!AN66,DV!AT66,DV!AZ66,DV!BF66,DV!BL65,DV!BR65,DV!BX65,DV!CD65,DV!CJ65,DV!CP65)</f>
        <v>0</v>
      </c>
      <c r="E53">
        <f>SUM(DV!E66,DV!K66,DV!Q66,DV!W66,DV!AC66,DV!AI66,DV!AO66,DV!AU66,DV!BA66,DV!BG66,DV!BM65,DV!BS65,DV!BY65,DV!CE65,DV!CK65,DV!CQ65)</f>
        <v>0</v>
      </c>
      <c r="F53">
        <f>SUM(DV!F66,DV!L66,DV!R66,DV!X66,DV!AD66,DV!AJ66,DV!AP66,DV!AV66,DV!BB66,DV!BH66,DV!BN65,DV!BT65,DV!BZ65,DV!CF65,DV!CL65,DV!CR65)</f>
        <v>0</v>
      </c>
      <c r="G53">
        <f>SUM(DV!G66,DV!M66,DV!S66,DV!Y66,DV!AE66,DV!AK66,DV!AQ66,DV!AW66,DV!BC66,DV!BI66,DV!BO65,DV!BU65,DV!CA65,DV!CG65,DV!CM65,DV!CS65)</f>
        <v>0</v>
      </c>
      <c r="H53">
        <f>SUM(DV!H66,DV!N66,DV!T66,DV!Z66,DV!AF66,DV!AL66,DV!AR66,DV!AX66,DV!BD66,DV!BJ66,DV!BP65,DV!BV65,DV!CB65,DV!CH65,DV!CN65,DV!CT65)</f>
        <v>0</v>
      </c>
      <c r="I53">
        <f>SUM(DV!I66,DV!O66,DV!U66,DV!AA66,DV!AG66,DV!AM66,DV!AS66,DV!AY66,DV!BE66,DV!BK66,DV!BQ65,DV!BW65,DV!CC65,DV!CI65,DV!CO65,DV!CU65)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FY53"/>
  <sheetViews>
    <sheetView topLeftCell="A31" workbookViewId="0">
      <selection activeCell="V55" sqref="U55:V55"/>
    </sheetView>
  </sheetViews>
  <sheetFormatPr defaultRowHeight="15"/>
  <cols>
    <col min="2" max="3" width="9.140625" style="5"/>
  </cols>
  <sheetData>
    <row r="1" spans="1:181">
      <c r="A1" t="s">
        <v>53</v>
      </c>
    </row>
    <row r="2" spans="1:181">
      <c r="D2">
        <f t="array" ref="D2:AZ4">TRANSPOSE(A5:C54)</f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  <c r="AI2">
        <v>32</v>
      </c>
      <c r="AJ2">
        <v>33</v>
      </c>
      <c r="AK2">
        <v>34</v>
      </c>
      <c r="AL2">
        <v>35</v>
      </c>
      <c r="AM2">
        <v>36</v>
      </c>
      <c r="AN2">
        <v>37</v>
      </c>
      <c r="AO2">
        <v>38</v>
      </c>
      <c r="AP2">
        <v>39</v>
      </c>
      <c r="AQ2">
        <v>40</v>
      </c>
      <c r="AR2">
        <v>41</v>
      </c>
      <c r="AS2">
        <v>42</v>
      </c>
      <c r="AT2">
        <v>43</v>
      </c>
      <c r="AU2">
        <v>44</v>
      </c>
      <c r="AV2">
        <v>45</v>
      </c>
      <c r="AW2">
        <v>46</v>
      </c>
      <c r="AX2">
        <v>47</v>
      </c>
      <c r="AY2">
        <v>48</v>
      </c>
      <c r="AZ2">
        <v>49</v>
      </c>
    </row>
    <row r="3" spans="1:181">
      <c r="A3" t="s">
        <v>113</v>
      </c>
      <c r="B3" s="5">
        <v>4.1666666666666664E-2</v>
      </c>
      <c r="D3" s="5">
        <v>0.35416666666666669</v>
      </c>
      <c r="E3" s="5">
        <v>0.35416666666666669</v>
      </c>
      <c r="F3" s="5">
        <v>0.36458333333333331</v>
      </c>
      <c r="G3" s="5">
        <v>0.375</v>
      </c>
      <c r="H3" s="5">
        <v>0.375</v>
      </c>
      <c r="I3" s="5">
        <v>0.38541666666666669</v>
      </c>
      <c r="J3" s="5">
        <v>0.39583333333333331</v>
      </c>
      <c r="K3" s="5">
        <v>0.40625</v>
      </c>
      <c r="L3" s="5">
        <v>0.41666666666666669</v>
      </c>
      <c r="M3" s="5">
        <v>0.41666666666666669</v>
      </c>
      <c r="N3" s="5">
        <v>0.42708333333333331</v>
      </c>
      <c r="O3" s="5">
        <v>0.4375</v>
      </c>
      <c r="P3" s="5">
        <v>0.44791666666666669</v>
      </c>
      <c r="Q3" s="5">
        <v>0.45833333333333337</v>
      </c>
      <c r="R3" s="5">
        <v>0.46875</v>
      </c>
      <c r="S3" s="5">
        <v>0.47916666666666669</v>
      </c>
      <c r="T3" s="5">
        <v>0.48958333333333337</v>
      </c>
      <c r="U3" s="5">
        <v>0.5</v>
      </c>
      <c r="V3" s="5">
        <v>0.51041666666666663</v>
      </c>
      <c r="W3" s="5">
        <v>0.52083333333333337</v>
      </c>
      <c r="X3" s="5">
        <v>0.53125</v>
      </c>
      <c r="Y3" s="5">
        <v>0.54166666666666663</v>
      </c>
      <c r="Z3" s="5">
        <v>0.55208333333333326</v>
      </c>
      <c r="AA3" s="5">
        <v>0.5625</v>
      </c>
      <c r="AB3" s="5">
        <v>0.57291666666666663</v>
      </c>
      <c r="AC3" s="5">
        <v>0.58333333333333326</v>
      </c>
      <c r="AD3" s="5">
        <v>0.59374999999999989</v>
      </c>
      <c r="AE3" s="5">
        <v>0.60416666666666663</v>
      </c>
      <c r="AF3" s="5">
        <v>0.61458333333333326</v>
      </c>
      <c r="AG3" s="5">
        <v>0.62499999999999989</v>
      </c>
      <c r="AH3" s="5">
        <v>0.63541666666666652</v>
      </c>
      <c r="AI3" s="5">
        <v>0.64583333333333326</v>
      </c>
      <c r="AJ3" s="5">
        <v>0.65624999999999989</v>
      </c>
      <c r="AK3" s="5">
        <v>0.66666666666666652</v>
      </c>
      <c r="AL3" s="5">
        <v>0.67708333333333315</v>
      </c>
      <c r="AM3" s="5">
        <v>0.68749999999999989</v>
      </c>
      <c r="AN3" s="5">
        <v>0.69791666666666652</v>
      </c>
      <c r="AO3" s="5">
        <v>0.70833333333333315</v>
      </c>
      <c r="AP3" s="5">
        <v>0.71874999999999978</v>
      </c>
      <c r="AQ3" s="5">
        <v>0.72916666666666652</v>
      </c>
      <c r="AR3" s="5">
        <v>0.73958333333333315</v>
      </c>
      <c r="AS3" s="5">
        <v>0.74999999999999978</v>
      </c>
      <c r="AT3" s="5">
        <v>0.76041666666666641</v>
      </c>
      <c r="AU3" s="5">
        <v>0.77083333333333315</v>
      </c>
      <c r="AV3" s="5">
        <v>0.78124999999999978</v>
      </c>
      <c r="AW3" s="5">
        <v>0.79166666666666641</v>
      </c>
      <c r="AX3" s="5">
        <v>0.80208333333333304</v>
      </c>
      <c r="AY3" s="5">
        <v>0.81249999999999978</v>
      </c>
      <c r="AZ3" s="5">
        <v>0.82291666666666641</v>
      </c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</row>
    <row r="4" spans="1:181">
      <c r="A4" t="str">
        <f>СВ[[#Headers],[Кол-во отрезков]]</f>
        <v>Кол-во отрезков</v>
      </c>
      <c r="B4" s="5" t="str">
        <f>СВ[[#Headers],[49]]</f>
        <v>49</v>
      </c>
      <c r="C4" s="5" t="str">
        <f>СВ[[#Headers],[Столбец1]]</f>
        <v>Столбец1</v>
      </c>
      <c r="D4" s="5">
        <v>0.38541666666666669</v>
      </c>
      <c r="E4" s="5">
        <v>0.39583333333333331</v>
      </c>
      <c r="F4" s="5">
        <v>0.39583333333333331</v>
      </c>
      <c r="G4" s="5">
        <v>0.40625</v>
      </c>
      <c r="H4" s="5">
        <v>0.41666666666666669</v>
      </c>
      <c r="I4" s="5">
        <v>0.41666666666666669</v>
      </c>
      <c r="J4" s="5">
        <v>0.42708333333333331</v>
      </c>
      <c r="K4" s="5">
        <v>0.4375</v>
      </c>
      <c r="L4" s="5">
        <v>0.44791666666666669</v>
      </c>
      <c r="M4" s="5">
        <v>0.45833333333333331</v>
      </c>
      <c r="N4" s="5">
        <v>0.45833333333333331</v>
      </c>
      <c r="O4" s="5">
        <v>0.46875</v>
      </c>
      <c r="P4" s="5">
        <v>0.47916666666666669</v>
      </c>
      <c r="Q4" s="5">
        <v>0.5</v>
      </c>
      <c r="R4" s="5">
        <v>0.5</v>
      </c>
      <c r="S4" s="5">
        <v>0.51041666666666663</v>
      </c>
      <c r="T4" s="5">
        <v>0.52083333333333337</v>
      </c>
      <c r="U4" s="5">
        <v>0.54166666666666663</v>
      </c>
      <c r="V4" s="5">
        <v>0.54166666666666663</v>
      </c>
      <c r="W4" s="5">
        <v>0.55208333333333326</v>
      </c>
      <c r="X4" s="5">
        <v>0.5625</v>
      </c>
      <c r="Y4" s="5">
        <v>0.58333333333333326</v>
      </c>
      <c r="Z4" s="5">
        <v>0.58333333333333326</v>
      </c>
      <c r="AA4" s="5">
        <v>0.59374999999999989</v>
      </c>
      <c r="AB4" s="5">
        <v>0.60416666666666663</v>
      </c>
      <c r="AC4" s="5">
        <v>0.62499999999999989</v>
      </c>
      <c r="AD4" s="5">
        <v>0.62499999999999989</v>
      </c>
      <c r="AE4" s="5">
        <v>0.63541666666666652</v>
      </c>
      <c r="AF4" s="5">
        <v>0.64583333333333326</v>
      </c>
      <c r="AG4" s="5">
        <v>0.66666666666666652</v>
      </c>
      <c r="AH4" s="5">
        <v>0.66666666666666652</v>
      </c>
      <c r="AI4" s="5">
        <v>0.67708333333333315</v>
      </c>
      <c r="AJ4" s="5">
        <v>0.68749999999999989</v>
      </c>
      <c r="AK4" s="5">
        <v>0.70833333333333315</v>
      </c>
      <c r="AL4" s="5">
        <v>0.70833333333333315</v>
      </c>
      <c r="AM4" s="5">
        <v>0.71874999999999978</v>
      </c>
      <c r="AN4" s="5">
        <v>0.72916666666666652</v>
      </c>
      <c r="AO4" s="5">
        <v>0.74999999999999978</v>
      </c>
      <c r="AP4" s="5">
        <v>0.74999999999999978</v>
      </c>
      <c r="AQ4" s="5">
        <v>0.76041666666666641</v>
      </c>
      <c r="AR4" s="5">
        <v>0.77083333333333315</v>
      </c>
      <c r="AS4" s="5">
        <v>0.79166666666666641</v>
      </c>
      <c r="AT4" s="5">
        <v>0.79166666666666641</v>
      </c>
      <c r="AU4" s="5">
        <v>0.80208333333333304</v>
      </c>
      <c r="AV4" s="5">
        <v>0.81249999999999978</v>
      </c>
      <c r="AW4" s="5">
        <v>0.83333333333333304</v>
      </c>
      <c r="AX4" s="5">
        <v>0.83333333333333304</v>
      </c>
      <c r="AY4" s="5">
        <v>0.84374999999999967</v>
      </c>
      <c r="AZ4" s="5">
        <v>0.85416666666666641</v>
      </c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</row>
    <row r="5" spans="1:181">
      <c r="A5">
        <f>СВ!B28</f>
        <v>1</v>
      </c>
      <c r="B5" s="5">
        <f>СВ!C28</f>
        <v>0.35416666666666669</v>
      </c>
      <c r="C5" s="5">
        <f>СВ!D28</f>
        <v>0.38541666666666669</v>
      </c>
      <c r="D5">
        <f>IF(OR(AND(D$3&gt;$B5,D$3&lt;$C5),AND(D$4&gt;$B5,D$4&lt;$C5),AND($B5&gt;D$3,$B5&lt;D$4),AND($C5&gt;D$3,$C5&lt;D$4)),1,0)</f>
        <v>0</v>
      </c>
      <c r="E5">
        <f t="shared" ref="E5:AZ10" si="0">IF(OR(AND(E$3&gt;$B5,E$3&lt;$C5),AND(E$4&gt;$B5,E$4&lt;$C5),AND($B5&gt;E$3,$B5&lt;E$4),AND($C5&gt;E$3,$C5&lt;E$4)),1,0)</f>
        <v>1</v>
      </c>
      <c r="F5">
        <f t="shared" si="0"/>
        <v>1</v>
      </c>
      <c r="G5">
        <f t="shared" si="0"/>
        <v>1</v>
      </c>
      <c r="H5">
        <f t="shared" si="0"/>
        <v>1</v>
      </c>
      <c r="I5">
        <f t="shared" si="0"/>
        <v>0</v>
      </c>
      <c r="J5">
        <f t="shared" si="0"/>
        <v>0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Q5">
        <f t="shared" si="0"/>
        <v>0</v>
      </c>
      <c r="R5">
        <f t="shared" si="0"/>
        <v>0</v>
      </c>
      <c r="S5">
        <f t="shared" si="0"/>
        <v>0</v>
      </c>
      <c r="T5">
        <f t="shared" si="0"/>
        <v>0</v>
      </c>
      <c r="U5">
        <f t="shared" si="0"/>
        <v>0</v>
      </c>
      <c r="V5">
        <f t="shared" si="0"/>
        <v>0</v>
      </c>
      <c r="W5">
        <f t="shared" si="0"/>
        <v>0</v>
      </c>
      <c r="X5">
        <f t="shared" si="0"/>
        <v>0</v>
      </c>
      <c r="Y5">
        <f t="shared" si="0"/>
        <v>0</v>
      </c>
      <c r="Z5">
        <f t="shared" si="0"/>
        <v>0</v>
      </c>
      <c r="AA5">
        <f t="shared" si="0"/>
        <v>0</v>
      </c>
      <c r="AB5">
        <f t="shared" si="0"/>
        <v>0</v>
      </c>
      <c r="AC5">
        <f t="shared" si="0"/>
        <v>0</v>
      </c>
      <c r="AD5">
        <f t="shared" si="0"/>
        <v>0</v>
      </c>
      <c r="AE5">
        <f t="shared" si="0"/>
        <v>0</v>
      </c>
      <c r="AF5">
        <f t="shared" si="0"/>
        <v>0</v>
      </c>
      <c r="AG5">
        <f t="shared" si="0"/>
        <v>0</v>
      </c>
      <c r="AH5">
        <f t="shared" si="0"/>
        <v>0</v>
      </c>
      <c r="AI5">
        <f t="shared" si="0"/>
        <v>0</v>
      </c>
      <c r="AJ5">
        <f t="shared" si="0"/>
        <v>0</v>
      </c>
      <c r="AK5">
        <f t="shared" si="0"/>
        <v>0</v>
      </c>
      <c r="AL5">
        <f t="shared" si="0"/>
        <v>0</v>
      </c>
      <c r="AM5">
        <f t="shared" si="0"/>
        <v>0</v>
      </c>
      <c r="AN5">
        <f t="shared" si="0"/>
        <v>0</v>
      </c>
      <c r="AO5">
        <f t="shared" si="0"/>
        <v>0</v>
      </c>
      <c r="AP5">
        <f t="shared" si="0"/>
        <v>0</v>
      </c>
      <c r="AQ5">
        <f t="shared" si="0"/>
        <v>0</v>
      </c>
      <c r="AR5">
        <f t="shared" si="0"/>
        <v>0</v>
      </c>
      <c r="AS5">
        <f t="shared" si="0"/>
        <v>0</v>
      </c>
      <c r="AT5">
        <f t="shared" si="0"/>
        <v>0</v>
      </c>
      <c r="AU5">
        <f t="shared" si="0"/>
        <v>0</v>
      </c>
      <c r="AV5">
        <f t="shared" si="0"/>
        <v>0</v>
      </c>
      <c r="AW5">
        <f t="shared" si="0"/>
        <v>0</v>
      </c>
      <c r="AX5">
        <f t="shared" si="0"/>
        <v>0</v>
      </c>
      <c r="AY5">
        <f t="shared" si="0"/>
        <v>0</v>
      </c>
      <c r="AZ5">
        <f t="shared" si="0"/>
        <v>0</v>
      </c>
    </row>
    <row r="6" spans="1:181">
      <c r="A6">
        <f>СВ!B29</f>
        <v>2</v>
      </c>
      <c r="B6" s="5">
        <f>СВ!C29</f>
        <v>0.35416666666666669</v>
      </c>
      <c r="C6" s="5">
        <f>СВ!D29</f>
        <v>0.39583333333333331</v>
      </c>
      <c r="D6">
        <f t="shared" ref="D6:S53" si="1">IF(OR(AND(D$3&gt;$B6,D$3&lt;$C6),AND(D$4&gt;$B6,D$4&lt;$C6),AND($B6&gt;D$3,$B6&lt;D$4),AND($C6&gt;D$3,$C6&lt;D$4)),1,0)</f>
        <v>1</v>
      </c>
      <c r="E6">
        <f t="shared" si="1"/>
        <v>0</v>
      </c>
      <c r="F6">
        <f t="shared" si="1"/>
        <v>1</v>
      </c>
      <c r="G6">
        <f t="shared" si="1"/>
        <v>1</v>
      </c>
      <c r="H6">
        <f t="shared" si="1"/>
        <v>1</v>
      </c>
      <c r="I6">
        <f t="shared" si="1"/>
        <v>1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N6">
        <f t="shared" si="1"/>
        <v>0</v>
      </c>
      <c r="O6">
        <f t="shared" si="1"/>
        <v>0</v>
      </c>
      <c r="P6">
        <f t="shared" si="1"/>
        <v>0</v>
      </c>
      <c r="Q6">
        <f t="shared" si="1"/>
        <v>0</v>
      </c>
      <c r="R6">
        <f t="shared" si="1"/>
        <v>0</v>
      </c>
      <c r="S6">
        <f t="shared" si="1"/>
        <v>0</v>
      </c>
      <c r="T6">
        <f t="shared" si="0"/>
        <v>0</v>
      </c>
      <c r="U6">
        <f t="shared" si="0"/>
        <v>0</v>
      </c>
      <c r="V6">
        <f t="shared" si="0"/>
        <v>0</v>
      </c>
      <c r="W6">
        <f t="shared" si="0"/>
        <v>0</v>
      </c>
      <c r="X6">
        <f t="shared" si="0"/>
        <v>0</v>
      </c>
      <c r="Y6">
        <f t="shared" si="0"/>
        <v>0</v>
      </c>
      <c r="Z6">
        <f t="shared" si="0"/>
        <v>0</v>
      </c>
      <c r="AA6">
        <f t="shared" si="0"/>
        <v>0</v>
      </c>
      <c r="AB6">
        <f t="shared" si="0"/>
        <v>0</v>
      </c>
      <c r="AC6">
        <f t="shared" si="0"/>
        <v>0</v>
      </c>
      <c r="AD6">
        <f t="shared" si="0"/>
        <v>0</v>
      </c>
      <c r="AE6">
        <f t="shared" si="0"/>
        <v>0</v>
      </c>
      <c r="AF6">
        <f t="shared" si="0"/>
        <v>0</v>
      </c>
      <c r="AG6">
        <f t="shared" si="0"/>
        <v>0</v>
      </c>
      <c r="AH6">
        <f t="shared" si="0"/>
        <v>0</v>
      </c>
      <c r="AI6">
        <f t="shared" si="0"/>
        <v>0</v>
      </c>
      <c r="AJ6">
        <f t="shared" si="0"/>
        <v>0</v>
      </c>
      <c r="AK6">
        <f t="shared" si="0"/>
        <v>0</v>
      </c>
      <c r="AL6">
        <f t="shared" si="0"/>
        <v>0</v>
      </c>
      <c r="AM6">
        <f t="shared" si="0"/>
        <v>0</v>
      </c>
      <c r="AN6">
        <f t="shared" si="0"/>
        <v>0</v>
      </c>
      <c r="AO6">
        <f t="shared" si="0"/>
        <v>0</v>
      </c>
      <c r="AP6">
        <f t="shared" si="0"/>
        <v>0</v>
      </c>
      <c r="AQ6">
        <f t="shared" si="0"/>
        <v>0</v>
      </c>
      <c r="AR6">
        <f t="shared" si="0"/>
        <v>0</v>
      </c>
      <c r="AS6">
        <f t="shared" si="0"/>
        <v>0</v>
      </c>
      <c r="AT6">
        <f t="shared" si="0"/>
        <v>0</v>
      </c>
      <c r="AU6">
        <f t="shared" si="0"/>
        <v>0</v>
      </c>
      <c r="AV6">
        <f t="shared" si="0"/>
        <v>0</v>
      </c>
      <c r="AW6">
        <f t="shared" si="0"/>
        <v>0</v>
      </c>
      <c r="AX6">
        <f t="shared" si="0"/>
        <v>0</v>
      </c>
      <c r="AY6">
        <f t="shared" si="0"/>
        <v>0</v>
      </c>
      <c r="AZ6">
        <f t="shared" si="0"/>
        <v>0</v>
      </c>
    </row>
    <row r="7" spans="1:181">
      <c r="A7">
        <f>СВ!B30</f>
        <v>3</v>
      </c>
      <c r="B7" s="5">
        <f>СВ!C30</f>
        <v>0.36458333333333331</v>
      </c>
      <c r="C7" s="5">
        <f>СВ!D30</f>
        <v>0.39583333333333331</v>
      </c>
      <c r="D7">
        <f t="shared" si="1"/>
        <v>1</v>
      </c>
      <c r="E7">
        <f t="shared" si="0"/>
        <v>1</v>
      </c>
      <c r="F7">
        <f t="shared" si="0"/>
        <v>0</v>
      </c>
      <c r="G7">
        <f t="shared" si="0"/>
        <v>1</v>
      </c>
      <c r="H7">
        <f t="shared" si="0"/>
        <v>1</v>
      </c>
      <c r="I7">
        <f t="shared" si="0"/>
        <v>1</v>
      </c>
      <c r="J7">
        <f t="shared" si="0"/>
        <v>0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>
        <f t="shared" si="0"/>
        <v>0</v>
      </c>
      <c r="R7">
        <f t="shared" si="0"/>
        <v>0</v>
      </c>
      <c r="S7">
        <f t="shared" si="0"/>
        <v>0</v>
      </c>
      <c r="T7">
        <f t="shared" si="0"/>
        <v>0</v>
      </c>
      <c r="U7">
        <f t="shared" si="0"/>
        <v>0</v>
      </c>
      <c r="V7">
        <f t="shared" si="0"/>
        <v>0</v>
      </c>
      <c r="W7">
        <f t="shared" si="0"/>
        <v>0</v>
      </c>
      <c r="X7">
        <f t="shared" si="0"/>
        <v>0</v>
      </c>
      <c r="Y7">
        <f t="shared" si="0"/>
        <v>0</v>
      </c>
      <c r="Z7">
        <f t="shared" si="0"/>
        <v>0</v>
      </c>
      <c r="AA7">
        <f t="shared" si="0"/>
        <v>0</v>
      </c>
      <c r="AB7">
        <f t="shared" si="0"/>
        <v>0</v>
      </c>
      <c r="AC7">
        <f t="shared" si="0"/>
        <v>0</v>
      </c>
      <c r="AD7">
        <f t="shared" si="0"/>
        <v>0</v>
      </c>
      <c r="AE7">
        <f t="shared" si="0"/>
        <v>0</v>
      </c>
      <c r="AF7">
        <f t="shared" si="0"/>
        <v>0</v>
      </c>
      <c r="AG7">
        <f t="shared" si="0"/>
        <v>0</v>
      </c>
      <c r="AH7">
        <f t="shared" si="0"/>
        <v>0</v>
      </c>
      <c r="AI7">
        <f t="shared" si="0"/>
        <v>0</v>
      </c>
      <c r="AJ7">
        <f t="shared" si="0"/>
        <v>0</v>
      </c>
      <c r="AK7">
        <f t="shared" si="0"/>
        <v>0</v>
      </c>
      <c r="AL7">
        <f t="shared" si="0"/>
        <v>0</v>
      </c>
      <c r="AM7">
        <f t="shared" si="0"/>
        <v>0</v>
      </c>
      <c r="AN7">
        <f t="shared" si="0"/>
        <v>0</v>
      </c>
      <c r="AO7">
        <f t="shared" si="0"/>
        <v>0</v>
      </c>
      <c r="AP7">
        <f t="shared" si="0"/>
        <v>0</v>
      </c>
      <c r="AQ7">
        <f t="shared" si="0"/>
        <v>0</v>
      </c>
      <c r="AR7">
        <f t="shared" si="0"/>
        <v>0</v>
      </c>
      <c r="AS7">
        <f t="shared" si="0"/>
        <v>0</v>
      </c>
      <c r="AT7">
        <f t="shared" si="0"/>
        <v>0</v>
      </c>
      <c r="AU7">
        <f t="shared" si="0"/>
        <v>0</v>
      </c>
      <c r="AV7">
        <f t="shared" si="0"/>
        <v>0</v>
      </c>
      <c r="AW7">
        <f t="shared" si="0"/>
        <v>0</v>
      </c>
      <c r="AX7">
        <f t="shared" si="0"/>
        <v>0</v>
      </c>
      <c r="AY7">
        <f t="shared" si="0"/>
        <v>0</v>
      </c>
      <c r="AZ7">
        <f t="shared" si="0"/>
        <v>0</v>
      </c>
    </row>
    <row r="8" spans="1:181">
      <c r="A8">
        <f>СВ!B31</f>
        <v>4</v>
      </c>
      <c r="B8" s="5">
        <f>СВ!C31</f>
        <v>0.375</v>
      </c>
      <c r="C8" s="5">
        <f>СВ!D31</f>
        <v>0.40625</v>
      </c>
      <c r="D8">
        <f t="shared" si="1"/>
        <v>1</v>
      </c>
      <c r="E8">
        <f t="shared" si="0"/>
        <v>1</v>
      </c>
      <c r="F8">
        <f t="shared" si="0"/>
        <v>1</v>
      </c>
      <c r="G8">
        <f t="shared" si="0"/>
        <v>0</v>
      </c>
      <c r="H8">
        <f t="shared" si="0"/>
        <v>1</v>
      </c>
      <c r="I8">
        <f t="shared" si="0"/>
        <v>1</v>
      </c>
      <c r="J8">
        <f t="shared" si="0"/>
        <v>1</v>
      </c>
      <c r="K8">
        <f t="shared" si="0"/>
        <v>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0"/>
        <v>0</v>
      </c>
      <c r="S8">
        <f t="shared" si="0"/>
        <v>0</v>
      </c>
      <c r="T8">
        <f t="shared" si="0"/>
        <v>0</v>
      </c>
      <c r="U8">
        <f t="shared" si="0"/>
        <v>0</v>
      </c>
      <c r="V8">
        <f t="shared" si="0"/>
        <v>0</v>
      </c>
      <c r="W8">
        <f t="shared" si="0"/>
        <v>0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  <c r="AG8">
        <f t="shared" si="0"/>
        <v>0</v>
      </c>
      <c r="AH8">
        <f t="shared" si="0"/>
        <v>0</v>
      </c>
      <c r="AI8">
        <f t="shared" si="0"/>
        <v>0</v>
      </c>
      <c r="AJ8">
        <f t="shared" si="0"/>
        <v>0</v>
      </c>
      <c r="AK8">
        <f t="shared" si="0"/>
        <v>0</v>
      </c>
      <c r="AL8">
        <f t="shared" si="0"/>
        <v>0</v>
      </c>
      <c r="AM8">
        <f t="shared" si="0"/>
        <v>0</v>
      </c>
      <c r="AN8">
        <f t="shared" si="0"/>
        <v>0</v>
      </c>
      <c r="AO8">
        <f t="shared" si="0"/>
        <v>0</v>
      </c>
      <c r="AP8">
        <f t="shared" si="0"/>
        <v>0</v>
      </c>
      <c r="AQ8">
        <f t="shared" si="0"/>
        <v>0</v>
      </c>
      <c r="AR8">
        <f t="shared" si="0"/>
        <v>0</v>
      </c>
      <c r="AS8">
        <f t="shared" si="0"/>
        <v>0</v>
      </c>
      <c r="AT8">
        <f t="shared" si="0"/>
        <v>0</v>
      </c>
      <c r="AU8">
        <f t="shared" si="0"/>
        <v>0</v>
      </c>
      <c r="AV8">
        <f t="shared" si="0"/>
        <v>0</v>
      </c>
      <c r="AW8">
        <f t="shared" si="0"/>
        <v>0</v>
      </c>
      <c r="AX8">
        <f t="shared" si="0"/>
        <v>0</v>
      </c>
      <c r="AY8">
        <f t="shared" si="0"/>
        <v>0</v>
      </c>
      <c r="AZ8">
        <f t="shared" si="0"/>
        <v>0</v>
      </c>
    </row>
    <row r="9" spans="1:181">
      <c r="A9">
        <f>СВ!B32</f>
        <v>5</v>
      </c>
      <c r="B9" s="5">
        <f>СВ!C32</f>
        <v>0.375</v>
      </c>
      <c r="C9" s="5">
        <f>СВ!D32</f>
        <v>0.41666666666666669</v>
      </c>
      <c r="D9">
        <f t="shared" si="1"/>
        <v>1</v>
      </c>
      <c r="E9">
        <f t="shared" si="0"/>
        <v>1</v>
      </c>
      <c r="F9">
        <f t="shared" si="0"/>
        <v>1</v>
      </c>
      <c r="G9">
        <f t="shared" si="0"/>
        <v>1</v>
      </c>
      <c r="H9">
        <f t="shared" si="0"/>
        <v>0</v>
      </c>
      <c r="I9">
        <f t="shared" si="0"/>
        <v>1</v>
      </c>
      <c r="J9">
        <f t="shared" si="0"/>
        <v>1</v>
      </c>
      <c r="K9">
        <f t="shared" si="0"/>
        <v>1</v>
      </c>
      <c r="L9">
        <f t="shared" si="0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>
        <f t="shared" si="0"/>
        <v>0</v>
      </c>
      <c r="R9">
        <f t="shared" si="0"/>
        <v>0</v>
      </c>
      <c r="S9">
        <f t="shared" si="0"/>
        <v>0</v>
      </c>
      <c r="T9">
        <f t="shared" si="0"/>
        <v>0</v>
      </c>
      <c r="U9">
        <f t="shared" si="0"/>
        <v>0</v>
      </c>
      <c r="V9">
        <f t="shared" si="0"/>
        <v>0</v>
      </c>
      <c r="W9">
        <f t="shared" si="0"/>
        <v>0</v>
      </c>
      <c r="X9">
        <f t="shared" si="0"/>
        <v>0</v>
      </c>
      <c r="Y9">
        <f t="shared" si="0"/>
        <v>0</v>
      </c>
      <c r="Z9">
        <f t="shared" si="0"/>
        <v>0</v>
      </c>
      <c r="AA9">
        <f t="shared" si="0"/>
        <v>0</v>
      </c>
      <c r="AB9">
        <f t="shared" si="0"/>
        <v>0</v>
      </c>
      <c r="AC9">
        <f t="shared" si="0"/>
        <v>0</v>
      </c>
      <c r="AD9">
        <f t="shared" si="0"/>
        <v>0</v>
      </c>
      <c r="AE9">
        <f t="shared" si="0"/>
        <v>0</v>
      </c>
      <c r="AF9">
        <f t="shared" si="0"/>
        <v>0</v>
      </c>
      <c r="AG9">
        <f t="shared" si="0"/>
        <v>0</v>
      </c>
      <c r="AH9">
        <f t="shared" si="0"/>
        <v>0</v>
      </c>
      <c r="AI9">
        <f t="shared" si="0"/>
        <v>0</v>
      </c>
      <c r="AJ9">
        <f t="shared" si="0"/>
        <v>0</v>
      </c>
      <c r="AK9">
        <f t="shared" si="0"/>
        <v>0</v>
      </c>
      <c r="AL9">
        <f t="shared" si="0"/>
        <v>0</v>
      </c>
      <c r="AM9">
        <f t="shared" si="0"/>
        <v>0</v>
      </c>
      <c r="AN9">
        <f t="shared" si="0"/>
        <v>0</v>
      </c>
      <c r="AO9">
        <f t="shared" si="0"/>
        <v>0</v>
      </c>
      <c r="AP9">
        <f t="shared" si="0"/>
        <v>0</v>
      </c>
      <c r="AQ9">
        <f t="shared" si="0"/>
        <v>0</v>
      </c>
      <c r="AR9">
        <f t="shared" si="0"/>
        <v>0</v>
      </c>
      <c r="AS9">
        <f t="shared" si="0"/>
        <v>0</v>
      </c>
      <c r="AT9">
        <f t="shared" si="0"/>
        <v>0</v>
      </c>
      <c r="AU9">
        <f t="shared" si="0"/>
        <v>0</v>
      </c>
      <c r="AV9">
        <f t="shared" si="0"/>
        <v>0</v>
      </c>
      <c r="AW9">
        <f t="shared" si="0"/>
        <v>0</v>
      </c>
      <c r="AX9">
        <f t="shared" si="0"/>
        <v>0</v>
      </c>
      <c r="AY9">
        <f t="shared" si="0"/>
        <v>0</v>
      </c>
      <c r="AZ9">
        <f t="shared" si="0"/>
        <v>0</v>
      </c>
    </row>
    <row r="10" spans="1:181">
      <c r="A10">
        <f>СВ!B33</f>
        <v>6</v>
      </c>
      <c r="B10" s="5">
        <f>СВ!C33</f>
        <v>0.38541666666666669</v>
      </c>
      <c r="C10" s="5">
        <f>СВ!D33</f>
        <v>0.41666666666666669</v>
      </c>
      <c r="D10">
        <f t="shared" si="1"/>
        <v>0</v>
      </c>
      <c r="E10">
        <f t="shared" si="0"/>
        <v>1</v>
      </c>
      <c r="F10">
        <f t="shared" si="0"/>
        <v>1</v>
      </c>
      <c r="G10">
        <f t="shared" si="0"/>
        <v>1</v>
      </c>
      <c r="H10">
        <f t="shared" si="0"/>
        <v>1</v>
      </c>
      <c r="I10">
        <f t="shared" si="0"/>
        <v>0</v>
      </c>
      <c r="J10">
        <f t="shared" si="0"/>
        <v>1</v>
      </c>
      <c r="K10">
        <f t="shared" si="0"/>
        <v>1</v>
      </c>
      <c r="L10">
        <f t="shared" si="0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Q10">
        <f t="shared" si="0"/>
        <v>0</v>
      </c>
      <c r="R10">
        <f t="shared" si="0"/>
        <v>0</v>
      </c>
      <c r="S10">
        <f t="shared" si="0"/>
        <v>0</v>
      </c>
      <c r="T10">
        <f t="shared" si="0"/>
        <v>0</v>
      </c>
      <c r="U10">
        <f t="shared" si="0"/>
        <v>0</v>
      </c>
      <c r="V10">
        <f t="shared" si="0"/>
        <v>0</v>
      </c>
      <c r="W10">
        <f t="shared" si="0"/>
        <v>0</v>
      </c>
      <c r="X10">
        <f t="shared" si="0"/>
        <v>0</v>
      </c>
      <c r="Y10">
        <f t="shared" si="0"/>
        <v>0</v>
      </c>
      <c r="Z10">
        <f t="shared" si="0"/>
        <v>0</v>
      </c>
      <c r="AA10">
        <f t="shared" si="0"/>
        <v>0</v>
      </c>
      <c r="AB10">
        <f t="shared" si="0"/>
        <v>0</v>
      </c>
      <c r="AC10">
        <f t="shared" si="0"/>
        <v>0</v>
      </c>
      <c r="AD10">
        <f t="shared" si="0"/>
        <v>0</v>
      </c>
      <c r="AE10">
        <f t="shared" si="0"/>
        <v>0</v>
      </c>
      <c r="AF10">
        <f t="shared" si="0"/>
        <v>0</v>
      </c>
      <c r="AG10">
        <f t="shared" si="0"/>
        <v>0</v>
      </c>
      <c r="AH10">
        <f t="shared" si="0"/>
        <v>0</v>
      </c>
      <c r="AI10">
        <f t="shared" ref="E10:AZ15" si="2">IF(OR(AND(AI$3&gt;$B10,AI$3&lt;$C10),AND(AI$4&gt;$B10,AI$4&lt;$C10),AND($B10&gt;AI$3,$B10&lt;AI$4),AND($C10&gt;AI$3,$C10&lt;AI$4)),1,0)</f>
        <v>0</v>
      </c>
      <c r="AJ10">
        <f t="shared" si="2"/>
        <v>0</v>
      </c>
      <c r="AK10">
        <f t="shared" si="2"/>
        <v>0</v>
      </c>
      <c r="AL10">
        <f t="shared" si="2"/>
        <v>0</v>
      </c>
      <c r="AM10">
        <f t="shared" si="2"/>
        <v>0</v>
      </c>
      <c r="AN10">
        <f t="shared" si="2"/>
        <v>0</v>
      </c>
      <c r="AO10">
        <f t="shared" si="2"/>
        <v>0</v>
      </c>
      <c r="AP10">
        <f t="shared" si="2"/>
        <v>0</v>
      </c>
      <c r="AQ10">
        <f t="shared" si="2"/>
        <v>0</v>
      </c>
      <c r="AR10">
        <f t="shared" si="2"/>
        <v>0</v>
      </c>
      <c r="AS10">
        <f t="shared" si="2"/>
        <v>0</v>
      </c>
      <c r="AT10">
        <f t="shared" si="2"/>
        <v>0</v>
      </c>
      <c r="AU10">
        <f t="shared" si="2"/>
        <v>0</v>
      </c>
      <c r="AV10">
        <f t="shared" si="2"/>
        <v>0</v>
      </c>
      <c r="AW10">
        <f t="shared" si="2"/>
        <v>0</v>
      </c>
      <c r="AX10">
        <f t="shared" si="2"/>
        <v>0</v>
      </c>
      <c r="AY10">
        <f t="shared" si="2"/>
        <v>0</v>
      </c>
      <c r="AZ10">
        <f t="shared" si="2"/>
        <v>0</v>
      </c>
    </row>
    <row r="11" spans="1:181">
      <c r="A11">
        <f>СВ!B34</f>
        <v>7</v>
      </c>
      <c r="B11" s="5">
        <f>СВ!C34</f>
        <v>0.39583333333333331</v>
      </c>
      <c r="C11" s="5">
        <f>СВ!D34</f>
        <v>0.42708333333333331</v>
      </c>
      <c r="D11">
        <f t="shared" si="1"/>
        <v>0</v>
      </c>
      <c r="E11">
        <f t="shared" si="2"/>
        <v>0</v>
      </c>
      <c r="F11">
        <f t="shared" si="2"/>
        <v>0</v>
      </c>
      <c r="G11">
        <f t="shared" si="2"/>
        <v>1</v>
      </c>
      <c r="H11">
        <f t="shared" si="2"/>
        <v>1</v>
      </c>
      <c r="I11">
        <f t="shared" si="2"/>
        <v>1</v>
      </c>
      <c r="J11">
        <f t="shared" si="2"/>
        <v>0</v>
      </c>
      <c r="K11">
        <f t="shared" si="2"/>
        <v>1</v>
      </c>
      <c r="L11">
        <f t="shared" si="2"/>
        <v>1</v>
      </c>
      <c r="M11">
        <f t="shared" si="2"/>
        <v>1</v>
      </c>
      <c r="N11">
        <f t="shared" si="2"/>
        <v>0</v>
      </c>
      <c r="O11">
        <f t="shared" si="2"/>
        <v>0</v>
      </c>
      <c r="P11">
        <f t="shared" si="2"/>
        <v>0</v>
      </c>
      <c r="Q11">
        <f t="shared" si="2"/>
        <v>0</v>
      </c>
      <c r="R11">
        <f t="shared" si="2"/>
        <v>0</v>
      </c>
      <c r="S11">
        <f t="shared" si="2"/>
        <v>0</v>
      </c>
      <c r="T11">
        <f t="shared" si="2"/>
        <v>0</v>
      </c>
      <c r="U11">
        <f t="shared" si="2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>
        <f t="shared" si="2"/>
        <v>0</v>
      </c>
      <c r="AA11">
        <f t="shared" si="2"/>
        <v>0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  <c r="AJ11">
        <f t="shared" si="2"/>
        <v>0</v>
      </c>
      <c r="AK11">
        <f t="shared" si="2"/>
        <v>0</v>
      </c>
      <c r="AL11">
        <f t="shared" si="2"/>
        <v>0</v>
      </c>
      <c r="AM11">
        <f t="shared" si="2"/>
        <v>0</v>
      </c>
      <c r="AN11">
        <f t="shared" si="2"/>
        <v>0</v>
      </c>
      <c r="AO11">
        <f t="shared" si="2"/>
        <v>0</v>
      </c>
      <c r="AP11">
        <f t="shared" si="2"/>
        <v>0</v>
      </c>
      <c r="AQ11">
        <f t="shared" si="2"/>
        <v>0</v>
      </c>
      <c r="AR11">
        <f t="shared" si="2"/>
        <v>0</v>
      </c>
      <c r="AS11">
        <f t="shared" si="2"/>
        <v>0</v>
      </c>
      <c r="AT11">
        <f t="shared" si="2"/>
        <v>0</v>
      </c>
      <c r="AU11">
        <f t="shared" si="2"/>
        <v>0</v>
      </c>
      <c r="AV11">
        <f t="shared" si="2"/>
        <v>0</v>
      </c>
      <c r="AW11">
        <f t="shared" si="2"/>
        <v>0</v>
      </c>
      <c r="AX11">
        <f t="shared" si="2"/>
        <v>0</v>
      </c>
      <c r="AY11">
        <f t="shared" si="2"/>
        <v>0</v>
      </c>
      <c r="AZ11">
        <f t="shared" si="2"/>
        <v>0</v>
      </c>
    </row>
    <row r="12" spans="1:181">
      <c r="A12">
        <f>СВ!B35</f>
        <v>8</v>
      </c>
      <c r="B12" s="5">
        <f>СВ!C35</f>
        <v>0.40625</v>
      </c>
      <c r="C12" s="5">
        <f>СВ!D35</f>
        <v>0.4375</v>
      </c>
      <c r="D12">
        <f t="shared" si="1"/>
        <v>0</v>
      </c>
      <c r="E12">
        <f t="shared" si="2"/>
        <v>0</v>
      </c>
      <c r="F12">
        <f t="shared" si="2"/>
        <v>0</v>
      </c>
      <c r="G12">
        <f t="shared" si="2"/>
        <v>0</v>
      </c>
      <c r="H12">
        <f t="shared" si="2"/>
        <v>1</v>
      </c>
      <c r="I12">
        <f t="shared" si="2"/>
        <v>1</v>
      </c>
      <c r="J12">
        <f t="shared" si="2"/>
        <v>1</v>
      </c>
      <c r="K12">
        <f t="shared" si="2"/>
        <v>0</v>
      </c>
      <c r="L12">
        <f t="shared" si="2"/>
        <v>1</v>
      </c>
      <c r="M12">
        <f t="shared" si="2"/>
        <v>1</v>
      </c>
      <c r="N12">
        <f t="shared" si="2"/>
        <v>1</v>
      </c>
      <c r="O12">
        <f t="shared" si="2"/>
        <v>0</v>
      </c>
      <c r="P12">
        <f t="shared" si="2"/>
        <v>0</v>
      </c>
      <c r="Q12">
        <f t="shared" si="2"/>
        <v>0</v>
      </c>
      <c r="R12">
        <f t="shared" si="2"/>
        <v>0</v>
      </c>
      <c r="S12">
        <f t="shared" si="2"/>
        <v>0</v>
      </c>
      <c r="T12">
        <f t="shared" si="2"/>
        <v>0</v>
      </c>
      <c r="U12">
        <f t="shared" si="2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>
        <f t="shared" si="2"/>
        <v>0</v>
      </c>
      <c r="AA12">
        <f t="shared" si="2"/>
        <v>0</v>
      </c>
      <c r="AB12">
        <f t="shared" si="2"/>
        <v>0</v>
      </c>
      <c r="AC12">
        <f t="shared" si="2"/>
        <v>0</v>
      </c>
      <c r="AD12">
        <f t="shared" si="2"/>
        <v>0</v>
      </c>
      <c r="AE12">
        <f t="shared" si="2"/>
        <v>0</v>
      </c>
      <c r="AF12">
        <f t="shared" si="2"/>
        <v>0</v>
      </c>
      <c r="AG12">
        <f t="shared" si="2"/>
        <v>0</v>
      </c>
      <c r="AH12">
        <f t="shared" si="2"/>
        <v>0</v>
      </c>
      <c r="AI12">
        <f t="shared" si="2"/>
        <v>0</v>
      </c>
      <c r="AJ12">
        <f t="shared" si="2"/>
        <v>0</v>
      </c>
      <c r="AK12">
        <f t="shared" si="2"/>
        <v>0</v>
      </c>
      <c r="AL12">
        <f t="shared" si="2"/>
        <v>0</v>
      </c>
      <c r="AM12">
        <f t="shared" si="2"/>
        <v>0</v>
      </c>
      <c r="AN12">
        <f t="shared" si="2"/>
        <v>0</v>
      </c>
      <c r="AO12">
        <f t="shared" si="2"/>
        <v>0</v>
      </c>
      <c r="AP12">
        <f t="shared" si="2"/>
        <v>0</v>
      </c>
      <c r="AQ12">
        <f t="shared" si="2"/>
        <v>0</v>
      </c>
      <c r="AR12">
        <f t="shared" si="2"/>
        <v>0</v>
      </c>
      <c r="AS12">
        <f t="shared" si="2"/>
        <v>0</v>
      </c>
      <c r="AT12">
        <f t="shared" si="2"/>
        <v>0</v>
      </c>
      <c r="AU12">
        <f t="shared" si="2"/>
        <v>0</v>
      </c>
      <c r="AV12">
        <f t="shared" si="2"/>
        <v>0</v>
      </c>
      <c r="AW12">
        <f t="shared" si="2"/>
        <v>0</v>
      </c>
      <c r="AX12">
        <f t="shared" si="2"/>
        <v>0</v>
      </c>
      <c r="AY12">
        <f t="shared" si="2"/>
        <v>0</v>
      </c>
      <c r="AZ12">
        <f t="shared" si="2"/>
        <v>0</v>
      </c>
    </row>
    <row r="13" spans="1:181">
      <c r="A13">
        <f>СВ!B36</f>
        <v>9</v>
      </c>
      <c r="B13" s="5">
        <f>СВ!C36</f>
        <v>0.41666666666666669</v>
      </c>
      <c r="C13" s="5">
        <f>СВ!D36</f>
        <v>0.44791666666666669</v>
      </c>
      <c r="D13">
        <f t="shared" si="1"/>
        <v>0</v>
      </c>
      <c r="E13">
        <f t="shared" si="2"/>
        <v>0</v>
      </c>
      <c r="F13">
        <f t="shared" si="2"/>
        <v>0</v>
      </c>
      <c r="G13">
        <f t="shared" si="2"/>
        <v>0</v>
      </c>
      <c r="H13">
        <f t="shared" si="2"/>
        <v>0</v>
      </c>
      <c r="I13">
        <f t="shared" si="2"/>
        <v>0</v>
      </c>
      <c r="J13">
        <f t="shared" si="2"/>
        <v>1</v>
      </c>
      <c r="K13">
        <f t="shared" si="2"/>
        <v>1</v>
      </c>
      <c r="L13">
        <f t="shared" si="2"/>
        <v>0</v>
      </c>
      <c r="M13">
        <f t="shared" si="2"/>
        <v>1</v>
      </c>
      <c r="N13">
        <f t="shared" si="2"/>
        <v>1</v>
      </c>
      <c r="O13">
        <f t="shared" si="2"/>
        <v>1</v>
      </c>
      <c r="P13">
        <f t="shared" si="2"/>
        <v>0</v>
      </c>
      <c r="Q13">
        <f t="shared" si="2"/>
        <v>0</v>
      </c>
      <c r="R13">
        <f t="shared" si="2"/>
        <v>0</v>
      </c>
      <c r="S13">
        <f t="shared" si="2"/>
        <v>0</v>
      </c>
      <c r="T13">
        <f t="shared" si="2"/>
        <v>0</v>
      </c>
      <c r="U13">
        <f t="shared" si="2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>
        <f t="shared" si="2"/>
        <v>0</v>
      </c>
      <c r="AA13">
        <f t="shared" si="2"/>
        <v>0</v>
      </c>
      <c r="AB13">
        <f t="shared" si="2"/>
        <v>0</v>
      </c>
      <c r="AC13">
        <f t="shared" si="2"/>
        <v>0</v>
      </c>
      <c r="AD13">
        <f t="shared" si="2"/>
        <v>0</v>
      </c>
      <c r="AE13">
        <f t="shared" si="2"/>
        <v>0</v>
      </c>
      <c r="AF13">
        <f t="shared" si="2"/>
        <v>0</v>
      </c>
      <c r="AG13">
        <f t="shared" si="2"/>
        <v>0</v>
      </c>
      <c r="AH13">
        <f t="shared" si="2"/>
        <v>0</v>
      </c>
      <c r="AI13">
        <f t="shared" si="2"/>
        <v>0</v>
      </c>
      <c r="AJ13">
        <f t="shared" si="2"/>
        <v>0</v>
      </c>
      <c r="AK13">
        <f t="shared" si="2"/>
        <v>0</v>
      </c>
      <c r="AL13">
        <f t="shared" si="2"/>
        <v>0</v>
      </c>
      <c r="AM13">
        <f t="shared" si="2"/>
        <v>0</v>
      </c>
      <c r="AN13">
        <f t="shared" si="2"/>
        <v>0</v>
      </c>
      <c r="AO13">
        <f t="shared" si="2"/>
        <v>0</v>
      </c>
      <c r="AP13">
        <f t="shared" si="2"/>
        <v>0</v>
      </c>
      <c r="AQ13">
        <f t="shared" si="2"/>
        <v>0</v>
      </c>
      <c r="AR13">
        <f t="shared" si="2"/>
        <v>0</v>
      </c>
      <c r="AS13">
        <f t="shared" si="2"/>
        <v>0</v>
      </c>
      <c r="AT13">
        <f t="shared" si="2"/>
        <v>0</v>
      </c>
      <c r="AU13">
        <f t="shared" si="2"/>
        <v>0</v>
      </c>
      <c r="AV13">
        <f t="shared" si="2"/>
        <v>0</v>
      </c>
      <c r="AW13">
        <f t="shared" si="2"/>
        <v>0</v>
      </c>
      <c r="AX13">
        <f t="shared" si="2"/>
        <v>0</v>
      </c>
      <c r="AY13">
        <f t="shared" si="2"/>
        <v>0</v>
      </c>
      <c r="AZ13">
        <f t="shared" si="2"/>
        <v>0</v>
      </c>
    </row>
    <row r="14" spans="1:181">
      <c r="A14">
        <f>СВ!B37</f>
        <v>10</v>
      </c>
      <c r="B14" s="5">
        <f>СВ!C37</f>
        <v>0.41666666666666669</v>
      </c>
      <c r="C14" s="5">
        <f>СВ!D37</f>
        <v>0.45833333333333331</v>
      </c>
      <c r="D14">
        <f t="shared" si="1"/>
        <v>0</v>
      </c>
      <c r="E14">
        <f t="shared" si="2"/>
        <v>0</v>
      </c>
      <c r="F14">
        <f t="shared" si="2"/>
        <v>0</v>
      </c>
      <c r="G14">
        <f t="shared" si="2"/>
        <v>0</v>
      </c>
      <c r="H14">
        <f t="shared" si="2"/>
        <v>0</v>
      </c>
      <c r="I14">
        <f t="shared" si="2"/>
        <v>0</v>
      </c>
      <c r="J14">
        <f t="shared" si="2"/>
        <v>1</v>
      </c>
      <c r="K14">
        <f t="shared" si="2"/>
        <v>1</v>
      </c>
      <c r="L14">
        <f t="shared" si="2"/>
        <v>1</v>
      </c>
      <c r="M14">
        <f t="shared" si="2"/>
        <v>0</v>
      </c>
      <c r="N14">
        <f t="shared" si="2"/>
        <v>1</v>
      </c>
      <c r="O14">
        <f t="shared" si="2"/>
        <v>1</v>
      </c>
      <c r="P14">
        <f t="shared" si="2"/>
        <v>1</v>
      </c>
      <c r="Q14">
        <f t="shared" si="2"/>
        <v>0</v>
      </c>
      <c r="R14">
        <f t="shared" si="2"/>
        <v>0</v>
      </c>
      <c r="S14">
        <f t="shared" si="2"/>
        <v>0</v>
      </c>
      <c r="T14">
        <f t="shared" si="2"/>
        <v>0</v>
      </c>
      <c r="U14">
        <f t="shared" si="2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>
        <f t="shared" si="2"/>
        <v>0</v>
      </c>
      <c r="AA14">
        <f t="shared" si="2"/>
        <v>0</v>
      </c>
      <c r="AB14">
        <f t="shared" si="2"/>
        <v>0</v>
      </c>
      <c r="AC14">
        <f t="shared" si="2"/>
        <v>0</v>
      </c>
      <c r="AD14">
        <f t="shared" si="2"/>
        <v>0</v>
      </c>
      <c r="AE14">
        <f t="shared" si="2"/>
        <v>0</v>
      </c>
      <c r="AF14">
        <f t="shared" si="2"/>
        <v>0</v>
      </c>
      <c r="AG14">
        <f t="shared" si="2"/>
        <v>0</v>
      </c>
      <c r="AH14">
        <f t="shared" si="2"/>
        <v>0</v>
      </c>
      <c r="AI14">
        <f t="shared" si="2"/>
        <v>0</v>
      </c>
      <c r="AJ14">
        <f t="shared" si="2"/>
        <v>0</v>
      </c>
      <c r="AK14">
        <f t="shared" si="2"/>
        <v>0</v>
      </c>
      <c r="AL14">
        <f t="shared" si="2"/>
        <v>0</v>
      </c>
      <c r="AM14">
        <f t="shared" si="2"/>
        <v>0</v>
      </c>
      <c r="AN14">
        <f t="shared" si="2"/>
        <v>0</v>
      </c>
      <c r="AO14">
        <f t="shared" si="2"/>
        <v>0</v>
      </c>
      <c r="AP14">
        <f t="shared" si="2"/>
        <v>0</v>
      </c>
      <c r="AQ14">
        <f t="shared" si="2"/>
        <v>0</v>
      </c>
      <c r="AR14">
        <f t="shared" si="2"/>
        <v>0</v>
      </c>
      <c r="AS14">
        <f t="shared" si="2"/>
        <v>0</v>
      </c>
      <c r="AT14">
        <f t="shared" si="2"/>
        <v>0</v>
      </c>
      <c r="AU14">
        <f t="shared" si="2"/>
        <v>0</v>
      </c>
      <c r="AV14">
        <f t="shared" si="2"/>
        <v>0</v>
      </c>
      <c r="AW14">
        <f t="shared" si="2"/>
        <v>0</v>
      </c>
      <c r="AX14">
        <f t="shared" si="2"/>
        <v>0</v>
      </c>
      <c r="AY14">
        <f t="shared" si="2"/>
        <v>0</v>
      </c>
      <c r="AZ14">
        <f t="shared" si="2"/>
        <v>0</v>
      </c>
    </row>
    <row r="15" spans="1:181">
      <c r="A15">
        <f>СВ!B38</f>
        <v>11</v>
      </c>
      <c r="B15" s="5">
        <f>СВ!C38</f>
        <v>0.42708333333333331</v>
      </c>
      <c r="C15" s="5">
        <f>СВ!D38</f>
        <v>0.45833333333333331</v>
      </c>
      <c r="D15">
        <f t="shared" si="1"/>
        <v>0</v>
      </c>
      <c r="E15">
        <f t="shared" si="2"/>
        <v>0</v>
      </c>
      <c r="F15">
        <f t="shared" si="2"/>
        <v>0</v>
      </c>
      <c r="G15">
        <f t="shared" si="2"/>
        <v>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1</v>
      </c>
      <c r="L15">
        <f t="shared" si="2"/>
        <v>1</v>
      </c>
      <c r="M15">
        <f t="shared" si="2"/>
        <v>1</v>
      </c>
      <c r="N15">
        <f t="shared" si="2"/>
        <v>0</v>
      </c>
      <c r="O15">
        <f t="shared" si="2"/>
        <v>1</v>
      </c>
      <c r="P15">
        <f t="shared" si="2"/>
        <v>1</v>
      </c>
      <c r="Q15">
        <f t="shared" si="2"/>
        <v>0</v>
      </c>
      <c r="R15">
        <f t="shared" si="2"/>
        <v>0</v>
      </c>
      <c r="S15">
        <f t="shared" si="2"/>
        <v>0</v>
      </c>
      <c r="T15">
        <f t="shared" si="2"/>
        <v>0</v>
      </c>
      <c r="U15">
        <f t="shared" si="2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>
        <f t="shared" si="2"/>
        <v>0</v>
      </c>
      <c r="AA15">
        <f t="shared" si="2"/>
        <v>0</v>
      </c>
      <c r="AB15">
        <f t="shared" si="2"/>
        <v>0</v>
      </c>
      <c r="AC15">
        <f t="shared" si="2"/>
        <v>0</v>
      </c>
      <c r="AD15">
        <f t="shared" si="2"/>
        <v>0</v>
      </c>
      <c r="AE15">
        <f t="shared" si="2"/>
        <v>0</v>
      </c>
      <c r="AF15">
        <f t="shared" si="2"/>
        <v>0</v>
      </c>
      <c r="AG15">
        <f t="shared" si="2"/>
        <v>0</v>
      </c>
      <c r="AH15">
        <f t="shared" si="2"/>
        <v>0</v>
      </c>
      <c r="AI15">
        <f t="shared" si="2"/>
        <v>0</v>
      </c>
      <c r="AJ15">
        <f t="shared" si="2"/>
        <v>0</v>
      </c>
      <c r="AK15">
        <f t="shared" si="2"/>
        <v>0</v>
      </c>
      <c r="AL15">
        <f t="shared" si="2"/>
        <v>0</v>
      </c>
      <c r="AM15">
        <f t="shared" si="2"/>
        <v>0</v>
      </c>
      <c r="AN15">
        <f t="shared" si="2"/>
        <v>0</v>
      </c>
      <c r="AO15">
        <f t="shared" si="2"/>
        <v>0</v>
      </c>
      <c r="AP15">
        <f t="shared" si="2"/>
        <v>0</v>
      </c>
      <c r="AQ15">
        <f t="shared" si="2"/>
        <v>0</v>
      </c>
      <c r="AR15">
        <f t="shared" si="2"/>
        <v>0</v>
      </c>
      <c r="AS15">
        <f t="shared" si="2"/>
        <v>0</v>
      </c>
      <c r="AT15">
        <f t="shared" si="2"/>
        <v>0</v>
      </c>
      <c r="AU15">
        <f t="shared" si="2"/>
        <v>0</v>
      </c>
      <c r="AV15">
        <f t="shared" si="2"/>
        <v>0</v>
      </c>
      <c r="AW15">
        <f t="shared" si="2"/>
        <v>0</v>
      </c>
      <c r="AX15">
        <f t="shared" ref="E15:AZ21" si="3">IF(OR(AND(AX$3&gt;$B15,AX$3&lt;$C15),AND(AX$4&gt;$B15,AX$4&lt;$C15),AND($B15&gt;AX$3,$B15&lt;AX$4),AND($C15&gt;AX$3,$C15&lt;AX$4)),1,0)</f>
        <v>0</v>
      </c>
      <c r="AY15">
        <f t="shared" si="3"/>
        <v>0</v>
      </c>
      <c r="AZ15">
        <f t="shared" si="3"/>
        <v>0</v>
      </c>
    </row>
    <row r="16" spans="1:181">
      <c r="A16">
        <f>СВ!B39</f>
        <v>12</v>
      </c>
      <c r="B16" s="5">
        <f>СВ!C39</f>
        <v>0.4375</v>
      </c>
      <c r="C16" s="5">
        <f>СВ!D39</f>
        <v>0.46875</v>
      </c>
      <c r="D16">
        <f t="shared" si="1"/>
        <v>0</v>
      </c>
      <c r="E16">
        <f t="shared" si="3"/>
        <v>0</v>
      </c>
      <c r="F16">
        <f t="shared" si="3"/>
        <v>0</v>
      </c>
      <c r="G16">
        <f t="shared" si="3"/>
        <v>0</v>
      </c>
      <c r="H16">
        <f t="shared" si="3"/>
        <v>0</v>
      </c>
      <c r="I16">
        <f t="shared" si="3"/>
        <v>0</v>
      </c>
      <c r="J16">
        <f t="shared" si="3"/>
        <v>0</v>
      </c>
      <c r="K16">
        <f t="shared" si="3"/>
        <v>0</v>
      </c>
      <c r="L16">
        <f t="shared" si="3"/>
        <v>1</v>
      </c>
      <c r="M16">
        <f t="shared" si="3"/>
        <v>1</v>
      </c>
      <c r="N16">
        <f t="shared" si="3"/>
        <v>1</v>
      </c>
      <c r="O16">
        <f t="shared" si="3"/>
        <v>0</v>
      </c>
      <c r="P16">
        <f t="shared" si="3"/>
        <v>1</v>
      </c>
      <c r="Q16">
        <f t="shared" si="3"/>
        <v>1</v>
      </c>
      <c r="R16">
        <f t="shared" si="3"/>
        <v>0</v>
      </c>
      <c r="S16">
        <f t="shared" si="3"/>
        <v>0</v>
      </c>
      <c r="T16">
        <f t="shared" si="3"/>
        <v>0</v>
      </c>
      <c r="U16">
        <f t="shared" si="3"/>
        <v>0</v>
      </c>
      <c r="V16">
        <f t="shared" si="3"/>
        <v>0</v>
      </c>
      <c r="W16">
        <f t="shared" si="3"/>
        <v>0</v>
      </c>
      <c r="X16">
        <f t="shared" si="3"/>
        <v>0</v>
      </c>
      <c r="Y16">
        <f t="shared" si="3"/>
        <v>0</v>
      </c>
      <c r="Z16">
        <f t="shared" si="3"/>
        <v>0</v>
      </c>
      <c r="AA16">
        <f t="shared" si="3"/>
        <v>0</v>
      </c>
      <c r="AB16">
        <f t="shared" si="3"/>
        <v>0</v>
      </c>
      <c r="AC16">
        <f t="shared" si="3"/>
        <v>0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H16">
        <f t="shared" si="3"/>
        <v>0</v>
      </c>
      <c r="AI16">
        <f t="shared" si="3"/>
        <v>0</v>
      </c>
      <c r="AJ16">
        <f t="shared" si="3"/>
        <v>0</v>
      </c>
      <c r="AK16">
        <f t="shared" si="3"/>
        <v>0</v>
      </c>
      <c r="AL16">
        <f t="shared" si="3"/>
        <v>0</v>
      </c>
      <c r="AM16">
        <f t="shared" si="3"/>
        <v>0</v>
      </c>
      <c r="AN16">
        <f t="shared" si="3"/>
        <v>0</v>
      </c>
      <c r="AO16">
        <f t="shared" si="3"/>
        <v>0</v>
      </c>
      <c r="AP16">
        <f t="shared" si="3"/>
        <v>0</v>
      </c>
      <c r="AQ16">
        <f t="shared" si="3"/>
        <v>0</v>
      </c>
      <c r="AR16">
        <f t="shared" si="3"/>
        <v>0</v>
      </c>
      <c r="AS16">
        <f t="shared" si="3"/>
        <v>0</v>
      </c>
      <c r="AT16">
        <f t="shared" si="3"/>
        <v>0</v>
      </c>
      <c r="AU16">
        <f t="shared" si="3"/>
        <v>0</v>
      </c>
      <c r="AV16">
        <f t="shared" si="3"/>
        <v>0</v>
      </c>
      <c r="AW16">
        <f t="shared" si="3"/>
        <v>0</v>
      </c>
      <c r="AX16">
        <f t="shared" si="3"/>
        <v>0</v>
      </c>
      <c r="AY16">
        <f t="shared" si="3"/>
        <v>0</v>
      </c>
      <c r="AZ16">
        <f t="shared" si="3"/>
        <v>0</v>
      </c>
    </row>
    <row r="17" spans="1:52">
      <c r="A17">
        <f>СВ!B40</f>
        <v>13</v>
      </c>
      <c r="B17" s="5">
        <f>СВ!C40</f>
        <v>0.44791666666666669</v>
      </c>
      <c r="C17" s="5">
        <f>СВ!D40</f>
        <v>0.47916666666666669</v>
      </c>
      <c r="D17">
        <f t="shared" si="1"/>
        <v>0</v>
      </c>
      <c r="E17">
        <f t="shared" si="3"/>
        <v>0</v>
      </c>
      <c r="F17">
        <f t="shared" si="3"/>
        <v>0</v>
      </c>
      <c r="G17">
        <f t="shared" si="3"/>
        <v>0</v>
      </c>
      <c r="H17">
        <f t="shared" si="3"/>
        <v>0</v>
      </c>
      <c r="I17">
        <f t="shared" si="3"/>
        <v>0</v>
      </c>
      <c r="J17">
        <f t="shared" si="3"/>
        <v>0</v>
      </c>
      <c r="K17">
        <f t="shared" si="3"/>
        <v>0</v>
      </c>
      <c r="L17">
        <f t="shared" si="3"/>
        <v>0</v>
      </c>
      <c r="M17">
        <f t="shared" si="3"/>
        <v>1</v>
      </c>
      <c r="N17">
        <f t="shared" si="3"/>
        <v>1</v>
      </c>
      <c r="O17">
        <f t="shared" si="3"/>
        <v>1</v>
      </c>
      <c r="P17">
        <f t="shared" si="3"/>
        <v>0</v>
      </c>
      <c r="Q17">
        <f t="shared" si="3"/>
        <v>1</v>
      </c>
      <c r="R17">
        <f t="shared" si="3"/>
        <v>1</v>
      </c>
      <c r="S17">
        <f t="shared" si="3"/>
        <v>0</v>
      </c>
      <c r="T17">
        <f t="shared" si="3"/>
        <v>0</v>
      </c>
      <c r="U17">
        <f t="shared" si="3"/>
        <v>0</v>
      </c>
      <c r="V17">
        <f t="shared" si="3"/>
        <v>0</v>
      </c>
      <c r="W17">
        <f t="shared" si="3"/>
        <v>0</v>
      </c>
      <c r="X17">
        <f t="shared" si="3"/>
        <v>0</v>
      </c>
      <c r="Y17">
        <f t="shared" si="3"/>
        <v>0</v>
      </c>
      <c r="Z17">
        <f t="shared" si="3"/>
        <v>0</v>
      </c>
      <c r="AA17">
        <f t="shared" si="3"/>
        <v>0</v>
      </c>
      <c r="AB17">
        <f t="shared" si="3"/>
        <v>0</v>
      </c>
      <c r="AC17">
        <f t="shared" si="3"/>
        <v>0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H17">
        <f t="shared" si="3"/>
        <v>0</v>
      </c>
      <c r="AI17">
        <f t="shared" si="3"/>
        <v>0</v>
      </c>
      <c r="AJ17">
        <f t="shared" si="3"/>
        <v>0</v>
      </c>
      <c r="AK17">
        <f t="shared" si="3"/>
        <v>0</v>
      </c>
      <c r="AL17">
        <f t="shared" si="3"/>
        <v>0</v>
      </c>
      <c r="AM17">
        <f t="shared" si="3"/>
        <v>0</v>
      </c>
      <c r="AN17">
        <f t="shared" si="3"/>
        <v>0</v>
      </c>
      <c r="AO17">
        <f t="shared" si="3"/>
        <v>0</v>
      </c>
      <c r="AP17">
        <f t="shared" si="3"/>
        <v>0</v>
      </c>
      <c r="AQ17">
        <f t="shared" si="3"/>
        <v>0</v>
      </c>
      <c r="AR17">
        <f t="shared" si="3"/>
        <v>0</v>
      </c>
      <c r="AS17">
        <f t="shared" si="3"/>
        <v>0</v>
      </c>
      <c r="AT17">
        <f t="shared" si="3"/>
        <v>0</v>
      </c>
      <c r="AU17">
        <f t="shared" si="3"/>
        <v>0</v>
      </c>
      <c r="AV17">
        <f t="shared" si="3"/>
        <v>0</v>
      </c>
      <c r="AW17">
        <f t="shared" si="3"/>
        <v>0</v>
      </c>
      <c r="AX17">
        <f t="shared" si="3"/>
        <v>0</v>
      </c>
      <c r="AY17">
        <f t="shared" si="3"/>
        <v>0</v>
      </c>
      <c r="AZ17">
        <f t="shared" si="3"/>
        <v>0</v>
      </c>
    </row>
    <row r="18" spans="1:52">
      <c r="A18">
        <f>СВ!B41</f>
        <v>14</v>
      </c>
      <c r="B18" s="5">
        <f>СВ!C41</f>
        <v>0.45833333333333337</v>
      </c>
      <c r="C18" s="5">
        <f>СВ!D41</f>
        <v>0.5</v>
      </c>
      <c r="D18">
        <f t="shared" si="1"/>
        <v>0</v>
      </c>
      <c r="E18">
        <f t="shared" si="3"/>
        <v>0</v>
      </c>
      <c r="F18">
        <f t="shared" si="3"/>
        <v>0</v>
      </c>
      <c r="G18">
        <f t="shared" si="3"/>
        <v>0</v>
      </c>
      <c r="H18">
        <f t="shared" si="3"/>
        <v>0</v>
      </c>
      <c r="I18">
        <f t="shared" si="3"/>
        <v>0</v>
      </c>
      <c r="J18">
        <f t="shared" si="3"/>
        <v>0</v>
      </c>
      <c r="K18">
        <f t="shared" si="3"/>
        <v>0</v>
      </c>
      <c r="L18">
        <f t="shared" si="3"/>
        <v>0</v>
      </c>
      <c r="M18">
        <f t="shared" si="3"/>
        <v>0</v>
      </c>
      <c r="N18">
        <f t="shared" si="3"/>
        <v>0</v>
      </c>
      <c r="O18">
        <f t="shared" si="3"/>
        <v>1</v>
      </c>
      <c r="P18">
        <f t="shared" si="3"/>
        <v>1</v>
      </c>
      <c r="Q18">
        <f t="shared" si="3"/>
        <v>0</v>
      </c>
      <c r="R18">
        <f t="shared" si="3"/>
        <v>1</v>
      </c>
      <c r="S18">
        <f t="shared" si="3"/>
        <v>1</v>
      </c>
      <c r="T18">
        <f t="shared" si="3"/>
        <v>1</v>
      </c>
      <c r="U18">
        <f t="shared" si="3"/>
        <v>0</v>
      </c>
      <c r="V18">
        <f t="shared" si="3"/>
        <v>0</v>
      </c>
      <c r="W18">
        <f t="shared" si="3"/>
        <v>0</v>
      </c>
      <c r="X18">
        <f t="shared" si="3"/>
        <v>0</v>
      </c>
      <c r="Y18">
        <f t="shared" si="3"/>
        <v>0</v>
      </c>
      <c r="Z18">
        <f t="shared" si="3"/>
        <v>0</v>
      </c>
      <c r="AA18">
        <f t="shared" si="3"/>
        <v>0</v>
      </c>
      <c r="AB18">
        <f t="shared" si="3"/>
        <v>0</v>
      </c>
      <c r="AC18">
        <f t="shared" si="3"/>
        <v>0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H18">
        <f t="shared" si="3"/>
        <v>0</v>
      </c>
      <c r="AI18">
        <f t="shared" si="3"/>
        <v>0</v>
      </c>
      <c r="AJ18">
        <f t="shared" si="3"/>
        <v>0</v>
      </c>
      <c r="AK18">
        <f t="shared" si="3"/>
        <v>0</v>
      </c>
      <c r="AL18">
        <f t="shared" si="3"/>
        <v>0</v>
      </c>
      <c r="AM18">
        <f t="shared" si="3"/>
        <v>0</v>
      </c>
      <c r="AN18">
        <f t="shared" si="3"/>
        <v>0</v>
      </c>
      <c r="AO18">
        <f t="shared" si="3"/>
        <v>0</v>
      </c>
      <c r="AP18">
        <f t="shared" si="3"/>
        <v>0</v>
      </c>
      <c r="AQ18">
        <f t="shared" si="3"/>
        <v>0</v>
      </c>
      <c r="AR18">
        <f t="shared" si="3"/>
        <v>0</v>
      </c>
      <c r="AS18">
        <f t="shared" si="3"/>
        <v>0</v>
      </c>
      <c r="AT18">
        <f t="shared" si="3"/>
        <v>0</v>
      </c>
      <c r="AU18">
        <f t="shared" si="3"/>
        <v>0</v>
      </c>
      <c r="AV18">
        <f t="shared" si="3"/>
        <v>0</v>
      </c>
      <c r="AW18">
        <f t="shared" si="3"/>
        <v>0</v>
      </c>
      <c r="AX18">
        <f t="shared" si="3"/>
        <v>0</v>
      </c>
      <c r="AY18">
        <f t="shared" si="3"/>
        <v>0</v>
      </c>
      <c r="AZ18">
        <f t="shared" si="3"/>
        <v>0</v>
      </c>
    </row>
    <row r="19" spans="1:52">
      <c r="A19">
        <f>СВ!B42</f>
        <v>15</v>
      </c>
      <c r="B19" s="5">
        <f>СВ!C42</f>
        <v>0.46875</v>
      </c>
      <c r="C19" s="5">
        <f>СВ!D42</f>
        <v>0.5</v>
      </c>
      <c r="D19">
        <f t="shared" si="1"/>
        <v>0</v>
      </c>
      <c r="E19">
        <f t="shared" si="3"/>
        <v>0</v>
      </c>
      <c r="F19">
        <f t="shared" si="3"/>
        <v>0</v>
      </c>
      <c r="G19">
        <f t="shared" si="3"/>
        <v>0</v>
      </c>
      <c r="H19">
        <f t="shared" si="3"/>
        <v>0</v>
      </c>
      <c r="I19">
        <f t="shared" si="3"/>
        <v>0</v>
      </c>
      <c r="J19">
        <f t="shared" si="3"/>
        <v>0</v>
      </c>
      <c r="K19">
        <f t="shared" si="3"/>
        <v>0</v>
      </c>
      <c r="L19">
        <f t="shared" si="3"/>
        <v>0</v>
      </c>
      <c r="M19">
        <f t="shared" si="3"/>
        <v>0</v>
      </c>
      <c r="N19">
        <f t="shared" si="3"/>
        <v>0</v>
      </c>
      <c r="O19">
        <f t="shared" si="3"/>
        <v>0</v>
      </c>
      <c r="P19">
        <f t="shared" si="3"/>
        <v>1</v>
      </c>
      <c r="Q19">
        <f t="shared" si="3"/>
        <v>1</v>
      </c>
      <c r="R19">
        <f t="shared" si="3"/>
        <v>0</v>
      </c>
      <c r="S19">
        <f t="shared" si="3"/>
        <v>1</v>
      </c>
      <c r="T19">
        <f t="shared" si="3"/>
        <v>1</v>
      </c>
      <c r="U19">
        <f t="shared" si="3"/>
        <v>0</v>
      </c>
      <c r="V19">
        <f t="shared" si="3"/>
        <v>0</v>
      </c>
      <c r="W19">
        <f t="shared" si="3"/>
        <v>0</v>
      </c>
      <c r="X19">
        <f t="shared" si="3"/>
        <v>0</v>
      </c>
      <c r="Y19">
        <f t="shared" si="3"/>
        <v>0</v>
      </c>
      <c r="Z19">
        <f t="shared" si="3"/>
        <v>0</v>
      </c>
      <c r="AA19">
        <f t="shared" si="3"/>
        <v>0</v>
      </c>
      <c r="AB19">
        <f t="shared" si="3"/>
        <v>0</v>
      </c>
      <c r="AC19">
        <f t="shared" si="3"/>
        <v>0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H19">
        <f t="shared" si="3"/>
        <v>0</v>
      </c>
      <c r="AI19">
        <f t="shared" si="3"/>
        <v>0</v>
      </c>
      <c r="AJ19">
        <f t="shared" si="3"/>
        <v>0</v>
      </c>
      <c r="AK19">
        <f t="shared" si="3"/>
        <v>0</v>
      </c>
      <c r="AL19">
        <f t="shared" si="3"/>
        <v>0</v>
      </c>
      <c r="AM19">
        <f t="shared" si="3"/>
        <v>0</v>
      </c>
      <c r="AN19">
        <f t="shared" si="3"/>
        <v>0</v>
      </c>
      <c r="AO19">
        <f t="shared" si="3"/>
        <v>0</v>
      </c>
      <c r="AP19">
        <f t="shared" si="3"/>
        <v>0</v>
      </c>
      <c r="AQ19">
        <f t="shared" si="3"/>
        <v>0</v>
      </c>
      <c r="AR19">
        <f t="shared" si="3"/>
        <v>0</v>
      </c>
      <c r="AS19">
        <f t="shared" si="3"/>
        <v>0</v>
      </c>
      <c r="AT19">
        <f t="shared" si="3"/>
        <v>0</v>
      </c>
      <c r="AU19">
        <f t="shared" si="3"/>
        <v>0</v>
      </c>
      <c r="AV19">
        <f t="shared" si="3"/>
        <v>0</v>
      </c>
      <c r="AW19">
        <f t="shared" si="3"/>
        <v>0</v>
      </c>
      <c r="AX19">
        <f t="shared" si="3"/>
        <v>0</v>
      </c>
      <c r="AY19">
        <f t="shared" si="3"/>
        <v>0</v>
      </c>
      <c r="AZ19">
        <f t="shared" si="3"/>
        <v>0</v>
      </c>
    </row>
    <row r="20" spans="1:52">
      <c r="A20">
        <f>СВ!B43</f>
        <v>16</v>
      </c>
      <c r="B20" s="5">
        <f>СВ!C43</f>
        <v>0.47916666666666669</v>
      </c>
      <c r="C20" s="5">
        <f>СВ!D43</f>
        <v>0.51041666666666663</v>
      </c>
      <c r="D20">
        <f t="shared" si="1"/>
        <v>0</v>
      </c>
      <c r="E20">
        <f t="shared" si="3"/>
        <v>0</v>
      </c>
      <c r="F20">
        <f t="shared" si="3"/>
        <v>0</v>
      </c>
      <c r="G20">
        <f t="shared" si="3"/>
        <v>0</v>
      </c>
      <c r="H20">
        <f t="shared" si="3"/>
        <v>0</v>
      </c>
      <c r="I20">
        <f t="shared" si="3"/>
        <v>0</v>
      </c>
      <c r="J20">
        <f t="shared" si="3"/>
        <v>0</v>
      </c>
      <c r="K20">
        <f t="shared" si="3"/>
        <v>0</v>
      </c>
      <c r="L20">
        <f t="shared" si="3"/>
        <v>0</v>
      </c>
      <c r="M20">
        <f t="shared" si="3"/>
        <v>0</v>
      </c>
      <c r="N20">
        <f t="shared" si="3"/>
        <v>0</v>
      </c>
      <c r="O20">
        <f t="shared" si="3"/>
        <v>0</v>
      </c>
      <c r="P20">
        <f t="shared" si="3"/>
        <v>0</v>
      </c>
      <c r="Q20">
        <f t="shared" si="3"/>
        <v>1</v>
      </c>
      <c r="R20">
        <f t="shared" si="3"/>
        <v>1</v>
      </c>
      <c r="S20">
        <f t="shared" si="3"/>
        <v>0</v>
      </c>
      <c r="T20">
        <f t="shared" si="3"/>
        <v>1</v>
      </c>
      <c r="U20">
        <f t="shared" si="3"/>
        <v>1</v>
      </c>
      <c r="V20">
        <f t="shared" si="3"/>
        <v>0</v>
      </c>
      <c r="W20">
        <f t="shared" si="3"/>
        <v>0</v>
      </c>
      <c r="X20">
        <f t="shared" si="3"/>
        <v>0</v>
      </c>
      <c r="Y20">
        <f t="shared" si="3"/>
        <v>0</v>
      </c>
      <c r="Z20">
        <f t="shared" si="3"/>
        <v>0</v>
      </c>
      <c r="AA20">
        <f t="shared" si="3"/>
        <v>0</v>
      </c>
      <c r="AB20">
        <f t="shared" si="3"/>
        <v>0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H20">
        <f t="shared" si="3"/>
        <v>0</v>
      </c>
      <c r="AI20">
        <f t="shared" si="3"/>
        <v>0</v>
      </c>
      <c r="AJ20">
        <f t="shared" si="3"/>
        <v>0</v>
      </c>
      <c r="AK20">
        <f t="shared" si="3"/>
        <v>0</v>
      </c>
      <c r="AL20">
        <f t="shared" si="3"/>
        <v>0</v>
      </c>
      <c r="AM20">
        <f t="shared" si="3"/>
        <v>0</v>
      </c>
      <c r="AN20">
        <f t="shared" si="3"/>
        <v>0</v>
      </c>
      <c r="AO20">
        <f t="shared" si="3"/>
        <v>0</v>
      </c>
      <c r="AP20">
        <f t="shared" si="3"/>
        <v>0</v>
      </c>
      <c r="AQ20">
        <f t="shared" si="3"/>
        <v>0</v>
      </c>
      <c r="AR20">
        <f t="shared" si="3"/>
        <v>0</v>
      </c>
      <c r="AS20">
        <f t="shared" si="3"/>
        <v>0</v>
      </c>
      <c r="AT20">
        <f t="shared" si="3"/>
        <v>0</v>
      </c>
      <c r="AU20">
        <f t="shared" si="3"/>
        <v>0</v>
      </c>
      <c r="AV20">
        <f t="shared" si="3"/>
        <v>0</v>
      </c>
      <c r="AW20">
        <f t="shared" si="3"/>
        <v>0</v>
      </c>
      <c r="AX20">
        <f t="shared" si="3"/>
        <v>0</v>
      </c>
      <c r="AY20">
        <f t="shared" si="3"/>
        <v>0</v>
      </c>
      <c r="AZ20">
        <f t="shared" si="3"/>
        <v>0</v>
      </c>
    </row>
    <row r="21" spans="1:52">
      <c r="A21">
        <f>СВ!B44</f>
        <v>17</v>
      </c>
      <c r="B21" s="5">
        <f>СВ!C44</f>
        <v>0.48958333333333337</v>
      </c>
      <c r="C21" s="5">
        <f>СВ!D44</f>
        <v>0.52083333333333337</v>
      </c>
      <c r="D21">
        <f t="shared" si="1"/>
        <v>0</v>
      </c>
      <c r="E21">
        <f t="shared" si="3"/>
        <v>0</v>
      </c>
      <c r="F21">
        <f t="shared" si="3"/>
        <v>0</v>
      </c>
      <c r="G21">
        <f t="shared" si="3"/>
        <v>0</v>
      </c>
      <c r="H21">
        <f t="shared" si="3"/>
        <v>0</v>
      </c>
      <c r="I21">
        <f t="shared" si="3"/>
        <v>0</v>
      </c>
      <c r="J21">
        <f t="shared" si="3"/>
        <v>0</v>
      </c>
      <c r="K21">
        <f t="shared" si="3"/>
        <v>0</v>
      </c>
      <c r="L21">
        <f t="shared" si="3"/>
        <v>0</v>
      </c>
      <c r="M21">
        <f t="shared" si="3"/>
        <v>0</v>
      </c>
      <c r="N21">
        <f t="shared" si="3"/>
        <v>0</v>
      </c>
      <c r="O21">
        <f t="shared" si="3"/>
        <v>0</v>
      </c>
      <c r="P21">
        <f t="shared" si="3"/>
        <v>0</v>
      </c>
      <c r="Q21">
        <f t="shared" ref="E21:AZ26" si="4">IF(OR(AND(Q$3&gt;$B21,Q$3&lt;$C21),AND(Q$4&gt;$B21,Q$4&lt;$C21),AND($B21&gt;Q$3,$B21&lt;Q$4),AND($C21&gt;Q$3,$C21&lt;Q$4)),1,0)</f>
        <v>1</v>
      </c>
      <c r="R21">
        <f t="shared" si="4"/>
        <v>1</v>
      </c>
      <c r="S21">
        <f t="shared" si="4"/>
        <v>1</v>
      </c>
      <c r="T21">
        <f t="shared" si="4"/>
        <v>0</v>
      </c>
      <c r="U21">
        <f t="shared" si="4"/>
        <v>1</v>
      </c>
      <c r="V21">
        <f t="shared" si="4"/>
        <v>1</v>
      </c>
      <c r="W21">
        <f t="shared" si="4"/>
        <v>0</v>
      </c>
      <c r="X21">
        <f t="shared" si="4"/>
        <v>0</v>
      </c>
      <c r="Y21">
        <f t="shared" si="4"/>
        <v>0</v>
      </c>
      <c r="Z21">
        <f t="shared" si="4"/>
        <v>0</v>
      </c>
      <c r="AA21">
        <f t="shared" si="4"/>
        <v>0</v>
      </c>
      <c r="AB21">
        <f t="shared" si="4"/>
        <v>0</v>
      </c>
      <c r="AC21">
        <f t="shared" si="4"/>
        <v>0</v>
      </c>
      <c r="AD21">
        <f t="shared" si="4"/>
        <v>0</v>
      </c>
      <c r="AE21">
        <f t="shared" si="4"/>
        <v>0</v>
      </c>
      <c r="AF21">
        <f t="shared" si="4"/>
        <v>0</v>
      </c>
      <c r="AG21">
        <f t="shared" si="4"/>
        <v>0</v>
      </c>
      <c r="AH21">
        <f t="shared" si="4"/>
        <v>0</v>
      </c>
      <c r="AI21">
        <f t="shared" si="4"/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  <c r="AN21">
        <f t="shared" si="4"/>
        <v>0</v>
      </c>
      <c r="AO21">
        <f t="shared" si="4"/>
        <v>0</v>
      </c>
      <c r="AP21">
        <f t="shared" si="4"/>
        <v>0</v>
      </c>
      <c r="AQ21">
        <f t="shared" si="4"/>
        <v>0</v>
      </c>
      <c r="AR21">
        <f t="shared" si="4"/>
        <v>0</v>
      </c>
      <c r="AS21">
        <f t="shared" si="4"/>
        <v>0</v>
      </c>
      <c r="AT21">
        <f t="shared" si="4"/>
        <v>0</v>
      </c>
      <c r="AU21">
        <f t="shared" si="4"/>
        <v>0</v>
      </c>
      <c r="AV21">
        <f t="shared" si="4"/>
        <v>0</v>
      </c>
      <c r="AW21">
        <f t="shared" si="4"/>
        <v>0</v>
      </c>
      <c r="AX21">
        <f t="shared" si="4"/>
        <v>0</v>
      </c>
      <c r="AY21">
        <f t="shared" si="4"/>
        <v>0</v>
      </c>
      <c r="AZ21">
        <f t="shared" si="4"/>
        <v>0</v>
      </c>
    </row>
    <row r="22" spans="1:52">
      <c r="A22">
        <f>СВ!B45</f>
        <v>18</v>
      </c>
      <c r="B22" s="5">
        <f>СВ!C45</f>
        <v>0.5</v>
      </c>
      <c r="C22" s="5">
        <f>СВ!D45</f>
        <v>0.54166666666666663</v>
      </c>
      <c r="D22">
        <f t="shared" si="1"/>
        <v>0</v>
      </c>
      <c r="E22">
        <f t="shared" si="4"/>
        <v>0</v>
      </c>
      <c r="F22">
        <f t="shared" si="4"/>
        <v>0</v>
      </c>
      <c r="G22">
        <f t="shared" si="4"/>
        <v>0</v>
      </c>
      <c r="H22">
        <f t="shared" si="4"/>
        <v>0</v>
      </c>
      <c r="I22">
        <f t="shared" si="4"/>
        <v>0</v>
      </c>
      <c r="J22">
        <f t="shared" si="4"/>
        <v>0</v>
      </c>
      <c r="K22">
        <f t="shared" si="4"/>
        <v>0</v>
      </c>
      <c r="L22">
        <f t="shared" si="4"/>
        <v>0</v>
      </c>
      <c r="M22">
        <f t="shared" si="4"/>
        <v>0</v>
      </c>
      <c r="N22">
        <f t="shared" si="4"/>
        <v>0</v>
      </c>
      <c r="O22">
        <f t="shared" si="4"/>
        <v>0</v>
      </c>
      <c r="P22">
        <f t="shared" si="4"/>
        <v>0</v>
      </c>
      <c r="Q22">
        <f t="shared" si="4"/>
        <v>0</v>
      </c>
      <c r="R22">
        <f t="shared" si="4"/>
        <v>0</v>
      </c>
      <c r="S22">
        <f t="shared" si="4"/>
        <v>1</v>
      </c>
      <c r="T22">
        <f t="shared" si="4"/>
        <v>1</v>
      </c>
      <c r="U22">
        <f t="shared" si="4"/>
        <v>0</v>
      </c>
      <c r="V22">
        <f t="shared" si="4"/>
        <v>1</v>
      </c>
      <c r="W22">
        <f t="shared" si="4"/>
        <v>1</v>
      </c>
      <c r="X22">
        <f t="shared" si="4"/>
        <v>1</v>
      </c>
      <c r="Y22">
        <f t="shared" si="4"/>
        <v>0</v>
      </c>
      <c r="Z22">
        <f t="shared" si="4"/>
        <v>0</v>
      </c>
      <c r="AA22">
        <f t="shared" si="4"/>
        <v>0</v>
      </c>
      <c r="AB22">
        <f t="shared" si="4"/>
        <v>0</v>
      </c>
      <c r="AC22">
        <f t="shared" si="4"/>
        <v>0</v>
      </c>
      <c r="AD22">
        <f t="shared" si="4"/>
        <v>0</v>
      </c>
      <c r="AE22">
        <f t="shared" si="4"/>
        <v>0</v>
      </c>
      <c r="AF22">
        <f t="shared" si="4"/>
        <v>0</v>
      </c>
      <c r="AG22">
        <f t="shared" si="4"/>
        <v>0</v>
      </c>
      <c r="AH22">
        <f t="shared" si="4"/>
        <v>0</v>
      </c>
      <c r="AI22">
        <f t="shared" si="4"/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  <c r="AN22">
        <f t="shared" si="4"/>
        <v>0</v>
      </c>
      <c r="AO22">
        <f t="shared" si="4"/>
        <v>0</v>
      </c>
      <c r="AP22">
        <f t="shared" si="4"/>
        <v>0</v>
      </c>
      <c r="AQ22">
        <f t="shared" si="4"/>
        <v>0</v>
      </c>
      <c r="AR22">
        <f t="shared" si="4"/>
        <v>0</v>
      </c>
      <c r="AS22">
        <f t="shared" si="4"/>
        <v>0</v>
      </c>
      <c r="AT22">
        <f t="shared" si="4"/>
        <v>0</v>
      </c>
      <c r="AU22">
        <f t="shared" si="4"/>
        <v>0</v>
      </c>
      <c r="AV22">
        <f t="shared" si="4"/>
        <v>0</v>
      </c>
      <c r="AW22">
        <f t="shared" si="4"/>
        <v>0</v>
      </c>
      <c r="AX22">
        <f t="shared" si="4"/>
        <v>0</v>
      </c>
      <c r="AY22">
        <f t="shared" si="4"/>
        <v>0</v>
      </c>
      <c r="AZ22">
        <f t="shared" si="4"/>
        <v>0</v>
      </c>
    </row>
    <row r="23" spans="1:52">
      <c r="A23">
        <f>СВ!B46</f>
        <v>19</v>
      </c>
      <c r="B23" s="5">
        <f>СВ!C46</f>
        <v>0.51041666666666663</v>
      </c>
      <c r="C23" s="5">
        <f>СВ!D46</f>
        <v>0.54166666666666663</v>
      </c>
      <c r="D23">
        <f t="shared" si="1"/>
        <v>0</v>
      </c>
      <c r="E23">
        <f t="shared" si="4"/>
        <v>0</v>
      </c>
      <c r="F23">
        <f t="shared" si="4"/>
        <v>0</v>
      </c>
      <c r="G23">
        <f t="shared" si="4"/>
        <v>0</v>
      </c>
      <c r="H23">
        <f t="shared" si="4"/>
        <v>0</v>
      </c>
      <c r="I23">
        <f t="shared" si="4"/>
        <v>0</v>
      </c>
      <c r="J23">
        <f t="shared" si="4"/>
        <v>0</v>
      </c>
      <c r="K23">
        <f t="shared" si="4"/>
        <v>0</v>
      </c>
      <c r="L23">
        <f t="shared" si="4"/>
        <v>0</v>
      </c>
      <c r="M23">
        <f t="shared" si="4"/>
        <v>0</v>
      </c>
      <c r="N23">
        <f t="shared" si="4"/>
        <v>0</v>
      </c>
      <c r="O23">
        <f t="shared" si="4"/>
        <v>0</v>
      </c>
      <c r="P23">
        <f t="shared" si="4"/>
        <v>0</v>
      </c>
      <c r="Q23">
        <f t="shared" si="4"/>
        <v>0</v>
      </c>
      <c r="R23">
        <f t="shared" si="4"/>
        <v>0</v>
      </c>
      <c r="S23">
        <f t="shared" si="4"/>
        <v>0</v>
      </c>
      <c r="T23">
        <f t="shared" si="4"/>
        <v>1</v>
      </c>
      <c r="U23">
        <f t="shared" si="4"/>
        <v>1</v>
      </c>
      <c r="V23">
        <f t="shared" si="4"/>
        <v>0</v>
      </c>
      <c r="W23">
        <f t="shared" si="4"/>
        <v>1</v>
      </c>
      <c r="X23">
        <f t="shared" si="4"/>
        <v>1</v>
      </c>
      <c r="Y23">
        <f t="shared" si="4"/>
        <v>0</v>
      </c>
      <c r="Z23">
        <f t="shared" si="4"/>
        <v>0</v>
      </c>
      <c r="AA23">
        <f t="shared" si="4"/>
        <v>0</v>
      </c>
      <c r="AB23">
        <f t="shared" si="4"/>
        <v>0</v>
      </c>
      <c r="AC23">
        <f t="shared" si="4"/>
        <v>0</v>
      </c>
      <c r="AD23">
        <f t="shared" si="4"/>
        <v>0</v>
      </c>
      <c r="AE23">
        <f t="shared" si="4"/>
        <v>0</v>
      </c>
      <c r="AF23">
        <f t="shared" si="4"/>
        <v>0</v>
      </c>
      <c r="AG23">
        <f t="shared" si="4"/>
        <v>0</v>
      </c>
      <c r="AH23">
        <f t="shared" si="4"/>
        <v>0</v>
      </c>
      <c r="AI23">
        <f t="shared" si="4"/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  <c r="AN23">
        <f t="shared" si="4"/>
        <v>0</v>
      </c>
      <c r="AO23">
        <f t="shared" si="4"/>
        <v>0</v>
      </c>
      <c r="AP23">
        <f t="shared" si="4"/>
        <v>0</v>
      </c>
      <c r="AQ23">
        <f t="shared" si="4"/>
        <v>0</v>
      </c>
      <c r="AR23">
        <f t="shared" si="4"/>
        <v>0</v>
      </c>
      <c r="AS23">
        <f t="shared" si="4"/>
        <v>0</v>
      </c>
      <c r="AT23">
        <f t="shared" si="4"/>
        <v>0</v>
      </c>
      <c r="AU23">
        <f t="shared" si="4"/>
        <v>0</v>
      </c>
      <c r="AV23">
        <f t="shared" si="4"/>
        <v>0</v>
      </c>
      <c r="AW23">
        <f t="shared" si="4"/>
        <v>0</v>
      </c>
      <c r="AX23">
        <f t="shared" si="4"/>
        <v>0</v>
      </c>
      <c r="AY23">
        <f t="shared" si="4"/>
        <v>0</v>
      </c>
      <c r="AZ23">
        <f t="shared" si="4"/>
        <v>0</v>
      </c>
    </row>
    <row r="24" spans="1:52">
      <c r="A24">
        <f>СВ!B47</f>
        <v>20</v>
      </c>
      <c r="B24" s="5">
        <f>СВ!C47</f>
        <v>0.52083333333333337</v>
      </c>
      <c r="C24" s="5">
        <f>СВ!D47</f>
        <v>0.55208333333333326</v>
      </c>
      <c r="D24">
        <f t="shared" si="1"/>
        <v>0</v>
      </c>
      <c r="E24">
        <f t="shared" si="4"/>
        <v>0</v>
      </c>
      <c r="F24">
        <f t="shared" si="4"/>
        <v>0</v>
      </c>
      <c r="G24">
        <f t="shared" si="4"/>
        <v>0</v>
      </c>
      <c r="H24">
        <f t="shared" si="4"/>
        <v>0</v>
      </c>
      <c r="I24">
        <f t="shared" si="4"/>
        <v>0</v>
      </c>
      <c r="J24">
        <f t="shared" si="4"/>
        <v>0</v>
      </c>
      <c r="K24">
        <f t="shared" si="4"/>
        <v>0</v>
      </c>
      <c r="L24">
        <f t="shared" si="4"/>
        <v>0</v>
      </c>
      <c r="M24">
        <f t="shared" si="4"/>
        <v>0</v>
      </c>
      <c r="N24">
        <f t="shared" si="4"/>
        <v>0</v>
      </c>
      <c r="O24">
        <f t="shared" si="4"/>
        <v>0</v>
      </c>
      <c r="P24">
        <f t="shared" si="4"/>
        <v>0</v>
      </c>
      <c r="Q24">
        <f t="shared" si="4"/>
        <v>0</v>
      </c>
      <c r="R24">
        <f t="shared" si="4"/>
        <v>0</v>
      </c>
      <c r="S24">
        <f t="shared" si="4"/>
        <v>0</v>
      </c>
      <c r="T24">
        <f t="shared" si="4"/>
        <v>0</v>
      </c>
      <c r="U24">
        <f t="shared" si="4"/>
        <v>1</v>
      </c>
      <c r="V24">
        <f t="shared" si="4"/>
        <v>1</v>
      </c>
      <c r="W24">
        <f t="shared" si="4"/>
        <v>0</v>
      </c>
      <c r="X24">
        <f t="shared" si="4"/>
        <v>1</v>
      </c>
      <c r="Y24">
        <f t="shared" si="4"/>
        <v>1</v>
      </c>
      <c r="Z24">
        <f t="shared" si="4"/>
        <v>0</v>
      </c>
      <c r="AA24">
        <f t="shared" si="4"/>
        <v>0</v>
      </c>
      <c r="AB24">
        <f t="shared" si="4"/>
        <v>0</v>
      </c>
      <c r="AC24">
        <f t="shared" si="4"/>
        <v>0</v>
      </c>
      <c r="AD24">
        <f t="shared" si="4"/>
        <v>0</v>
      </c>
      <c r="AE24">
        <f t="shared" si="4"/>
        <v>0</v>
      </c>
      <c r="AF24">
        <f t="shared" si="4"/>
        <v>0</v>
      </c>
      <c r="AG24">
        <f t="shared" si="4"/>
        <v>0</v>
      </c>
      <c r="AH24">
        <f t="shared" si="4"/>
        <v>0</v>
      </c>
      <c r="AI24">
        <f t="shared" si="4"/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  <c r="AN24">
        <f t="shared" si="4"/>
        <v>0</v>
      </c>
      <c r="AO24">
        <f t="shared" si="4"/>
        <v>0</v>
      </c>
      <c r="AP24">
        <f t="shared" si="4"/>
        <v>0</v>
      </c>
      <c r="AQ24">
        <f t="shared" si="4"/>
        <v>0</v>
      </c>
      <c r="AR24">
        <f t="shared" si="4"/>
        <v>0</v>
      </c>
      <c r="AS24">
        <f t="shared" si="4"/>
        <v>0</v>
      </c>
      <c r="AT24">
        <f t="shared" si="4"/>
        <v>0</v>
      </c>
      <c r="AU24">
        <f t="shared" si="4"/>
        <v>0</v>
      </c>
      <c r="AV24">
        <f t="shared" si="4"/>
        <v>0</v>
      </c>
      <c r="AW24">
        <f t="shared" si="4"/>
        <v>0</v>
      </c>
      <c r="AX24">
        <f t="shared" si="4"/>
        <v>0</v>
      </c>
      <c r="AY24">
        <f t="shared" si="4"/>
        <v>0</v>
      </c>
      <c r="AZ24">
        <f t="shared" si="4"/>
        <v>0</v>
      </c>
    </row>
    <row r="25" spans="1:52">
      <c r="A25">
        <f>СВ!B48</f>
        <v>21</v>
      </c>
      <c r="B25" s="5">
        <f>СВ!C48</f>
        <v>0.53125</v>
      </c>
      <c r="C25" s="5">
        <f>СВ!D48</f>
        <v>0.5625</v>
      </c>
      <c r="D25">
        <f t="shared" si="1"/>
        <v>0</v>
      </c>
      <c r="E25">
        <f t="shared" si="4"/>
        <v>0</v>
      </c>
      <c r="F25">
        <f t="shared" si="4"/>
        <v>0</v>
      </c>
      <c r="G25">
        <f t="shared" si="4"/>
        <v>0</v>
      </c>
      <c r="H25">
        <f t="shared" si="4"/>
        <v>0</v>
      </c>
      <c r="I25">
        <f t="shared" si="4"/>
        <v>0</v>
      </c>
      <c r="J25">
        <f t="shared" si="4"/>
        <v>0</v>
      </c>
      <c r="K25">
        <f t="shared" si="4"/>
        <v>0</v>
      </c>
      <c r="L25">
        <f t="shared" si="4"/>
        <v>0</v>
      </c>
      <c r="M25">
        <f t="shared" si="4"/>
        <v>0</v>
      </c>
      <c r="N25">
        <f t="shared" si="4"/>
        <v>0</v>
      </c>
      <c r="O25">
        <f t="shared" si="4"/>
        <v>0</v>
      </c>
      <c r="P25">
        <f t="shared" si="4"/>
        <v>0</v>
      </c>
      <c r="Q25">
        <f t="shared" si="4"/>
        <v>0</v>
      </c>
      <c r="R25">
        <f t="shared" si="4"/>
        <v>0</v>
      </c>
      <c r="S25">
        <f t="shared" si="4"/>
        <v>0</v>
      </c>
      <c r="T25">
        <f t="shared" si="4"/>
        <v>0</v>
      </c>
      <c r="U25">
        <f t="shared" si="4"/>
        <v>1</v>
      </c>
      <c r="V25">
        <f t="shared" si="4"/>
        <v>1</v>
      </c>
      <c r="W25">
        <f t="shared" si="4"/>
        <v>1</v>
      </c>
      <c r="X25">
        <f t="shared" si="4"/>
        <v>0</v>
      </c>
      <c r="Y25">
        <f t="shared" si="4"/>
        <v>1</v>
      </c>
      <c r="Z25">
        <f t="shared" si="4"/>
        <v>1</v>
      </c>
      <c r="AA25">
        <f t="shared" si="4"/>
        <v>0</v>
      </c>
      <c r="AB25">
        <f t="shared" si="4"/>
        <v>0</v>
      </c>
      <c r="AC25">
        <f t="shared" si="4"/>
        <v>0</v>
      </c>
      <c r="AD25">
        <f t="shared" si="4"/>
        <v>0</v>
      </c>
      <c r="AE25">
        <f t="shared" si="4"/>
        <v>0</v>
      </c>
      <c r="AF25">
        <f t="shared" si="4"/>
        <v>0</v>
      </c>
      <c r="AG25">
        <f t="shared" si="4"/>
        <v>0</v>
      </c>
      <c r="AH25">
        <f t="shared" si="4"/>
        <v>0</v>
      </c>
      <c r="AI25">
        <f t="shared" si="4"/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  <c r="AN25">
        <f t="shared" si="4"/>
        <v>0</v>
      </c>
      <c r="AO25">
        <f t="shared" si="4"/>
        <v>0</v>
      </c>
      <c r="AP25">
        <f t="shared" si="4"/>
        <v>0</v>
      </c>
      <c r="AQ25">
        <f t="shared" si="4"/>
        <v>0</v>
      </c>
      <c r="AR25">
        <f t="shared" si="4"/>
        <v>0</v>
      </c>
      <c r="AS25">
        <f t="shared" si="4"/>
        <v>0</v>
      </c>
      <c r="AT25">
        <f t="shared" si="4"/>
        <v>0</v>
      </c>
      <c r="AU25">
        <f t="shared" si="4"/>
        <v>0</v>
      </c>
      <c r="AV25">
        <f t="shared" si="4"/>
        <v>0</v>
      </c>
      <c r="AW25">
        <f t="shared" si="4"/>
        <v>0</v>
      </c>
      <c r="AX25">
        <f t="shared" si="4"/>
        <v>0</v>
      </c>
      <c r="AY25">
        <f t="shared" si="4"/>
        <v>0</v>
      </c>
      <c r="AZ25">
        <f t="shared" si="4"/>
        <v>0</v>
      </c>
    </row>
    <row r="26" spans="1:52">
      <c r="A26">
        <f>СВ!B49</f>
        <v>22</v>
      </c>
      <c r="B26" s="5">
        <f>СВ!C49</f>
        <v>0.54166666666666663</v>
      </c>
      <c r="C26" s="5">
        <f>СВ!D49</f>
        <v>0.58333333333333326</v>
      </c>
      <c r="D26">
        <f t="shared" si="1"/>
        <v>0</v>
      </c>
      <c r="E26">
        <f t="shared" si="4"/>
        <v>0</v>
      </c>
      <c r="F26">
        <f t="shared" si="4"/>
        <v>0</v>
      </c>
      <c r="G26">
        <f t="shared" si="4"/>
        <v>0</v>
      </c>
      <c r="H26">
        <f t="shared" si="4"/>
        <v>0</v>
      </c>
      <c r="I26">
        <f t="shared" si="4"/>
        <v>0</v>
      </c>
      <c r="J26">
        <f t="shared" si="4"/>
        <v>0</v>
      </c>
      <c r="K26">
        <f t="shared" si="4"/>
        <v>0</v>
      </c>
      <c r="L26">
        <f t="shared" si="4"/>
        <v>0</v>
      </c>
      <c r="M26">
        <f t="shared" si="4"/>
        <v>0</v>
      </c>
      <c r="N26">
        <f t="shared" si="4"/>
        <v>0</v>
      </c>
      <c r="O26">
        <f t="shared" si="4"/>
        <v>0</v>
      </c>
      <c r="P26">
        <f t="shared" si="4"/>
        <v>0</v>
      </c>
      <c r="Q26">
        <f t="shared" si="4"/>
        <v>0</v>
      </c>
      <c r="R26">
        <f t="shared" si="4"/>
        <v>0</v>
      </c>
      <c r="S26">
        <f t="shared" si="4"/>
        <v>0</v>
      </c>
      <c r="T26">
        <f t="shared" si="4"/>
        <v>0</v>
      </c>
      <c r="U26">
        <f t="shared" si="4"/>
        <v>0</v>
      </c>
      <c r="V26">
        <f t="shared" si="4"/>
        <v>0</v>
      </c>
      <c r="W26">
        <f t="shared" si="4"/>
        <v>1</v>
      </c>
      <c r="X26">
        <f t="shared" si="4"/>
        <v>1</v>
      </c>
      <c r="Y26">
        <f t="shared" si="4"/>
        <v>0</v>
      </c>
      <c r="Z26">
        <f t="shared" si="4"/>
        <v>1</v>
      </c>
      <c r="AA26">
        <f t="shared" si="4"/>
        <v>1</v>
      </c>
      <c r="AB26">
        <f t="shared" si="4"/>
        <v>1</v>
      </c>
      <c r="AC26">
        <f t="shared" si="4"/>
        <v>0</v>
      </c>
      <c r="AD26">
        <f t="shared" si="4"/>
        <v>0</v>
      </c>
      <c r="AE26">
        <f t="shared" si="4"/>
        <v>0</v>
      </c>
      <c r="AF26">
        <f t="shared" ref="E26:AZ31" si="5">IF(OR(AND(AF$3&gt;$B26,AF$3&lt;$C26),AND(AF$4&gt;$B26,AF$4&lt;$C26),AND($B26&gt;AF$3,$B26&lt;AF$4),AND($C26&gt;AF$3,$C26&lt;AF$4)),1,0)</f>
        <v>0</v>
      </c>
      <c r="AG26">
        <f t="shared" si="5"/>
        <v>0</v>
      </c>
      <c r="AH26">
        <f t="shared" si="5"/>
        <v>0</v>
      </c>
      <c r="AI26">
        <f t="shared" si="5"/>
        <v>0</v>
      </c>
      <c r="AJ26">
        <f t="shared" si="5"/>
        <v>0</v>
      </c>
      <c r="AK26">
        <f t="shared" si="5"/>
        <v>0</v>
      </c>
      <c r="AL26">
        <f t="shared" si="5"/>
        <v>0</v>
      </c>
      <c r="AM26">
        <f t="shared" si="5"/>
        <v>0</v>
      </c>
      <c r="AN26">
        <f t="shared" si="5"/>
        <v>0</v>
      </c>
      <c r="AO26">
        <f t="shared" si="5"/>
        <v>0</v>
      </c>
      <c r="AP26">
        <f t="shared" si="5"/>
        <v>0</v>
      </c>
      <c r="AQ26">
        <f t="shared" si="5"/>
        <v>0</v>
      </c>
      <c r="AR26">
        <f t="shared" si="5"/>
        <v>0</v>
      </c>
      <c r="AS26">
        <f t="shared" si="5"/>
        <v>0</v>
      </c>
      <c r="AT26">
        <f t="shared" si="5"/>
        <v>0</v>
      </c>
      <c r="AU26">
        <f t="shared" si="5"/>
        <v>0</v>
      </c>
      <c r="AV26">
        <f t="shared" si="5"/>
        <v>0</v>
      </c>
      <c r="AW26">
        <f t="shared" si="5"/>
        <v>0</v>
      </c>
      <c r="AX26">
        <f t="shared" si="5"/>
        <v>0</v>
      </c>
      <c r="AY26">
        <f t="shared" si="5"/>
        <v>0</v>
      </c>
      <c r="AZ26">
        <f t="shared" si="5"/>
        <v>0</v>
      </c>
    </row>
    <row r="27" spans="1:52">
      <c r="A27">
        <f>СВ!B50</f>
        <v>23</v>
      </c>
      <c r="B27" s="5">
        <f>СВ!C50</f>
        <v>0.55208333333333326</v>
      </c>
      <c r="C27" s="5">
        <f>СВ!D50</f>
        <v>0.58333333333333326</v>
      </c>
      <c r="D27">
        <f t="shared" si="1"/>
        <v>0</v>
      </c>
      <c r="E27">
        <f t="shared" si="5"/>
        <v>0</v>
      </c>
      <c r="F27">
        <f t="shared" si="5"/>
        <v>0</v>
      </c>
      <c r="G27">
        <f t="shared" si="5"/>
        <v>0</v>
      </c>
      <c r="H27">
        <f t="shared" si="5"/>
        <v>0</v>
      </c>
      <c r="I27">
        <f t="shared" si="5"/>
        <v>0</v>
      </c>
      <c r="J27">
        <f t="shared" si="5"/>
        <v>0</v>
      </c>
      <c r="K27">
        <f t="shared" si="5"/>
        <v>0</v>
      </c>
      <c r="L27">
        <f t="shared" si="5"/>
        <v>0</v>
      </c>
      <c r="M27">
        <f t="shared" si="5"/>
        <v>0</v>
      </c>
      <c r="N27">
        <f t="shared" si="5"/>
        <v>0</v>
      </c>
      <c r="O27">
        <f t="shared" si="5"/>
        <v>0</v>
      </c>
      <c r="P27">
        <f t="shared" si="5"/>
        <v>0</v>
      </c>
      <c r="Q27">
        <f t="shared" si="5"/>
        <v>0</v>
      </c>
      <c r="R27">
        <f t="shared" si="5"/>
        <v>0</v>
      </c>
      <c r="S27">
        <f t="shared" si="5"/>
        <v>0</v>
      </c>
      <c r="T27">
        <f t="shared" si="5"/>
        <v>0</v>
      </c>
      <c r="U27">
        <f t="shared" si="5"/>
        <v>0</v>
      </c>
      <c r="V27">
        <f t="shared" si="5"/>
        <v>0</v>
      </c>
      <c r="W27">
        <f t="shared" si="5"/>
        <v>0</v>
      </c>
      <c r="X27">
        <f t="shared" si="5"/>
        <v>1</v>
      </c>
      <c r="Y27">
        <f t="shared" si="5"/>
        <v>1</v>
      </c>
      <c r="Z27">
        <f t="shared" si="5"/>
        <v>0</v>
      </c>
      <c r="AA27">
        <f t="shared" si="5"/>
        <v>1</v>
      </c>
      <c r="AB27">
        <f t="shared" si="5"/>
        <v>1</v>
      </c>
      <c r="AC27">
        <f t="shared" si="5"/>
        <v>0</v>
      </c>
      <c r="AD27">
        <f t="shared" si="5"/>
        <v>0</v>
      </c>
      <c r="AE27">
        <f t="shared" si="5"/>
        <v>0</v>
      </c>
      <c r="AF27">
        <f t="shared" si="5"/>
        <v>0</v>
      </c>
      <c r="AG27">
        <f t="shared" si="5"/>
        <v>0</v>
      </c>
      <c r="AH27">
        <f t="shared" si="5"/>
        <v>0</v>
      </c>
      <c r="AI27">
        <f t="shared" si="5"/>
        <v>0</v>
      </c>
      <c r="AJ27">
        <f t="shared" si="5"/>
        <v>0</v>
      </c>
      <c r="AK27">
        <f t="shared" si="5"/>
        <v>0</v>
      </c>
      <c r="AL27">
        <f t="shared" si="5"/>
        <v>0</v>
      </c>
      <c r="AM27">
        <f t="shared" si="5"/>
        <v>0</v>
      </c>
      <c r="AN27">
        <f t="shared" si="5"/>
        <v>0</v>
      </c>
      <c r="AO27">
        <f t="shared" si="5"/>
        <v>0</v>
      </c>
      <c r="AP27">
        <f t="shared" si="5"/>
        <v>0</v>
      </c>
      <c r="AQ27">
        <f t="shared" si="5"/>
        <v>0</v>
      </c>
      <c r="AR27">
        <f t="shared" si="5"/>
        <v>0</v>
      </c>
      <c r="AS27">
        <f t="shared" si="5"/>
        <v>0</v>
      </c>
      <c r="AT27">
        <f t="shared" si="5"/>
        <v>0</v>
      </c>
      <c r="AU27">
        <f t="shared" si="5"/>
        <v>0</v>
      </c>
      <c r="AV27">
        <f t="shared" si="5"/>
        <v>0</v>
      </c>
      <c r="AW27">
        <f t="shared" si="5"/>
        <v>0</v>
      </c>
      <c r="AX27">
        <f t="shared" si="5"/>
        <v>0</v>
      </c>
      <c r="AY27">
        <f t="shared" si="5"/>
        <v>0</v>
      </c>
      <c r="AZ27">
        <f t="shared" si="5"/>
        <v>0</v>
      </c>
    </row>
    <row r="28" spans="1:52">
      <c r="A28">
        <f>СВ!B51</f>
        <v>24</v>
      </c>
      <c r="B28" s="5">
        <f>СВ!C51</f>
        <v>0.5625</v>
      </c>
      <c r="C28" s="5">
        <f>СВ!D51</f>
        <v>0.59374999999999989</v>
      </c>
      <c r="D28">
        <f t="shared" si="1"/>
        <v>0</v>
      </c>
      <c r="E28">
        <f t="shared" si="5"/>
        <v>0</v>
      </c>
      <c r="F28">
        <f t="shared" si="5"/>
        <v>0</v>
      </c>
      <c r="G28">
        <f t="shared" si="5"/>
        <v>0</v>
      </c>
      <c r="H28">
        <f t="shared" si="5"/>
        <v>0</v>
      </c>
      <c r="I28">
        <f t="shared" si="5"/>
        <v>0</v>
      </c>
      <c r="J28">
        <f t="shared" si="5"/>
        <v>0</v>
      </c>
      <c r="K28">
        <f t="shared" si="5"/>
        <v>0</v>
      </c>
      <c r="L28">
        <f t="shared" si="5"/>
        <v>0</v>
      </c>
      <c r="M28">
        <f t="shared" si="5"/>
        <v>0</v>
      </c>
      <c r="N28">
        <f t="shared" si="5"/>
        <v>0</v>
      </c>
      <c r="O28">
        <f t="shared" si="5"/>
        <v>0</v>
      </c>
      <c r="P28">
        <f t="shared" si="5"/>
        <v>0</v>
      </c>
      <c r="Q28">
        <f t="shared" si="5"/>
        <v>0</v>
      </c>
      <c r="R28">
        <f t="shared" si="5"/>
        <v>0</v>
      </c>
      <c r="S28">
        <f t="shared" si="5"/>
        <v>0</v>
      </c>
      <c r="T28">
        <f t="shared" si="5"/>
        <v>0</v>
      </c>
      <c r="U28">
        <f t="shared" si="5"/>
        <v>0</v>
      </c>
      <c r="V28">
        <f t="shared" si="5"/>
        <v>0</v>
      </c>
      <c r="W28">
        <f t="shared" si="5"/>
        <v>0</v>
      </c>
      <c r="X28">
        <f t="shared" si="5"/>
        <v>0</v>
      </c>
      <c r="Y28">
        <f t="shared" si="5"/>
        <v>1</v>
      </c>
      <c r="Z28">
        <f t="shared" si="5"/>
        <v>1</v>
      </c>
      <c r="AA28">
        <f t="shared" si="5"/>
        <v>0</v>
      </c>
      <c r="AB28">
        <f t="shared" si="5"/>
        <v>1</v>
      </c>
      <c r="AC28">
        <f t="shared" si="5"/>
        <v>1</v>
      </c>
      <c r="AD28">
        <f t="shared" si="5"/>
        <v>0</v>
      </c>
      <c r="AE28">
        <f t="shared" si="5"/>
        <v>0</v>
      </c>
      <c r="AF28">
        <f t="shared" si="5"/>
        <v>0</v>
      </c>
      <c r="AG28">
        <f t="shared" si="5"/>
        <v>0</v>
      </c>
      <c r="AH28">
        <f t="shared" si="5"/>
        <v>0</v>
      </c>
      <c r="AI28">
        <f t="shared" si="5"/>
        <v>0</v>
      </c>
      <c r="AJ28">
        <f t="shared" si="5"/>
        <v>0</v>
      </c>
      <c r="AK28">
        <f t="shared" si="5"/>
        <v>0</v>
      </c>
      <c r="AL28">
        <f t="shared" si="5"/>
        <v>0</v>
      </c>
      <c r="AM28">
        <f t="shared" si="5"/>
        <v>0</v>
      </c>
      <c r="AN28">
        <f t="shared" si="5"/>
        <v>0</v>
      </c>
      <c r="AO28">
        <f t="shared" si="5"/>
        <v>0</v>
      </c>
      <c r="AP28">
        <f t="shared" si="5"/>
        <v>0</v>
      </c>
      <c r="AQ28">
        <f t="shared" si="5"/>
        <v>0</v>
      </c>
      <c r="AR28">
        <f t="shared" si="5"/>
        <v>0</v>
      </c>
      <c r="AS28">
        <f t="shared" si="5"/>
        <v>0</v>
      </c>
      <c r="AT28">
        <f t="shared" si="5"/>
        <v>0</v>
      </c>
      <c r="AU28">
        <f t="shared" si="5"/>
        <v>0</v>
      </c>
      <c r="AV28">
        <f t="shared" si="5"/>
        <v>0</v>
      </c>
      <c r="AW28">
        <f t="shared" si="5"/>
        <v>0</v>
      </c>
      <c r="AX28">
        <f t="shared" si="5"/>
        <v>0</v>
      </c>
      <c r="AY28">
        <f t="shared" si="5"/>
        <v>0</v>
      </c>
      <c r="AZ28">
        <f t="shared" si="5"/>
        <v>0</v>
      </c>
    </row>
    <row r="29" spans="1:52">
      <c r="A29">
        <f>СВ!B52</f>
        <v>25</v>
      </c>
      <c r="B29" s="5">
        <f>СВ!C52</f>
        <v>0.57291666666666663</v>
      </c>
      <c r="C29" s="5">
        <f>СВ!D52</f>
        <v>0.60416666666666663</v>
      </c>
      <c r="D29">
        <f t="shared" si="1"/>
        <v>0</v>
      </c>
      <c r="E29">
        <f t="shared" si="5"/>
        <v>0</v>
      </c>
      <c r="F29">
        <f t="shared" si="5"/>
        <v>0</v>
      </c>
      <c r="G29">
        <f t="shared" si="5"/>
        <v>0</v>
      </c>
      <c r="H29">
        <f t="shared" si="5"/>
        <v>0</v>
      </c>
      <c r="I29">
        <f t="shared" si="5"/>
        <v>0</v>
      </c>
      <c r="J29">
        <f t="shared" si="5"/>
        <v>0</v>
      </c>
      <c r="K29">
        <f t="shared" si="5"/>
        <v>0</v>
      </c>
      <c r="L29">
        <f t="shared" si="5"/>
        <v>0</v>
      </c>
      <c r="M29">
        <f t="shared" si="5"/>
        <v>0</v>
      </c>
      <c r="N29">
        <f t="shared" si="5"/>
        <v>0</v>
      </c>
      <c r="O29">
        <f t="shared" si="5"/>
        <v>0</v>
      </c>
      <c r="P29">
        <f t="shared" si="5"/>
        <v>0</v>
      </c>
      <c r="Q29">
        <f t="shared" si="5"/>
        <v>0</v>
      </c>
      <c r="R29">
        <f t="shared" si="5"/>
        <v>0</v>
      </c>
      <c r="S29">
        <f t="shared" si="5"/>
        <v>0</v>
      </c>
      <c r="T29">
        <f t="shared" si="5"/>
        <v>0</v>
      </c>
      <c r="U29">
        <f t="shared" si="5"/>
        <v>0</v>
      </c>
      <c r="V29">
        <f t="shared" si="5"/>
        <v>0</v>
      </c>
      <c r="W29">
        <f t="shared" si="5"/>
        <v>0</v>
      </c>
      <c r="X29">
        <f t="shared" si="5"/>
        <v>0</v>
      </c>
      <c r="Y29">
        <f t="shared" si="5"/>
        <v>1</v>
      </c>
      <c r="Z29">
        <f t="shared" si="5"/>
        <v>1</v>
      </c>
      <c r="AA29">
        <f t="shared" si="5"/>
        <v>1</v>
      </c>
      <c r="AB29">
        <f t="shared" si="5"/>
        <v>0</v>
      </c>
      <c r="AC29">
        <f t="shared" si="5"/>
        <v>1</v>
      </c>
      <c r="AD29">
        <f t="shared" si="5"/>
        <v>1</v>
      </c>
      <c r="AE29">
        <f t="shared" si="5"/>
        <v>0</v>
      </c>
      <c r="AF29">
        <f t="shared" si="5"/>
        <v>0</v>
      </c>
      <c r="AG29">
        <f t="shared" si="5"/>
        <v>0</v>
      </c>
      <c r="AH29">
        <f t="shared" si="5"/>
        <v>0</v>
      </c>
      <c r="AI29">
        <f t="shared" si="5"/>
        <v>0</v>
      </c>
      <c r="AJ29">
        <f t="shared" si="5"/>
        <v>0</v>
      </c>
      <c r="AK29">
        <f t="shared" si="5"/>
        <v>0</v>
      </c>
      <c r="AL29">
        <f t="shared" si="5"/>
        <v>0</v>
      </c>
      <c r="AM29">
        <f t="shared" si="5"/>
        <v>0</v>
      </c>
      <c r="AN29">
        <f t="shared" si="5"/>
        <v>0</v>
      </c>
      <c r="AO29">
        <f t="shared" si="5"/>
        <v>0</v>
      </c>
      <c r="AP29">
        <f t="shared" si="5"/>
        <v>0</v>
      </c>
      <c r="AQ29">
        <f t="shared" si="5"/>
        <v>0</v>
      </c>
      <c r="AR29">
        <f t="shared" si="5"/>
        <v>0</v>
      </c>
      <c r="AS29">
        <f t="shared" si="5"/>
        <v>0</v>
      </c>
      <c r="AT29">
        <f t="shared" si="5"/>
        <v>0</v>
      </c>
      <c r="AU29">
        <f t="shared" si="5"/>
        <v>0</v>
      </c>
      <c r="AV29">
        <f t="shared" si="5"/>
        <v>0</v>
      </c>
      <c r="AW29">
        <f t="shared" si="5"/>
        <v>0</v>
      </c>
      <c r="AX29">
        <f t="shared" si="5"/>
        <v>0</v>
      </c>
      <c r="AY29">
        <f t="shared" si="5"/>
        <v>0</v>
      </c>
      <c r="AZ29">
        <f t="shared" si="5"/>
        <v>0</v>
      </c>
    </row>
    <row r="30" spans="1:52">
      <c r="A30">
        <f>СВ!B53</f>
        <v>26</v>
      </c>
      <c r="B30" s="5">
        <f>СВ!C53</f>
        <v>0.58333333333333326</v>
      </c>
      <c r="C30" s="5">
        <f>СВ!D53</f>
        <v>0.62499999999999989</v>
      </c>
      <c r="D30">
        <f t="shared" si="1"/>
        <v>0</v>
      </c>
      <c r="E30">
        <f t="shared" si="5"/>
        <v>0</v>
      </c>
      <c r="F30">
        <f t="shared" si="5"/>
        <v>0</v>
      </c>
      <c r="G30">
        <f t="shared" si="5"/>
        <v>0</v>
      </c>
      <c r="H30">
        <f t="shared" si="5"/>
        <v>0</v>
      </c>
      <c r="I30">
        <f t="shared" si="5"/>
        <v>0</v>
      </c>
      <c r="J30">
        <f t="shared" si="5"/>
        <v>0</v>
      </c>
      <c r="K30">
        <f t="shared" si="5"/>
        <v>0</v>
      </c>
      <c r="L30">
        <f t="shared" si="5"/>
        <v>0</v>
      </c>
      <c r="M30">
        <f t="shared" si="5"/>
        <v>0</v>
      </c>
      <c r="N30">
        <f t="shared" si="5"/>
        <v>0</v>
      </c>
      <c r="O30">
        <f t="shared" si="5"/>
        <v>0</v>
      </c>
      <c r="P30">
        <f t="shared" si="5"/>
        <v>0</v>
      </c>
      <c r="Q30">
        <f t="shared" si="5"/>
        <v>0</v>
      </c>
      <c r="R30">
        <f t="shared" si="5"/>
        <v>0</v>
      </c>
      <c r="S30">
        <f t="shared" si="5"/>
        <v>0</v>
      </c>
      <c r="T30">
        <f t="shared" si="5"/>
        <v>0</v>
      </c>
      <c r="U30">
        <f t="shared" si="5"/>
        <v>0</v>
      </c>
      <c r="V30">
        <f t="shared" si="5"/>
        <v>0</v>
      </c>
      <c r="W30">
        <f t="shared" si="5"/>
        <v>0</v>
      </c>
      <c r="X30">
        <f t="shared" si="5"/>
        <v>0</v>
      </c>
      <c r="Y30">
        <f t="shared" si="5"/>
        <v>0</v>
      </c>
      <c r="Z30">
        <f t="shared" si="5"/>
        <v>0</v>
      </c>
      <c r="AA30">
        <f t="shared" si="5"/>
        <v>1</v>
      </c>
      <c r="AB30">
        <f t="shared" si="5"/>
        <v>1</v>
      </c>
      <c r="AC30">
        <f t="shared" si="5"/>
        <v>0</v>
      </c>
      <c r="AD30">
        <f t="shared" si="5"/>
        <v>1</v>
      </c>
      <c r="AE30">
        <f t="shared" si="5"/>
        <v>1</v>
      </c>
      <c r="AF30">
        <f t="shared" si="5"/>
        <v>1</v>
      </c>
      <c r="AG30">
        <f t="shared" si="5"/>
        <v>0</v>
      </c>
      <c r="AH30">
        <f t="shared" si="5"/>
        <v>0</v>
      </c>
      <c r="AI30">
        <f t="shared" si="5"/>
        <v>0</v>
      </c>
      <c r="AJ30">
        <f t="shared" si="5"/>
        <v>0</v>
      </c>
      <c r="AK30">
        <f t="shared" si="5"/>
        <v>0</v>
      </c>
      <c r="AL30">
        <f t="shared" si="5"/>
        <v>0</v>
      </c>
      <c r="AM30">
        <f t="shared" si="5"/>
        <v>0</v>
      </c>
      <c r="AN30">
        <f t="shared" si="5"/>
        <v>0</v>
      </c>
      <c r="AO30">
        <f t="shared" si="5"/>
        <v>0</v>
      </c>
      <c r="AP30">
        <f t="shared" si="5"/>
        <v>0</v>
      </c>
      <c r="AQ30">
        <f t="shared" si="5"/>
        <v>0</v>
      </c>
      <c r="AR30">
        <f t="shared" si="5"/>
        <v>0</v>
      </c>
      <c r="AS30">
        <f t="shared" si="5"/>
        <v>0</v>
      </c>
      <c r="AT30">
        <f t="shared" si="5"/>
        <v>0</v>
      </c>
      <c r="AU30">
        <f t="shared" si="5"/>
        <v>0</v>
      </c>
      <c r="AV30">
        <f t="shared" si="5"/>
        <v>0</v>
      </c>
      <c r="AW30">
        <f t="shared" si="5"/>
        <v>0</v>
      </c>
      <c r="AX30">
        <f t="shared" si="5"/>
        <v>0</v>
      </c>
      <c r="AY30">
        <f t="shared" si="5"/>
        <v>0</v>
      </c>
      <c r="AZ30">
        <f t="shared" si="5"/>
        <v>0</v>
      </c>
    </row>
    <row r="31" spans="1:52">
      <c r="A31">
        <f>СВ!B54</f>
        <v>27</v>
      </c>
      <c r="B31" s="5">
        <f>СВ!C54</f>
        <v>0.59374999999999989</v>
      </c>
      <c r="C31" s="5">
        <f>СВ!D54</f>
        <v>0.62499999999999989</v>
      </c>
      <c r="D31">
        <f t="shared" si="1"/>
        <v>0</v>
      </c>
      <c r="E31">
        <f t="shared" si="5"/>
        <v>0</v>
      </c>
      <c r="F31">
        <f t="shared" si="5"/>
        <v>0</v>
      </c>
      <c r="G31">
        <f t="shared" si="5"/>
        <v>0</v>
      </c>
      <c r="H31">
        <f t="shared" si="5"/>
        <v>0</v>
      </c>
      <c r="I31">
        <f t="shared" si="5"/>
        <v>0</v>
      </c>
      <c r="J31">
        <f t="shared" si="5"/>
        <v>0</v>
      </c>
      <c r="K31">
        <f t="shared" si="5"/>
        <v>0</v>
      </c>
      <c r="L31">
        <f t="shared" si="5"/>
        <v>0</v>
      </c>
      <c r="M31">
        <f t="shared" si="5"/>
        <v>0</v>
      </c>
      <c r="N31">
        <f t="shared" si="5"/>
        <v>0</v>
      </c>
      <c r="O31">
        <f t="shared" si="5"/>
        <v>0</v>
      </c>
      <c r="P31">
        <f t="shared" si="5"/>
        <v>0</v>
      </c>
      <c r="Q31">
        <f t="shared" si="5"/>
        <v>0</v>
      </c>
      <c r="R31">
        <f t="shared" si="5"/>
        <v>0</v>
      </c>
      <c r="S31">
        <f t="shared" si="5"/>
        <v>0</v>
      </c>
      <c r="T31">
        <f t="shared" si="5"/>
        <v>0</v>
      </c>
      <c r="U31">
        <f t="shared" si="5"/>
        <v>0</v>
      </c>
      <c r="V31">
        <f t="shared" si="5"/>
        <v>0</v>
      </c>
      <c r="W31">
        <f t="shared" si="5"/>
        <v>0</v>
      </c>
      <c r="X31">
        <f t="shared" si="5"/>
        <v>0</v>
      </c>
      <c r="Y31">
        <f t="shared" si="5"/>
        <v>0</v>
      </c>
      <c r="Z31">
        <f t="shared" si="5"/>
        <v>0</v>
      </c>
      <c r="AA31">
        <f t="shared" si="5"/>
        <v>0</v>
      </c>
      <c r="AB31">
        <f t="shared" si="5"/>
        <v>1</v>
      </c>
      <c r="AC31">
        <f t="shared" si="5"/>
        <v>1</v>
      </c>
      <c r="AD31">
        <f t="shared" si="5"/>
        <v>0</v>
      </c>
      <c r="AE31">
        <f t="shared" si="5"/>
        <v>1</v>
      </c>
      <c r="AF31">
        <f t="shared" si="5"/>
        <v>1</v>
      </c>
      <c r="AG31">
        <f t="shared" si="5"/>
        <v>0</v>
      </c>
      <c r="AH31">
        <f t="shared" si="5"/>
        <v>0</v>
      </c>
      <c r="AI31">
        <f t="shared" si="5"/>
        <v>0</v>
      </c>
      <c r="AJ31">
        <f t="shared" si="5"/>
        <v>0</v>
      </c>
      <c r="AK31">
        <f t="shared" si="5"/>
        <v>0</v>
      </c>
      <c r="AL31">
        <f t="shared" si="5"/>
        <v>0</v>
      </c>
      <c r="AM31">
        <f t="shared" si="5"/>
        <v>0</v>
      </c>
      <c r="AN31">
        <f t="shared" si="5"/>
        <v>0</v>
      </c>
      <c r="AO31">
        <f t="shared" si="5"/>
        <v>0</v>
      </c>
      <c r="AP31">
        <f t="shared" si="5"/>
        <v>0</v>
      </c>
      <c r="AQ31">
        <f t="shared" si="5"/>
        <v>0</v>
      </c>
      <c r="AR31">
        <f t="shared" si="5"/>
        <v>0</v>
      </c>
      <c r="AS31">
        <f t="shared" si="5"/>
        <v>0</v>
      </c>
      <c r="AT31">
        <f t="shared" si="5"/>
        <v>0</v>
      </c>
      <c r="AU31">
        <f t="shared" ref="E31:AZ37" si="6">IF(OR(AND(AU$3&gt;$B31,AU$3&lt;$C31),AND(AU$4&gt;$B31,AU$4&lt;$C31),AND($B31&gt;AU$3,$B31&lt;AU$4),AND($C31&gt;AU$3,$C31&lt;AU$4)),1,0)</f>
        <v>0</v>
      </c>
      <c r="AV31">
        <f t="shared" si="6"/>
        <v>0</v>
      </c>
      <c r="AW31">
        <f t="shared" si="6"/>
        <v>0</v>
      </c>
      <c r="AX31">
        <f t="shared" si="6"/>
        <v>0</v>
      </c>
      <c r="AY31">
        <f t="shared" si="6"/>
        <v>0</v>
      </c>
      <c r="AZ31">
        <f t="shared" si="6"/>
        <v>0</v>
      </c>
    </row>
    <row r="32" spans="1:52">
      <c r="A32">
        <f>СВ!B55</f>
        <v>28</v>
      </c>
      <c r="B32" s="5">
        <f>СВ!C55</f>
        <v>0.60416666666666663</v>
      </c>
      <c r="C32" s="5">
        <f>СВ!D55</f>
        <v>0.63541666666666652</v>
      </c>
      <c r="D32">
        <f t="shared" si="1"/>
        <v>0</v>
      </c>
      <c r="E32">
        <f t="shared" si="6"/>
        <v>0</v>
      </c>
      <c r="F32">
        <f t="shared" si="6"/>
        <v>0</v>
      </c>
      <c r="G32">
        <f t="shared" si="6"/>
        <v>0</v>
      </c>
      <c r="H32">
        <f t="shared" si="6"/>
        <v>0</v>
      </c>
      <c r="I32">
        <f t="shared" si="6"/>
        <v>0</v>
      </c>
      <c r="J32">
        <f t="shared" si="6"/>
        <v>0</v>
      </c>
      <c r="K32">
        <f t="shared" si="6"/>
        <v>0</v>
      </c>
      <c r="L32">
        <f t="shared" si="6"/>
        <v>0</v>
      </c>
      <c r="M32">
        <f t="shared" si="6"/>
        <v>0</v>
      </c>
      <c r="N32">
        <f t="shared" si="6"/>
        <v>0</v>
      </c>
      <c r="O32">
        <f t="shared" si="6"/>
        <v>0</v>
      </c>
      <c r="P32">
        <f t="shared" si="6"/>
        <v>0</v>
      </c>
      <c r="Q32">
        <f t="shared" si="6"/>
        <v>0</v>
      </c>
      <c r="R32">
        <f t="shared" si="6"/>
        <v>0</v>
      </c>
      <c r="S32">
        <f t="shared" si="6"/>
        <v>0</v>
      </c>
      <c r="T32">
        <f t="shared" si="6"/>
        <v>0</v>
      </c>
      <c r="U32">
        <f t="shared" si="6"/>
        <v>0</v>
      </c>
      <c r="V32">
        <f t="shared" si="6"/>
        <v>0</v>
      </c>
      <c r="W32">
        <f t="shared" si="6"/>
        <v>0</v>
      </c>
      <c r="X32">
        <f t="shared" si="6"/>
        <v>0</v>
      </c>
      <c r="Y32">
        <f t="shared" si="6"/>
        <v>0</v>
      </c>
      <c r="Z32">
        <f t="shared" si="6"/>
        <v>0</v>
      </c>
      <c r="AA32">
        <f t="shared" si="6"/>
        <v>0</v>
      </c>
      <c r="AB32">
        <f t="shared" si="6"/>
        <v>0</v>
      </c>
      <c r="AC32">
        <f t="shared" si="6"/>
        <v>1</v>
      </c>
      <c r="AD32">
        <f t="shared" si="6"/>
        <v>1</v>
      </c>
      <c r="AE32">
        <f t="shared" si="6"/>
        <v>0</v>
      </c>
      <c r="AF32">
        <f t="shared" si="6"/>
        <v>1</v>
      </c>
      <c r="AG32">
        <f t="shared" si="6"/>
        <v>1</v>
      </c>
      <c r="AH32">
        <f t="shared" si="6"/>
        <v>0</v>
      </c>
      <c r="AI32">
        <f t="shared" si="6"/>
        <v>0</v>
      </c>
      <c r="AJ32">
        <f t="shared" si="6"/>
        <v>0</v>
      </c>
      <c r="AK32">
        <f t="shared" si="6"/>
        <v>0</v>
      </c>
      <c r="AL32">
        <f t="shared" si="6"/>
        <v>0</v>
      </c>
      <c r="AM32">
        <f t="shared" si="6"/>
        <v>0</v>
      </c>
      <c r="AN32">
        <f t="shared" si="6"/>
        <v>0</v>
      </c>
      <c r="AO32">
        <f t="shared" si="6"/>
        <v>0</v>
      </c>
      <c r="AP32">
        <f t="shared" si="6"/>
        <v>0</v>
      </c>
      <c r="AQ32">
        <f t="shared" si="6"/>
        <v>0</v>
      </c>
      <c r="AR32">
        <f t="shared" si="6"/>
        <v>0</v>
      </c>
      <c r="AS32">
        <f t="shared" si="6"/>
        <v>0</v>
      </c>
      <c r="AT32">
        <f t="shared" si="6"/>
        <v>0</v>
      </c>
      <c r="AU32">
        <f t="shared" si="6"/>
        <v>0</v>
      </c>
      <c r="AV32">
        <f t="shared" si="6"/>
        <v>0</v>
      </c>
      <c r="AW32">
        <f t="shared" si="6"/>
        <v>0</v>
      </c>
      <c r="AX32">
        <f t="shared" si="6"/>
        <v>0</v>
      </c>
      <c r="AY32">
        <f t="shared" si="6"/>
        <v>0</v>
      </c>
      <c r="AZ32">
        <f t="shared" si="6"/>
        <v>0</v>
      </c>
    </row>
    <row r="33" spans="1:52">
      <c r="A33">
        <f>СВ!B56</f>
        <v>29</v>
      </c>
      <c r="B33" s="5">
        <f>СВ!C56</f>
        <v>0.61458333333333326</v>
      </c>
      <c r="C33" s="5">
        <f>СВ!D56</f>
        <v>0.64583333333333326</v>
      </c>
      <c r="D33">
        <f t="shared" si="1"/>
        <v>0</v>
      </c>
      <c r="E33">
        <f t="shared" si="6"/>
        <v>0</v>
      </c>
      <c r="F33">
        <f t="shared" si="6"/>
        <v>0</v>
      </c>
      <c r="G33">
        <f t="shared" si="6"/>
        <v>0</v>
      </c>
      <c r="H33">
        <f t="shared" si="6"/>
        <v>0</v>
      </c>
      <c r="I33">
        <f t="shared" si="6"/>
        <v>0</v>
      </c>
      <c r="J33">
        <f t="shared" si="6"/>
        <v>0</v>
      </c>
      <c r="K33">
        <f t="shared" si="6"/>
        <v>0</v>
      </c>
      <c r="L33">
        <f t="shared" si="6"/>
        <v>0</v>
      </c>
      <c r="M33">
        <f t="shared" si="6"/>
        <v>0</v>
      </c>
      <c r="N33">
        <f t="shared" si="6"/>
        <v>0</v>
      </c>
      <c r="O33">
        <f t="shared" si="6"/>
        <v>0</v>
      </c>
      <c r="P33">
        <f t="shared" si="6"/>
        <v>0</v>
      </c>
      <c r="Q33">
        <f t="shared" si="6"/>
        <v>0</v>
      </c>
      <c r="R33">
        <f t="shared" si="6"/>
        <v>0</v>
      </c>
      <c r="S33">
        <f t="shared" si="6"/>
        <v>0</v>
      </c>
      <c r="T33">
        <f t="shared" si="6"/>
        <v>0</v>
      </c>
      <c r="U33">
        <f t="shared" si="6"/>
        <v>0</v>
      </c>
      <c r="V33">
        <f t="shared" si="6"/>
        <v>0</v>
      </c>
      <c r="W33">
        <f t="shared" si="6"/>
        <v>0</v>
      </c>
      <c r="X33">
        <f t="shared" si="6"/>
        <v>0</v>
      </c>
      <c r="Y33">
        <f t="shared" si="6"/>
        <v>0</v>
      </c>
      <c r="Z33">
        <f t="shared" si="6"/>
        <v>0</v>
      </c>
      <c r="AA33">
        <f t="shared" si="6"/>
        <v>0</v>
      </c>
      <c r="AB33">
        <f t="shared" si="6"/>
        <v>0</v>
      </c>
      <c r="AC33">
        <f t="shared" si="6"/>
        <v>1</v>
      </c>
      <c r="AD33">
        <f t="shared" si="6"/>
        <v>1</v>
      </c>
      <c r="AE33">
        <f t="shared" si="6"/>
        <v>1</v>
      </c>
      <c r="AF33">
        <f t="shared" si="6"/>
        <v>0</v>
      </c>
      <c r="AG33">
        <f t="shared" si="6"/>
        <v>1</v>
      </c>
      <c r="AH33">
        <f t="shared" si="6"/>
        <v>1</v>
      </c>
      <c r="AI33">
        <f t="shared" si="6"/>
        <v>0</v>
      </c>
      <c r="AJ33">
        <f t="shared" si="6"/>
        <v>0</v>
      </c>
      <c r="AK33">
        <f t="shared" si="6"/>
        <v>0</v>
      </c>
      <c r="AL33">
        <f t="shared" si="6"/>
        <v>0</v>
      </c>
      <c r="AM33">
        <f t="shared" si="6"/>
        <v>0</v>
      </c>
      <c r="AN33">
        <f t="shared" si="6"/>
        <v>0</v>
      </c>
      <c r="AO33">
        <f t="shared" si="6"/>
        <v>0</v>
      </c>
      <c r="AP33">
        <f t="shared" si="6"/>
        <v>0</v>
      </c>
      <c r="AQ33">
        <f t="shared" si="6"/>
        <v>0</v>
      </c>
      <c r="AR33">
        <f t="shared" si="6"/>
        <v>0</v>
      </c>
      <c r="AS33">
        <f t="shared" si="6"/>
        <v>0</v>
      </c>
      <c r="AT33">
        <f t="shared" si="6"/>
        <v>0</v>
      </c>
      <c r="AU33">
        <f t="shared" si="6"/>
        <v>0</v>
      </c>
      <c r="AV33">
        <f t="shared" si="6"/>
        <v>0</v>
      </c>
      <c r="AW33">
        <f t="shared" si="6"/>
        <v>0</v>
      </c>
      <c r="AX33">
        <f t="shared" si="6"/>
        <v>0</v>
      </c>
      <c r="AY33">
        <f t="shared" si="6"/>
        <v>0</v>
      </c>
      <c r="AZ33">
        <f t="shared" si="6"/>
        <v>0</v>
      </c>
    </row>
    <row r="34" spans="1:52">
      <c r="A34">
        <f>СВ!B57</f>
        <v>30</v>
      </c>
      <c r="B34" s="5">
        <f>СВ!C57</f>
        <v>0.62499999999999989</v>
      </c>
      <c r="C34" s="5">
        <f>СВ!D57</f>
        <v>0.66666666666666652</v>
      </c>
      <c r="D34">
        <f t="shared" si="1"/>
        <v>0</v>
      </c>
      <c r="E34">
        <f t="shared" si="6"/>
        <v>0</v>
      </c>
      <c r="F34">
        <f t="shared" si="6"/>
        <v>0</v>
      </c>
      <c r="G34">
        <f t="shared" si="6"/>
        <v>0</v>
      </c>
      <c r="H34">
        <f t="shared" si="6"/>
        <v>0</v>
      </c>
      <c r="I34">
        <f t="shared" si="6"/>
        <v>0</v>
      </c>
      <c r="J34">
        <f t="shared" si="6"/>
        <v>0</v>
      </c>
      <c r="K34">
        <f t="shared" si="6"/>
        <v>0</v>
      </c>
      <c r="L34">
        <f t="shared" si="6"/>
        <v>0</v>
      </c>
      <c r="M34">
        <f t="shared" si="6"/>
        <v>0</v>
      </c>
      <c r="N34">
        <f t="shared" si="6"/>
        <v>0</v>
      </c>
      <c r="O34">
        <f t="shared" si="6"/>
        <v>0</v>
      </c>
      <c r="P34">
        <f t="shared" si="6"/>
        <v>0</v>
      </c>
      <c r="Q34">
        <f t="shared" si="6"/>
        <v>0</v>
      </c>
      <c r="R34">
        <f t="shared" si="6"/>
        <v>0</v>
      </c>
      <c r="S34">
        <f t="shared" si="6"/>
        <v>0</v>
      </c>
      <c r="T34">
        <f t="shared" si="6"/>
        <v>0</v>
      </c>
      <c r="U34">
        <f t="shared" si="6"/>
        <v>0</v>
      </c>
      <c r="V34">
        <f t="shared" si="6"/>
        <v>0</v>
      </c>
      <c r="W34">
        <f t="shared" si="6"/>
        <v>0</v>
      </c>
      <c r="X34">
        <f t="shared" si="6"/>
        <v>0</v>
      </c>
      <c r="Y34">
        <f t="shared" si="6"/>
        <v>0</v>
      </c>
      <c r="Z34">
        <f t="shared" si="6"/>
        <v>0</v>
      </c>
      <c r="AA34">
        <f t="shared" si="6"/>
        <v>0</v>
      </c>
      <c r="AB34">
        <f t="shared" si="6"/>
        <v>0</v>
      </c>
      <c r="AC34">
        <f t="shared" si="6"/>
        <v>0</v>
      </c>
      <c r="AD34">
        <f t="shared" si="6"/>
        <v>0</v>
      </c>
      <c r="AE34">
        <f t="shared" si="6"/>
        <v>1</v>
      </c>
      <c r="AF34">
        <f t="shared" si="6"/>
        <v>1</v>
      </c>
      <c r="AG34">
        <f t="shared" si="6"/>
        <v>0</v>
      </c>
      <c r="AH34">
        <f t="shared" si="6"/>
        <v>1</v>
      </c>
      <c r="AI34">
        <f t="shared" si="6"/>
        <v>1</v>
      </c>
      <c r="AJ34">
        <f t="shared" si="6"/>
        <v>1</v>
      </c>
      <c r="AK34">
        <f t="shared" si="6"/>
        <v>0</v>
      </c>
      <c r="AL34">
        <f t="shared" si="6"/>
        <v>0</v>
      </c>
      <c r="AM34">
        <f t="shared" si="6"/>
        <v>0</v>
      </c>
      <c r="AN34">
        <f t="shared" si="6"/>
        <v>0</v>
      </c>
      <c r="AO34">
        <f t="shared" si="6"/>
        <v>0</v>
      </c>
      <c r="AP34">
        <f t="shared" si="6"/>
        <v>0</v>
      </c>
      <c r="AQ34">
        <f t="shared" si="6"/>
        <v>0</v>
      </c>
      <c r="AR34">
        <f t="shared" si="6"/>
        <v>0</v>
      </c>
      <c r="AS34">
        <f t="shared" si="6"/>
        <v>0</v>
      </c>
      <c r="AT34">
        <f t="shared" si="6"/>
        <v>0</v>
      </c>
      <c r="AU34">
        <f t="shared" si="6"/>
        <v>0</v>
      </c>
      <c r="AV34">
        <f t="shared" si="6"/>
        <v>0</v>
      </c>
      <c r="AW34">
        <f t="shared" si="6"/>
        <v>0</v>
      </c>
      <c r="AX34">
        <f t="shared" si="6"/>
        <v>0</v>
      </c>
      <c r="AY34">
        <f t="shared" si="6"/>
        <v>0</v>
      </c>
      <c r="AZ34">
        <f t="shared" si="6"/>
        <v>0</v>
      </c>
    </row>
    <row r="35" spans="1:52">
      <c r="A35">
        <f>СВ!B58</f>
        <v>31</v>
      </c>
      <c r="B35" s="5">
        <f>СВ!C58</f>
        <v>0.63541666666666652</v>
      </c>
      <c r="C35" s="5">
        <f>СВ!D58</f>
        <v>0.66666666666666652</v>
      </c>
      <c r="D35">
        <f t="shared" si="1"/>
        <v>0</v>
      </c>
      <c r="E35">
        <f t="shared" si="6"/>
        <v>0</v>
      </c>
      <c r="F35">
        <f t="shared" si="6"/>
        <v>0</v>
      </c>
      <c r="G35">
        <f t="shared" si="6"/>
        <v>0</v>
      </c>
      <c r="H35">
        <f t="shared" si="6"/>
        <v>0</v>
      </c>
      <c r="I35">
        <f t="shared" si="6"/>
        <v>0</v>
      </c>
      <c r="J35">
        <f t="shared" si="6"/>
        <v>0</v>
      </c>
      <c r="K35">
        <f t="shared" si="6"/>
        <v>0</v>
      </c>
      <c r="L35">
        <f t="shared" si="6"/>
        <v>0</v>
      </c>
      <c r="M35">
        <f t="shared" si="6"/>
        <v>0</v>
      </c>
      <c r="N35">
        <f t="shared" si="6"/>
        <v>0</v>
      </c>
      <c r="O35">
        <f t="shared" si="6"/>
        <v>0</v>
      </c>
      <c r="P35">
        <f t="shared" si="6"/>
        <v>0</v>
      </c>
      <c r="Q35">
        <f t="shared" si="6"/>
        <v>0</v>
      </c>
      <c r="R35">
        <f t="shared" si="6"/>
        <v>0</v>
      </c>
      <c r="S35">
        <f t="shared" si="6"/>
        <v>0</v>
      </c>
      <c r="T35">
        <f t="shared" si="6"/>
        <v>0</v>
      </c>
      <c r="U35">
        <f t="shared" si="6"/>
        <v>0</v>
      </c>
      <c r="V35">
        <f t="shared" si="6"/>
        <v>0</v>
      </c>
      <c r="W35">
        <f t="shared" si="6"/>
        <v>0</v>
      </c>
      <c r="X35">
        <f t="shared" si="6"/>
        <v>0</v>
      </c>
      <c r="Y35">
        <f t="shared" si="6"/>
        <v>0</v>
      </c>
      <c r="Z35">
        <f t="shared" si="6"/>
        <v>0</v>
      </c>
      <c r="AA35">
        <f t="shared" si="6"/>
        <v>0</v>
      </c>
      <c r="AB35">
        <f t="shared" si="6"/>
        <v>0</v>
      </c>
      <c r="AC35">
        <f t="shared" si="6"/>
        <v>0</v>
      </c>
      <c r="AD35">
        <f t="shared" si="6"/>
        <v>0</v>
      </c>
      <c r="AE35">
        <f t="shared" si="6"/>
        <v>0</v>
      </c>
      <c r="AF35">
        <f t="shared" si="6"/>
        <v>1</v>
      </c>
      <c r="AG35">
        <f t="shared" si="6"/>
        <v>1</v>
      </c>
      <c r="AH35">
        <f t="shared" si="6"/>
        <v>0</v>
      </c>
      <c r="AI35">
        <f t="shared" si="6"/>
        <v>1</v>
      </c>
      <c r="AJ35">
        <f t="shared" si="6"/>
        <v>1</v>
      </c>
      <c r="AK35">
        <f t="shared" si="6"/>
        <v>0</v>
      </c>
      <c r="AL35">
        <f t="shared" si="6"/>
        <v>0</v>
      </c>
      <c r="AM35">
        <f t="shared" si="6"/>
        <v>0</v>
      </c>
      <c r="AN35">
        <f t="shared" si="6"/>
        <v>0</v>
      </c>
      <c r="AO35">
        <f t="shared" si="6"/>
        <v>0</v>
      </c>
      <c r="AP35">
        <f t="shared" si="6"/>
        <v>0</v>
      </c>
      <c r="AQ35">
        <f t="shared" si="6"/>
        <v>0</v>
      </c>
      <c r="AR35">
        <f t="shared" si="6"/>
        <v>0</v>
      </c>
      <c r="AS35">
        <f t="shared" si="6"/>
        <v>0</v>
      </c>
      <c r="AT35">
        <f t="shared" si="6"/>
        <v>0</v>
      </c>
      <c r="AU35">
        <f t="shared" si="6"/>
        <v>0</v>
      </c>
      <c r="AV35">
        <f t="shared" si="6"/>
        <v>0</v>
      </c>
      <c r="AW35">
        <f t="shared" si="6"/>
        <v>0</v>
      </c>
      <c r="AX35">
        <f t="shared" si="6"/>
        <v>0</v>
      </c>
      <c r="AY35">
        <f t="shared" si="6"/>
        <v>0</v>
      </c>
      <c r="AZ35">
        <f t="shared" si="6"/>
        <v>0</v>
      </c>
    </row>
    <row r="36" spans="1:52">
      <c r="A36">
        <f>СВ!B59</f>
        <v>32</v>
      </c>
      <c r="B36" s="5">
        <f>СВ!C59</f>
        <v>0.64583333333333326</v>
      </c>
      <c r="C36" s="5">
        <f>СВ!D59</f>
        <v>0.67708333333333315</v>
      </c>
      <c r="D36">
        <f t="shared" si="1"/>
        <v>0</v>
      </c>
      <c r="E36">
        <f t="shared" si="6"/>
        <v>0</v>
      </c>
      <c r="F36">
        <f t="shared" si="6"/>
        <v>0</v>
      </c>
      <c r="G36">
        <f t="shared" si="6"/>
        <v>0</v>
      </c>
      <c r="H36">
        <f t="shared" si="6"/>
        <v>0</v>
      </c>
      <c r="I36">
        <f t="shared" si="6"/>
        <v>0</v>
      </c>
      <c r="J36">
        <f t="shared" si="6"/>
        <v>0</v>
      </c>
      <c r="K36">
        <f t="shared" si="6"/>
        <v>0</v>
      </c>
      <c r="L36">
        <f t="shared" si="6"/>
        <v>0</v>
      </c>
      <c r="M36">
        <f t="shared" si="6"/>
        <v>0</v>
      </c>
      <c r="N36">
        <f t="shared" si="6"/>
        <v>0</v>
      </c>
      <c r="O36">
        <f t="shared" si="6"/>
        <v>0</v>
      </c>
      <c r="P36">
        <f t="shared" si="6"/>
        <v>0</v>
      </c>
      <c r="Q36">
        <f t="shared" si="6"/>
        <v>0</v>
      </c>
      <c r="R36">
        <f t="shared" si="6"/>
        <v>0</v>
      </c>
      <c r="S36">
        <f t="shared" si="6"/>
        <v>0</v>
      </c>
      <c r="T36">
        <f t="shared" si="6"/>
        <v>0</v>
      </c>
      <c r="U36">
        <f t="shared" si="6"/>
        <v>0</v>
      </c>
      <c r="V36">
        <f t="shared" si="6"/>
        <v>0</v>
      </c>
      <c r="W36">
        <f t="shared" si="6"/>
        <v>0</v>
      </c>
      <c r="X36">
        <f t="shared" si="6"/>
        <v>0</v>
      </c>
      <c r="Y36">
        <f t="shared" si="6"/>
        <v>0</v>
      </c>
      <c r="Z36">
        <f t="shared" si="6"/>
        <v>0</v>
      </c>
      <c r="AA36">
        <f t="shared" si="6"/>
        <v>0</v>
      </c>
      <c r="AB36">
        <f t="shared" si="6"/>
        <v>0</v>
      </c>
      <c r="AC36">
        <f t="shared" si="6"/>
        <v>0</v>
      </c>
      <c r="AD36">
        <f t="shared" si="6"/>
        <v>0</v>
      </c>
      <c r="AE36">
        <f t="shared" si="6"/>
        <v>0</v>
      </c>
      <c r="AF36">
        <f t="shared" si="6"/>
        <v>0</v>
      </c>
      <c r="AG36">
        <f t="shared" si="6"/>
        <v>1</v>
      </c>
      <c r="AH36">
        <f t="shared" si="6"/>
        <v>1</v>
      </c>
      <c r="AI36">
        <f t="shared" si="6"/>
        <v>0</v>
      </c>
      <c r="AJ36">
        <f t="shared" si="6"/>
        <v>1</v>
      </c>
      <c r="AK36">
        <f t="shared" si="6"/>
        <v>1</v>
      </c>
      <c r="AL36">
        <f t="shared" si="6"/>
        <v>0</v>
      </c>
      <c r="AM36">
        <f t="shared" si="6"/>
        <v>0</v>
      </c>
      <c r="AN36">
        <f t="shared" si="6"/>
        <v>0</v>
      </c>
      <c r="AO36">
        <f t="shared" si="6"/>
        <v>0</v>
      </c>
      <c r="AP36">
        <f t="shared" si="6"/>
        <v>0</v>
      </c>
      <c r="AQ36">
        <f t="shared" si="6"/>
        <v>0</v>
      </c>
      <c r="AR36">
        <f t="shared" si="6"/>
        <v>0</v>
      </c>
      <c r="AS36">
        <f t="shared" si="6"/>
        <v>0</v>
      </c>
      <c r="AT36">
        <f t="shared" si="6"/>
        <v>0</v>
      </c>
      <c r="AU36">
        <f t="shared" si="6"/>
        <v>0</v>
      </c>
      <c r="AV36">
        <f t="shared" si="6"/>
        <v>0</v>
      </c>
      <c r="AW36">
        <f t="shared" si="6"/>
        <v>0</v>
      </c>
      <c r="AX36">
        <f t="shared" si="6"/>
        <v>0</v>
      </c>
      <c r="AY36">
        <f t="shared" si="6"/>
        <v>0</v>
      </c>
      <c r="AZ36">
        <f t="shared" si="6"/>
        <v>0</v>
      </c>
    </row>
    <row r="37" spans="1:52">
      <c r="A37">
        <f>СВ!B60</f>
        <v>33</v>
      </c>
      <c r="B37" s="5">
        <f>СВ!C60</f>
        <v>0.65624999999999989</v>
      </c>
      <c r="C37" s="5">
        <f>СВ!D60</f>
        <v>0.68749999999999989</v>
      </c>
      <c r="D37">
        <f t="shared" si="1"/>
        <v>0</v>
      </c>
      <c r="E37">
        <f t="shared" si="6"/>
        <v>0</v>
      </c>
      <c r="F37">
        <f t="shared" si="6"/>
        <v>0</v>
      </c>
      <c r="G37">
        <f t="shared" si="6"/>
        <v>0</v>
      </c>
      <c r="H37">
        <f t="shared" si="6"/>
        <v>0</v>
      </c>
      <c r="I37">
        <f t="shared" si="6"/>
        <v>0</v>
      </c>
      <c r="J37">
        <f t="shared" si="6"/>
        <v>0</v>
      </c>
      <c r="K37">
        <f t="shared" si="6"/>
        <v>0</v>
      </c>
      <c r="L37">
        <f t="shared" si="6"/>
        <v>0</v>
      </c>
      <c r="M37">
        <f t="shared" si="6"/>
        <v>0</v>
      </c>
      <c r="N37">
        <f t="shared" ref="E37:AZ42" si="7">IF(OR(AND(N$3&gt;$B37,N$3&lt;$C37),AND(N$4&gt;$B37,N$4&lt;$C37),AND($B37&gt;N$3,$B37&lt;N$4),AND($C37&gt;N$3,$C37&lt;N$4)),1,0)</f>
        <v>0</v>
      </c>
      <c r="O37">
        <f t="shared" si="7"/>
        <v>0</v>
      </c>
      <c r="P37">
        <f t="shared" si="7"/>
        <v>0</v>
      </c>
      <c r="Q37">
        <f t="shared" si="7"/>
        <v>0</v>
      </c>
      <c r="R37">
        <f t="shared" si="7"/>
        <v>0</v>
      </c>
      <c r="S37">
        <f t="shared" si="7"/>
        <v>0</v>
      </c>
      <c r="T37">
        <f t="shared" si="7"/>
        <v>0</v>
      </c>
      <c r="U37">
        <f t="shared" si="7"/>
        <v>0</v>
      </c>
      <c r="V37">
        <f t="shared" si="7"/>
        <v>0</v>
      </c>
      <c r="W37">
        <f t="shared" si="7"/>
        <v>0</v>
      </c>
      <c r="X37">
        <f t="shared" si="7"/>
        <v>0</v>
      </c>
      <c r="Y37">
        <f t="shared" si="7"/>
        <v>0</v>
      </c>
      <c r="Z37">
        <f t="shared" si="7"/>
        <v>0</v>
      </c>
      <c r="AA37">
        <f t="shared" si="7"/>
        <v>0</v>
      </c>
      <c r="AB37">
        <f t="shared" si="7"/>
        <v>0</v>
      </c>
      <c r="AC37">
        <f t="shared" si="7"/>
        <v>0</v>
      </c>
      <c r="AD37">
        <f t="shared" si="7"/>
        <v>0</v>
      </c>
      <c r="AE37">
        <f t="shared" si="7"/>
        <v>0</v>
      </c>
      <c r="AF37">
        <f t="shared" si="7"/>
        <v>0</v>
      </c>
      <c r="AG37">
        <f t="shared" si="7"/>
        <v>1</v>
      </c>
      <c r="AH37">
        <f t="shared" si="7"/>
        <v>1</v>
      </c>
      <c r="AI37">
        <f t="shared" si="7"/>
        <v>1</v>
      </c>
      <c r="AJ37">
        <f t="shared" si="7"/>
        <v>0</v>
      </c>
      <c r="AK37">
        <f t="shared" si="7"/>
        <v>1</v>
      </c>
      <c r="AL37">
        <f t="shared" si="7"/>
        <v>1</v>
      </c>
      <c r="AM37">
        <f t="shared" si="7"/>
        <v>0</v>
      </c>
      <c r="AN37">
        <f t="shared" si="7"/>
        <v>0</v>
      </c>
      <c r="AO37">
        <f t="shared" si="7"/>
        <v>0</v>
      </c>
      <c r="AP37">
        <f t="shared" si="7"/>
        <v>0</v>
      </c>
      <c r="AQ37">
        <f t="shared" si="7"/>
        <v>0</v>
      </c>
      <c r="AR37">
        <f t="shared" si="7"/>
        <v>0</v>
      </c>
      <c r="AS37">
        <f t="shared" si="7"/>
        <v>0</v>
      </c>
      <c r="AT37">
        <f t="shared" si="7"/>
        <v>0</v>
      </c>
      <c r="AU37">
        <f t="shared" si="7"/>
        <v>0</v>
      </c>
      <c r="AV37">
        <f t="shared" si="7"/>
        <v>0</v>
      </c>
      <c r="AW37">
        <f t="shared" si="7"/>
        <v>0</v>
      </c>
      <c r="AX37">
        <f t="shared" si="7"/>
        <v>0</v>
      </c>
      <c r="AY37">
        <f t="shared" si="7"/>
        <v>0</v>
      </c>
      <c r="AZ37">
        <f t="shared" si="7"/>
        <v>0</v>
      </c>
    </row>
    <row r="38" spans="1:52">
      <c r="A38">
        <f>СВ!B61</f>
        <v>34</v>
      </c>
      <c r="B38" s="5">
        <f>СВ!C61</f>
        <v>0.66666666666666652</v>
      </c>
      <c r="C38" s="5">
        <f>СВ!D61</f>
        <v>0.70833333333333315</v>
      </c>
      <c r="D38">
        <f t="shared" si="1"/>
        <v>0</v>
      </c>
      <c r="E38">
        <f t="shared" si="7"/>
        <v>0</v>
      </c>
      <c r="F38">
        <f t="shared" si="7"/>
        <v>0</v>
      </c>
      <c r="G38">
        <f t="shared" si="7"/>
        <v>0</v>
      </c>
      <c r="H38">
        <f t="shared" si="7"/>
        <v>0</v>
      </c>
      <c r="I38">
        <f t="shared" si="7"/>
        <v>0</v>
      </c>
      <c r="J38">
        <f t="shared" si="7"/>
        <v>0</v>
      </c>
      <c r="K38">
        <f t="shared" si="7"/>
        <v>0</v>
      </c>
      <c r="L38">
        <f t="shared" si="7"/>
        <v>0</v>
      </c>
      <c r="M38">
        <f t="shared" si="7"/>
        <v>0</v>
      </c>
      <c r="N38">
        <f t="shared" si="7"/>
        <v>0</v>
      </c>
      <c r="O38">
        <f t="shared" si="7"/>
        <v>0</v>
      </c>
      <c r="P38">
        <f t="shared" si="7"/>
        <v>0</v>
      </c>
      <c r="Q38">
        <f t="shared" si="7"/>
        <v>0</v>
      </c>
      <c r="R38">
        <f t="shared" si="7"/>
        <v>0</v>
      </c>
      <c r="S38">
        <f t="shared" si="7"/>
        <v>0</v>
      </c>
      <c r="T38">
        <f t="shared" si="7"/>
        <v>0</v>
      </c>
      <c r="U38">
        <f t="shared" si="7"/>
        <v>0</v>
      </c>
      <c r="V38">
        <f t="shared" si="7"/>
        <v>0</v>
      </c>
      <c r="W38">
        <f t="shared" si="7"/>
        <v>0</v>
      </c>
      <c r="X38">
        <f t="shared" si="7"/>
        <v>0</v>
      </c>
      <c r="Y38">
        <f t="shared" si="7"/>
        <v>0</v>
      </c>
      <c r="Z38">
        <f t="shared" si="7"/>
        <v>0</v>
      </c>
      <c r="AA38">
        <f t="shared" si="7"/>
        <v>0</v>
      </c>
      <c r="AB38">
        <f t="shared" si="7"/>
        <v>0</v>
      </c>
      <c r="AC38">
        <f t="shared" si="7"/>
        <v>0</v>
      </c>
      <c r="AD38">
        <f t="shared" si="7"/>
        <v>0</v>
      </c>
      <c r="AE38">
        <f t="shared" si="7"/>
        <v>0</v>
      </c>
      <c r="AF38">
        <f t="shared" si="7"/>
        <v>0</v>
      </c>
      <c r="AG38">
        <f t="shared" si="7"/>
        <v>0</v>
      </c>
      <c r="AH38">
        <f t="shared" si="7"/>
        <v>0</v>
      </c>
      <c r="AI38">
        <f t="shared" si="7"/>
        <v>1</v>
      </c>
      <c r="AJ38">
        <f t="shared" si="7"/>
        <v>1</v>
      </c>
      <c r="AK38">
        <f t="shared" si="7"/>
        <v>0</v>
      </c>
      <c r="AL38">
        <f t="shared" si="7"/>
        <v>1</v>
      </c>
      <c r="AM38">
        <f t="shared" si="7"/>
        <v>1</v>
      </c>
      <c r="AN38">
        <f t="shared" si="7"/>
        <v>1</v>
      </c>
      <c r="AO38">
        <f t="shared" si="7"/>
        <v>0</v>
      </c>
      <c r="AP38">
        <f t="shared" si="7"/>
        <v>0</v>
      </c>
      <c r="AQ38">
        <f t="shared" si="7"/>
        <v>0</v>
      </c>
      <c r="AR38">
        <f t="shared" si="7"/>
        <v>0</v>
      </c>
      <c r="AS38">
        <f t="shared" si="7"/>
        <v>0</v>
      </c>
      <c r="AT38">
        <f t="shared" si="7"/>
        <v>0</v>
      </c>
      <c r="AU38">
        <f t="shared" si="7"/>
        <v>0</v>
      </c>
      <c r="AV38">
        <f t="shared" si="7"/>
        <v>0</v>
      </c>
      <c r="AW38">
        <f t="shared" si="7"/>
        <v>0</v>
      </c>
      <c r="AX38">
        <f t="shared" si="7"/>
        <v>0</v>
      </c>
      <c r="AY38">
        <f t="shared" si="7"/>
        <v>0</v>
      </c>
      <c r="AZ38">
        <f t="shared" si="7"/>
        <v>0</v>
      </c>
    </row>
    <row r="39" spans="1:52">
      <c r="A39">
        <f>СВ!B62</f>
        <v>35</v>
      </c>
      <c r="B39" s="5">
        <f>СВ!C62</f>
        <v>0.67708333333333315</v>
      </c>
      <c r="C39" s="5">
        <f>СВ!D62</f>
        <v>0.70833333333333315</v>
      </c>
      <c r="D39">
        <f t="shared" si="1"/>
        <v>0</v>
      </c>
      <c r="E39">
        <f t="shared" si="7"/>
        <v>0</v>
      </c>
      <c r="F39">
        <f t="shared" si="7"/>
        <v>0</v>
      </c>
      <c r="G39">
        <f t="shared" si="7"/>
        <v>0</v>
      </c>
      <c r="H39">
        <f t="shared" si="7"/>
        <v>0</v>
      </c>
      <c r="I39">
        <f t="shared" si="7"/>
        <v>0</v>
      </c>
      <c r="J39">
        <f t="shared" si="7"/>
        <v>0</v>
      </c>
      <c r="K39">
        <f t="shared" si="7"/>
        <v>0</v>
      </c>
      <c r="L39">
        <f t="shared" si="7"/>
        <v>0</v>
      </c>
      <c r="M39">
        <f t="shared" si="7"/>
        <v>0</v>
      </c>
      <c r="N39">
        <f t="shared" si="7"/>
        <v>0</v>
      </c>
      <c r="O39">
        <f t="shared" si="7"/>
        <v>0</v>
      </c>
      <c r="P39">
        <f t="shared" si="7"/>
        <v>0</v>
      </c>
      <c r="Q39">
        <f t="shared" si="7"/>
        <v>0</v>
      </c>
      <c r="R39">
        <f t="shared" si="7"/>
        <v>0</v>
      </c>
      <c r="S39">
        <f t="shared" si="7"/>
        <v>0</v>
      </c>
      <c r="T39">
        <f t="shared" si="7"/>
        <v>0</v>
      </c>
      <c r="U39">
        <f t="shared" si="7"/>
        <v>0</v>
      </c>
      <c r="V39">
        <f t="shared" si="7"/>
        <v>0</v>
      </c>
      <c r="W39">
        <f t="shared" si="7"/>
        <v>0</v>
      </c>
      <c r="X39">
        <f t="shared" si="7"/>
        <v>0</v>
      </c>
      <c r="Y39">
        <f t="shared" si="7"/>
        <v>0</v>
      </c>
      <c r="Z39">
        <f t="shared" si="7"/>
        <v>0</v>
      </c>
      <c r="AA39">
        <f t="shared" si="7"/>
        <v>0</v>
      </c>
      <c r="AB39">
        <f t="shared" si="7"/>
        <v>0</v>
      </c>
      <c r="AC39">
        <f t="shared" si="7"/>
        <v>0</v>
      </c>
      <c r="AD39">
        <f t="shared" si="7"/>
        <v>0</v>
      </c>
      <c r="AE39">
        <f t="shared" si="7"/>
        <v>0</v>
      </c>
      <c r="AF39">
        <f t="shared" si="7"/>
        <v>0</v>
      </c>
      <c r="AG39">
        <f t="shared" si="7"/>
        <v>0</v>
      </c>
      <c r="AH39">
        <f t="shared" si="7"/>
        <v>0</v>
      </c>
      <c r="AI39">
        <f t="shared" si="7"/>
        <v>0</v>
      </c>
      <c r="AJ39">
        <f t="shared" si="7"/>
        <v>1</v>
      </c>
      <c r="AK39">
        <f t="shared" si="7"/>
        <v>1</v>
      </c>
      <c r="AL39">
        <f t="shared" si="7"/>
        <v>0</v>
      </c>
      <c r="AM39">
        <f t="shared" si="7"/>
        <v>1</v>
      </c>
      <c r="AN39">
        <f t="shared" si="7"/>
        <v>1</v>
      </c>
      <c r="AO39">
        <f t="shared" si="7"/>
        <v>0</v>
      </c>
      <c r="AP39">
        <f t="shared" si="7"/>
        <v>0</v>
      </c>
      <c r="AQ39">
        <f t="shared" si="7"/>
        <v>0</v>
      </c>
      <c r="AR39">
        <f t="shared" si="7"/>
        <v>0</v>
      </c>
      <c r="AS39">
        <f t="shared" si="7"/>
        <v>0</v>
      </c>
      <c r="AT39">
        <f t="shared" si="7"/>
        <v>0</v>
      </c>
      <c r="AU39">
        <f t="shared" si="7"/>
        <v>0</v>
      </c>
      <c r="AV39">
        <f t="shared" si="7"/>
        <v>0</v>
      </c>
      <c r="AW39">
        <f t="shared" si="7"/>
        <v>0</v>
      </c>
      <c r="AX39">
        <f t="shared" si="7"/>
        <v>0</v>
      </c>
      <c r="AY39">
        <f t="shared" si="7"/>
        <v>0</v>
      </c>
      <c r="AZ39">
        <f t="shared" si="7"/>
        <v>0</v>
      </c>
    </row>
    <row r="40" spans="1:52">
      <c r="A40">
        <f>СВ!B63</f>
        <v>36</v>
      </c>
      <c r="B40" s="5">
        <f>СВ!C63</f>
        <v>0.68749999999999989</v>
      </c>
      <c r="C40" s="5">
        <f>СВ!D63</f>
        <v>0.71874999999999978</v>
      </c>
      <c r="D40">
        <f t="shared" si="1"/>
        <v>0</v>
      </c>
      <c r="E40">
        <f t="shared" si="7"/>
        <v>0</v>
      </c>
      <c r="F40">
        <f t="shared" si="7"/>
        <v>0</v>
      </c>
      <c r="G40">
        <f t="shared" si="7"/>
        <v>0</v>
      </c>
      <c r="H40">
        <f t="shared" si="7"/>
        <v>0</v>
      </c>
      <c r="I40">
        <f t="shared" si="7"/>
        <v>0</v>
      </c>
      <c r="J40">
        <f t="shared" si="7"/>
        <v>0</v>
      </c>
      <c r="K40">
        <f t="shared" si="7"/>
        <v>0</v>
      </c>
      <c r="L40">
        <f t="shared" si="7"/>
        <v>0</v>
      </c>
      <c r="M40">
        <f t="shared" si="7"/>
        <v>0</v>
      </c>
      <c r="N40">
        <f t="shared" si="7"/>
        <v>0</v>
      </c>
      <c r="O40">
        <f t="shared" si="7"/>
        <v>0</v>
      </c>
      <c r="P40">
        <f t="shared" si="7"/>
        <v>0</v>
      </c>
      <c r="Q40">
        <f t="shared" si="7"/>
        <v>0</v>
      </c>
      <c r="R40">
        <f t="shared" si="7"/>
        <v>0</v>
      </c>
      <c r="S40">
        <f t="shared" si="7"/>
        <v>0</v>
      </c>
      <c r="T40">
        <f t="shared" si="7"/>
        <v>0</v>
      </c>
      <c r="U40">
        <f t="shared" si="7"/>
        <v>0</v>
      </c>
      <c r="V40">
        <f t="shared" si="7"/>
        <v>0</v>
      </c>
      <c r="W40">
        <f t="shared" si="7"/>
        <v>0</v>
      </c>
      <c r="X40">
        <f t="shared" si="7"/>
        <v>0</v>
      </c>
      <c r="Y40">
        <f t="shared" si="7"/>
        <v>0</v>
      </c>
      <c r="Z40">
        <f t="shared" si="7"/>
        <v>0</v>
      </c>
      <c r="AA40">
        <f t="shared" si="7"/>
        <v>0</v>
      </c>
      <c r="AB40">
        <f t="shared" si="7"/>
        <v>0</v>
      </c>
      <c r="AC40">
        <f t="shared" si="7"/>
        <v>0</v>
      </c>
      <c r="AD40">
        <f t="shared" si="7"/>
        <v>0</v>
      </c>
      <c r="AE40">
        <f t="shared" si="7"/>
        <v>0</v>
      </c>
      <c r="AF40">
        <f t="shared" si="7"/>
        <v>0</v>
      </c>
      <c r="AG40">
        <f t="shared" si="7"/>
        <v>0</v>
      </c>
      <c r="AH40">
        <f t="shared" si="7"/>
        <v>0</v>
      </c>
      <c r="AI40">
        <f t="shared" si="7"/>
        <v>0</v>
      </c>
      <c r="AJ40">
        <f t="shared" si="7"/>
        <v>0</v>
      </c>
      <c r="AK40">
        <f t="shared" si="7"/>
        <v>1</v>
      </c>
      <c r="AL40">
        <f t="shared" si="7"/>
        <v>1</v>
      </c>
      <c r="AM40">
        <f t="shared" si="7"/>
        <v>0</v>
      </c>
      <c r="AN40">
        <f t="shared" si="7"/>
        <v>1</v>
      </c>
      <c r="AO40">
        <f t="shared" si="7"/>
        <v>1</v>
      </c>
      <c r="AP40">
        <f t="shared" si="7"/>
        <v>0</v>
      </c>
      <c r="AQ40">
        <f t="shared" si="7"/>
        <v>0</v>
      </c>
      <c r="AR40">
        <f t="shared" si="7"/>
        <v>0</v>
      </c>
      <c r="AS40">
        <f t="shared" si="7"/>
        <v>0</v>
      </c>
      <c r="AT40">
        <f t="shared" si="7"/>
        <v>0</v>
      </c>
      <c r="AU40">
        <f t="shared" si="7"/>
        <v>0</v>
      </c>
      <c r="AV40">
        <f t="shared" si="7"/>
        <v>0</v>
      </c>
      <c r="AW40">
        <f t="shared" si="7"/>
        <v>0</v>
      </c>
      <c r="AX40">
        <f t="shared" si="7"/>
        <v>0</v>
      </c>
      <c r="AY40">
        <f t="shared" si="7"/>
        <v>0</v>
      </c>
      <c r="AZ40">
        <f t="shared" si="7"/>
        <v>0</v>
      </c>
    </row>
    <row r="41" spans="1:52">
      <c r="A41">
        <f>СВ!B64</f>
        <v>37</v>
      </c>
      <c r="B41" s="5">
        <f>СВ!C64</f>
        <v>0.69791666666666652</v>
      </c>
      <c r="C41" s="5">
        <f>СВ!D64</f>
        <v>0.72916666666666652</v>
      </c>
      <c r="D41">
        <f t="shared" si="1"/>
        <v>0</v>
      </c>
      <c r="E41">
        <f t="shared" si="7"/>
        <v>0</v>
      </c>
      <c r="F41">
        <f t="shared" si="7"/>
        <v>0</v>
      </c>
      <c r="G41">
        <f t="shared" si="7"/>
        <v>0</v>
      </c>
      <c r="H41">
        <f t="shared" si="7"/>
        <v>0</v>
      </c>
      <c r="I41">
        <f t="shared" si="7"/>
        <v>0</v>
      </c>
      <c r="J41">
        <f t="shared" si="7"/>
        <v>0</v>
      </c>
      <c r="K41">
        <f t="shared" si="7"/>
        <v>0</v>
      </c>
      <c r="L41">
        <f t="shared" si="7"/>
        <v>0</v>
      </c>
      <c r="M41">
        <f t="shared" si="7"/>
        <v>0</v>
      </c>
      <c r="N41">
        <f t="shared" si="7"/>
        <v>0</v>
      </c>
      <c r="O41">
        <f t="shared" si="7"/>
        <v>0</v>
      </c>
      <c r="P41">
        <f t="shared" si="7"/>
        <v>0</v>
      </c>
      <c r="Q41">
        <f t="shared" si="7"/>
        <v>0</v>
      </c>
      <c r="R41">
        <f t="shared" si="7"/>
        <v>0</v>
      </c>
      <c r="S41">
        <f t="shared" si="7"/>
        <v>0</v>
      </c>
      <c r="T41">
        <f t="shared" si="7"/>
        <v>0</v>
      </c>
      <c r="U41">
        <f t="shared" si="7"/>
        <v>0</v>
      </c>
      <c r="V41">
        <f t="shared" si="7"/>
        <v>0</v>
      </c>
      <c r="W41">
        <f t="shared" si="7"/>
        <v>0</v>
      </c>
      <c r="X41">
        <f t="shared" si="7"/>
        <v>0</v>
      </c>
      <c r="Y41">
        <f t="shared" si="7"/>
        <v>0</v>
      </c>
      <c r="Z41">
        <f t="shared" si="7"/>
        <v>0</v>
      </c>
      <c r="AA41">
        <f t="shared" si="7"/>
        <v>0</v>
      </c>
      <c r="AB41">
        <f t="shared" si="7"/>
        <v>0</v>
      </c>
      <c r="AC41">
        <f t="shared" si="7"/>
        <v>0</v>
      </c>
      <c r="AD41">
        <f t="shared" si="7"/>
        <v>0</v>
      </c>
      <c r="AE41">
        <f t="shared" si="7"/>
        <v>0</v>
      </c>
      <c r="AF41">
        <f t="shared" si="7"/>
        <v>0</v>
      </c>
      <c r="AG41">
        <f t="shared" si="7"/>
        <v>0</v>
      </c>
      <c r="AH41">
        <f t="shared" si="7"/>
        <v>0</v>
      </c>
      <c r="AI41">
        <f t="shared" si="7"/>
        <v>0</v>
      </c>
      <c r="AJ41">
        <f t="shared" si="7"/>
        <v>0</v>
      </c>
      <c r="AK41">
        <f t="shared" si="7"/>
        <v>1</v>
      </c>
      <c r="AL41">
        <f t="shared" si="7"/>
        <v>1</v>
      </c>
      <c r="AM41">
        <f t="shared" si="7"/>
        <v>1</v>
      </c>
      <c r="AN41">
        <f t="shared" si="7"/>
        <v>0</v>
      </c>
      <c r="AO41">
        <f t="shared" si="7"/>
        <v>1</v>
      </c>
      <c r="AP41">
        <f t="shared" si="7"/>
        <v>1</v>
      </c>
      <c r="AQ41">
        <f t="shared" si="7"/>
        <v>0</v>
      </c>
      <c r="AR41">
        <f t="shared" si="7"/>
        <v>0</v>
      </c>
      <c r="AS41">
        <f t="shared" si="7"/>
        <v>0</v>
      </c>
      <c r="AT41">
        <f t="shared" si="7"/>
        <v>0</v>
      </c>
      <c r="AU41">
        <f t="shared" si="7"/>
        <v>0</v>
      </c>
      <c r="AV41">
        <f t="shared" si="7"/>
        <v>0</v>
      </c>
      <c r="AW41">
        <f t="shared" si="7"/>
        <v>0</v>
      </c>
      <c r="AX41">
        <f t="shared" si="7"/>
        <v>0</v>
      </c>
      <c r="AY41">
        <f t="shared" si="7"/>
        <v>0</v>
      </c>
      <c r="AZ41">
        <f t="shared" si="7"/>
        <v>0</v>
      </c>
    </row>
    <row r="42" spans="1:52">
      <c r="A42">
        <f>СВ!B65</f>
        <v>38</v>
      </c>
      <c r="B42" s="5">
        <f>СВ!C65</f>
        <v>0.70833333333333315</v>
      </c>
      <c r="C42" s="5">
        <f>СВ!D65</f>
        <v>0.74999999999999978</v>
      </c>
      <c r="D42">
        <f t="shared" si="1"/>
        <v>0</v>
      </c>
      <c r="E42">
        <f t="shared" si="7"/>
        <v>0</v>
      </c>
      <c r="F42">
        <f t="shared" si="7"/>
        <v>0</v>
      </c>
      <c r="G42">
        <f t="shared" si="7"/>
        <v>0</v>
      </c>
      <c r="H42">
        <f t="shared" si="7"/>
        <v>0</v>
      </c>
      <c r="I42">
        <f t="shared" si="7"/>
        <v>0</v>
      </c>
      <c r="J42">
        <f t="shared" si="7"/>
        <v>0</v>
      </c>
      <c r="K42">
        <f t="shared" si="7"/>
        <v>0</v>
      </c>
      <c r="L42">
        <f t="shared" si="7"/>
        <v>0</v>
      </c>
      <c r="M42">
        <f t="shared" si="7"/>
        <v>0</v>
      </c>
      <c r="N42">
        <f t="shared" si="7"/>
        <v>0</v>
      </c>
      <c r="O42">
        <f t="shared" si="7"/>
        <v>0</v>
      </c>
      <c r="P42">
        <f t="shared" si="7"/>
        <v>0</v>
      </c>
      <c r="Q42">
        <f t="shared" si="7"/>
        <v>0</v>
      </c>
      <c r="R42">
        <f t="shared" si="7"/>
        <v>0</v>
      </c>
      <c r="S42">
        <f t="shared" si="7"/>
        <v>0</v>
      </c>
      <c r="T42">
        <f t="shared" si="7"/>
        <v>0</v>
      </c>
      <c r="U42">
        <f t="shared" si="7"/>
        <v>0</v>
      </c>
      <c r="V42">
        <f t="shared" si="7"/>
        <v>0</v>
      </c>
      <c r="W42">
        <f t="shared" si="7"/>
        <v>0</v>
      </c>
      <c r="X42">
        <f t="shared" si="7"/>
        <v>0</v>
      </c>
      <c r="Y42">
        <f t="shared" si="7"/>
        <v>0</v>
      </c>
      <c r="Z42">
        <f t="shared" si="7"/>
        <v>0</v>
      </c>
      <c r="AA42">
        <f t="shared" si="7"/>
        <v>0</v>
      </c>
      <c r="AB42">
        <f t="shared" si="7"/>
        <v>0</v>
      </c>
      <c r="AC42">
        <f t="shared" ref="E42:AZ47" si="8">IF(OR(AND(AC$3&gt;$B42,AC$3&lt;$C42),AND(AC$4&gt;$B42,AC$4&lt;$C42),AND($B42&gt;AC$3,$B42&lt;AC$4),AND($C42&gt;AC$3,$C42&lt;AC$4)),1,0)</f>
        <v>0</v>
      </c>
      <c r="AD42">
        <f t="shared" si="8"/>
        <v>0</v>
      </c>
      <c r="AE42">
        <f t="shared" si="8"/>
        <v>0</v>
      </c>
      <c r="AF42">
        <f t="shared" si="8"/>
        <v>0</v>
      </c>
      <c r="AG42">
        <f t="shared" si="8"/>
        <v>0</v>
      </c>
      <c r="AH42">
        <f t="shared" si="8"/>
        <v>0</v>
      </c>
      <c r="AI42">
        <f t="shared" si="8"/>
        <v>0</v>
      </c>
      <c r="AJ42">
        <f t="shared" si="8"/>
        <v>0</v>
      </c>
      <c r="AK42">
        <f t="shared" si="8"/>
        <v>0</v>
      </c>
      <c r="AL42">
        <f t="shared" si="8"/>
        <v>0</v>
      </c>
      <c r="AM42">
        <f t="shared" si="8"/>
        <v>1</v>
      </c>
      <c r="AN42">
        <f t="shared" si="8"/>
        <v>1</v>
      </c>
      <c r="AO42">
        <f t="shared" si="8"/>
        <v>0</v>
      </c>
      <c r="AP42">
        <f t="shared" si="8"/>
        <v>1</v>
      </c>
      <c r="AQ42">
        <f t="shared" si="8"/>
        <v>1</v>
      </c>
      <c r="AR42">
        <f t="shared" si="8"/>
        <v>1</v>
      </c>
      <c r="AS42">
        <f t="shared" si="8"/>
        <v>0</v>
      </c>
      <c r="AT42">
        <f t="shared" si="8"/>
        <v>0</v>
      </c>
      <c r="AU42">
        <f t="shared" si="8"/>
        <v>0</v>
      </c>
      <c r="AV42">
        <f t="shared" si="8"/>
        <v>0</v>
      </c>
      <c r="AW42">
        <f t="shared" si="8"/>
        <v>0</v>
      </c>
      <c r="AX42">
        <f t="shared" si="8"/>
        <v>0</v>
      </c>
      <c r="AY42">
        <f t="shared" si="8"/>
        <v>0</v>
      </c>
      <c r="AZ42">
        <f t="shared" si="8"/>
        <v>0</v>
      </c>
    </row>
    <row r="43" spans="1:52">
      <c r="A43">
        <f>СВ!B66</f>
        <v>39</v>
      </c>
      <c r="B43" s="5">
        <f>СВ!C66</f>
        <v>0.71874999999999978</v>
      </c>
      <c r="C43" s="5">
        <f>СВ!D66</f>
        <v>0.74999999999999978</v>
      </c>
      <c r="D43">
        <f t="shared" si="1"/>
        <v>0</v>
      </c>
      <c r="E43">
        <f t="shared" si="8"/>
        <v>0</v>
      </c>
      <c r="F43">
        <f t="shared" si="8"/>
        <v>0</v>
      </c>
      <c r="G43">
        <f t="shared" si="8"/>
        <v>0</v>
      </c>
      <c r="H43">
        <f t="shared" si="8"/>
        <v>0</v>
      </c>
      <c r="I43">
        <f t="shared" si="8"/>
        <v>0</v>
      </c>
      <c r="J43">
        <f t="shared" si="8"/>
        <v>0</v>
      </c>
      <c r="K43">
        <f t="shared" si="8"/>
        <v>0</v>
      </c>
      <c r="L43">
        <f t="shared" si="8"/>
        <v>0</v>
      </c>
      <c r="M43">
        <f t="shared" si="8"/>
        <v>0</v>
      </c>
      <c r="N43">
        <f t="shared" si="8"/>
        <v>0</v>
      </c>
      <c r="O43">
        <f t="shared" si="8"/>
        <v>0</v>
      </c>
      <c r="P43">
        <f t="shared" si="8"/>
        <v>0</v>
      </c>
      <c r="Q43">
        <f t="shared" si="8"/>
        <v>0</v>
      </c>
      <c r="R43">
        <f t="shared" si="8"/>
        <v>0</v>
      </c>
      <c r="S43">
        <f t="shared" si="8"/>
        <v>0</v>
      </c>
      <c r="T43">
        <f t="shared" si="8"/>
        <v>0</v>
      </c>
      <c r="U43">
        <f t="shared" si="8"/>
        <v>0</v>
      </c>
      <c r="V43">
        <f t="shared" si="8"/>
        <v>0</v>
      </c>
      <c r="W43">
        <f t="shared" si="8"/>
        <v>0</v>
      </c>
      <c r="X43">
        <f t="shared" si="8"/>
        <v>0</v>
      </c>
      <c r="Y43">
        <f t="shared" si="8"/>
        <v>0</v>
      </c>
      <c r="Z43">
        <f t="shared" si="8"/>
        <v>0</v>
      </c>
      <c r="AA43">
        <f t="shared" si="8"/>
        <v>0</v>
      </c>
      <c r="AB43">
        <f t="shared" si="8"/>
        <v>0</v>
      </c>
      <c r="AC43">
        <f t="shared" si="8"/>
        <v>0</v>
      </c>
      <c r="AD43">
        <f t="shared" si="8"/>
        <v>0</v>
      </c>
      <c r="AE43">
        <f t="shared" si="8"/>
        <v>0</v>
      </c>
      <c r="AF43">
        <f t="shared" si="8"/>
        <v>0</v>
      </c>
      <c r="AG43">
        <f t="shared" si="8"/>
        <v>0</v>
      </c>
      <c r="AH43">
        <f t="shared" si="8"/>
        <v>0</v>
      </c>
      <c r="AI43">
        <f t="shared" si="8"/>
        <v>0</v>
      </c>
      <c r="AJ43">
        <f t="shared" si="8"/>
        <v>0</v>
      </c>
      <c r="AK43">
        <f t="shared" si="8"/>
        <v>0</v>
      </c>
      <c r="AL43">
        <f t="shared" si="8"/>
        <v>0</v>
      </c>
      <c r="AM43">
        <f t="shared" si="8"/>
        <v>0</v>
      </c>
      <c r="AN43">
        <f t="shared" si="8"/>
        <v>1</v>
      </c>
      <c r="AO43">
        <f t="shared" si="8"/>
        <v>1</v>
      </c>
      <c r="AP43">
        <f t="shared" si="8"/>
        <v>0</v>
      </c>
      <c r="AQ43">
        <f t="shared" si="8"/>
        <v>1</v>
      </c>
      <c r="AR43">
        <f t="shared" si="8"/>
        <v>1</v>
      </c>
      <c r="AS43">
        <f t="shared" si="8"/>
        <v>0</v>
      </c>
      <c r="AT43">
        <f t="shared" si="8"/>
        <v>0</v>
      </c>
      <c r="AU43">
        <f t="shared" si="8"/>
        <v>0</v>
      </c>
      <c r="AV43">
        <f t="shared" si="8"/>
        <v>0</v>
      </c>
      <c r="AW43">
        <f t="shared" si="8"/>
        <v>0</v>
      </c>
      <c r="AX43">
        <f t="shared" si="8"/>
        <v>0</v>
      </c>
      <c r="AY43">
        <f t="shared" si="8"/>
        <v>0</v>
      </c>
      <c r="AZ43">
        <f t="shared" si="8"/>
        <v>0</v>
      </c>
    </row>
    <row r="44" spans="1:52">
      <c r="A44">
        <f>СВ!B67</f>
        <v>40</v>
      </c>
      <c r="B44" s="5">
        <f>СВ!C67</f>
        <v>0.72916666666666652</v>
      </c>
      <c r="C44" s="5">
        <f>СВ!D67</f>
        <v>0.76041666666666641</v>
      </c>
      <c r="D44">
        <f t="shared" si="1"/>
        <v>0</v>
      </c>
      <c r="E44">
        <f t="shared" si="8"/>
        <v>0</v>
      </c>
      <c r="F44">
        <f t="shared" si="8"/>
        <v>0</v>
      </c>
      <c r="G44">
        <f t="shared" si="8"/>
        <v>0</v>
      </c>
      <c r="H44">
        <f t="shared" si="8"/>
        <v>0</v>
      </c>
      <c r="I44">
        <f t="shared" si="8"/>
        <v>0</v>
      </c>
      <c r="J44">
        <f t="shared" si="8"/>
        <v>0</v>
      </c>
      <c r="K44">
        <f t="shared" si="8"/>
        <v>0</v>
      </c>
      <c r="L44">
        <f t="shared" si="8"/>
        <v>0</v>
      </c>
      <c r="M44">
        <f t="shared" si="8"/>
        <v>0</v>
      </c>
      <c r="N44">
        <f t="shared" si="8"/>
        <v>0</v>
      </c>
      <c r="O44">
        <f t="shared" si="8"/>
        <v>0</v>
      </c>
      <c r="P44">
        <f t="shared" si="8"/>
        <v>0</v>
      </c>
      <c r="Q44">
        <f t="shared" si="8"/>
        <v>0</v>
      </c>
      <c r="R44">
        <f t="shared" si="8"/>
        <v>0</v>
      </c>
      <c r="S44">
        <f t="shared" si="8"/>
        <v>0</v>
      </c>
      <c r="T44">
        <f t="shared" si="8"/>
        <v>0</v>
      </c>
      <c r="U44">
        <f t="shared" si="8"/>
        <v>0</v>
      </c>
      <c r="V44">
        <f t="shared" si="8"/>
        <v>0</v>
      </c>
      <c r="W44">
        <f t="shared" si="8"/>
        <v>0</v>
      </c>
      <c r="X44">
        <f t="shared" si="8"/>
        <v>0</v>
      </c>
      <c r="Y44">
        <f t="shared" si="8"/>
        <v>0</v>
      </c>
      <c r="Z44">
        <f t="shared" si="8"/>
        <v>0</v>
      </c>
      <c r="AA44">
        <f t="shared" si="8"/>
        <v>0</v>
      </c>
      <c r="AB44">
        <f t="shared" si="8"/>
        <v>0</v>
      </c>
      <c r="AC44">
        <f t="shared" si="8"/>
        <v>0</v>
      </c>
      <c r="AD44">
        <f t="shared" si="8"/>
        <v>0</v>
      </c>
      <c r="AE44">
        <f t="shared" si="8"/>
        <v>0</v>
      </c>
      <c r="AF44">
        <f t="shared" si="8"/>
        <v>0</v>
      </c>
      <c r="AG44">
        <f t="shared" si="8"/>
        <v>0</v>
      </c>
      <c r="AH44">
        <f t="shared" si="8"/>
        <v>0</v>
      </c>
      <c r="AI44">
        <f t="shared" si="8"/>
        <v>0</v>
      </c>
      <c r="AJ44">
        <f t="shared" si="8"/>
        <v>0</v>
      </c>
      <c r="AK44">
        <f t="shared" si="8"/>
        <v>0</v>
      </c>
      <c r="AL44">
        <f t="shared" si="8"/>
        <v>0</v>
      </c>
      <c r="AM44">
        <f t="shared" si="8"/>
        <v>0</v>
      </c>
      <c r="AN44">
        <f t="shared" si="8"/>
        <v>0</v>
      </c>
      <c r="AO44">
        <f t="shared" si="8"/>
        <v>1</v>
      </c>
      <c r="AP44">
        <f t="shared" si="8"/>
        <v>1</v>
      </c>
      <c r="AQ44">
        <f t="shared" si="8"/>
        <v>0</v>
      </c>
      <c r="AR44">
        <f t="shared" si="8"/>
        <v>1</v>
      </c>
      <c r="AS44">
        <f t="shared" si="8"/>
        <v>1</v>
      </c>
      <c r="AT44">
        <f t="shared" si="8"/>
        <v>0</v>
      </c>
      <c r="AU44">
        <f t="shared" si="8"/>
        <v>0</v>
      </c>
      <c r="AV44">
        <f t="shared" si="8"/>
        <v>0</v>
      </c>
      <c r="AW44">
        <f t="shared" si="8"/>
        <v>0</v>
      </c>
      <c r="AX44">
        <f t="shared" si="8"/>
        <v>0</v>
      </c>
      <c r="AY44">
        <f t="shared" si="8"/>
        <v>0</v>
      </c>
      <c r="AZ44">
        <f t="shared" si="8"/>
        <v>0</v>
      </c>
    </row>
    <row r="45" spans="1:52">
      <c r="A45">
        <f>СВ!B68</f>
        <v>41</v>
      </c>
      <c r="B45" s="5">
        <f>СВ!C68</f>
        <v>0.73958333333333315</v>
      </c>
      <c r="C45" s="5">
        <f>СВ!D68</f>
        <v>0.77083333333333315</v>
      </c>
      <c r="D45">
        <f t="shared" si="1"/>
        <v>0</v>
      </c>
      <c r="E45">
        <f t="shared" si="8"/>
        <v>0</v>
      </c>
      <c r="F45">
        <f t="shared" si="8"/>
        <v>0</v>
      </c>
      <c r="G45">
        <f t="shared" si="8"/>
        <v>0</v>
      </c>
      <c r="H45">
        <f t="shared" si="8"/>
        <v>0</v>
      </c>
      <c r="I45">
        <f t="shared" si="8"/>
        <v>0</v>
      </c>
      <c r="J45">
        <f t="shared" si="8"/>
        <v>0</v>
      </c>
      <c r="K45">
        <f t="shared" si="8"/>
        <v>0</v>
      </c>
      <c r="L45">
        <f t="shared" si="8"/>
        <v>0</v>
      </c>
      <c r="M45">
        <f t="shared" si="8"/>
        <v>0</v>
      </c>
      <c r="N45">
        <f t="shared" si="8"/>
        <v>0</v>
      </c>
      <c r="O45">
        <f t="shared" si="8"/>
        <v>0</v>
      </c>
      <c r="P45">
        <f t="shared" si="8"/>
        <v>0</v>
      </c>
      <c r="Q45">
        <f t="shared" si="8"/>
        <v>0</v>
      </c>
      <c r="R45">
        <f t="shared" si="8"/>
        <v>0</v>
      </c>
      <c r="S45">
        <f t="shared" si="8"/>
        <v>0</v>
      </c>
      <c r="T45">
        <f t="shared" si="8"/>
        <v>0</v>
      </c>
      <c r="U45">
        <f t="shared" si="8"/>
        <v>0</v>
      </c>
      <c r="V45">
        <f t="shared" si="8"/>
        <v>0</v>
      </c>
      <c r="W45">
        <f t="shared" si="8"/>
        <v>0</v>
      </c>
      <c r="X45">
        <f t="shared" si="8"/>
        <v>0</v>
      </c>
      <c r="Y45">
        <f t="shared" si="8"/>
        <v>0</v>
      </c>
      <c r="Z45">
        <f t="shared" si="8"/>
        <v>0</v>
      </c>
      <c r="AA45">
        <f t="shared" si="8"/>
        <v>0</v>
      </c>
      <c r="AB45">
        <f t="shared" si="8"/>
        <v>0</v>
      </c>
      <c r="AC45">
        <f t="shared" si="8"/>
        <v>0</v>
      </c>
      <c r="AD45">
        <f t="shared" si="8"/>
        <v>0</v>
      </c>
      <c r="AE45">
        <f t="shared" si="8"/>
        <v>0</v>
      </c>
      <c r="AF45">
        <f t="shared" si="8"/>
        <v>0</v>
      </c>
      <c r="AG45">
        <f t="shared" si="8"/>
        <v>0</v>
      </c>
      <c r="AH45">
        <f t="shared" si="8"/>
        <v>0</v>
      </c>
      <c r="AI45">
        <f t="shared" si="8"/>
        <v>0</v>
      </c>
      <c r="AJ45">
        <f t="shared" si="8"/>
        <v>0</v>
      </c>
      <c r="AK45">
        <f t="shared" si="8"/>
        <v>0</v>
      </c>
      <c r="AL45">
        <f t="shared" si="8"/>
        <v>0</v>
      </c>
      <c r="AM45">
        <f t="shared" si="8"/>
        <v>0</v>
      </c>
      <c r="AN45">
        <f t="shared" si="8"/>
        <v>0</v>
      </c>
      <c r="AO45">
        <f t="shared" si="8"/>
        <v>1</v>
      </c>
      <c r="AP45">
        <f t="shared" si="8"/>
        <v>1</v>
      </c>
      <c r="AQ45">
        <f t="shared" si="8"/>
        <v>1</v>
      </c>
      <c r="AR45">
        <f t="shared" si="8"/>
        <v>0</v>
      </c>
      <c r="AS45">
        <f t="shared" si="8"/>
        <v>1</v>
      </c>
      <c r="AT45">
        <f t="shared" si="8"/>
        <v>1</v>
      </c>
      <c r="AU45">
        <f t="shared" si="8"/>
        <v>0</v>
      </c>
      <c r="AV45">
        <f t="shared" si="8"/>
        <v>0</v>
      </c>
      <c r="AW45">
        <f t="shared" si="8"/>
        <v>0</v>
      </c>
      <c r="AX45">
        <f t="shared" si="8"/>
        <v>0</v>
      </c>
      <c r="AY45">
        <f t="shared" si="8"/>
        <v>0</v>
      </c>
      <c r="AZ45">
        <f t="shared" si="8"/>
        <v>0</v>
      </c>
    </row>
    <row r="46" spans="1:52">
      <c r="A46">
        <f>СВ!B69</f>
        <v>42</v>
      </c>
      <c r="B46" s="5">
        <f>СВ!C69</f>
        <v>0.74999999999999978</v>
      </c>
      <c r="C46" s="5">
        <f>СВ!D69</f>
        <v>0.79166666666666641</v>
      </c>
      <c r="D46">
        <f t="shared" si="1"/>
        <v>0</v>
      </c>
      <c r="E46">
        <f t="shared" si="8"/>
        <v>0</v>
      </c>
      <c r="F46">
        <f t="shared" si="8"/>
        <v>0</v>
      </c>
      <c r="G46">
        <f t="shared" si="8"/>
        <v>0</v>
      </c>
      <c r="H46">
        <f t="shared" si="8"/>
        <v>0</v>
      </c>
      <c r="I46">
        <f t="shared" si="8"/>
        <v>0</v>
      </c>
      <c r="J46">
        <f t="shared" si="8"/>
        <v>0</v>
      </c>
      <c r="K46">
        <f t="shared" si="8"/>
        <v>0</v>
      </c>
      <c r="L46">
        <f t="shared" si="8"/>
        <v>0</v>
      </c>
      <c r="M46">
        <f t="shared" si="8"/>
        <v>0</v>
      </c>
      <c r="N46">
        <f t="shared" si="8"/>
        <v>0</v>
      </c>
      <c r="O46">
        <f t="shared" si="8"/>
        <v>0</v>
      </c>
      <c r="P46">
        <f t="shared" si="8"/>
        <v>0</v>
      </c>
      <c r="Q46">
        <f t="shared" si="8"/>
        <v>0</v>
      </c>
      <c r="R46">
        <f t="shared" si="8"/>
        <v>0</v>
      </c>
      <c r="S46">
        <f t="shared" si="8"/>
        <v>0</v>
      </c>
      <c r="T46">
        <f t="shared" si="8"/>
        <v>0</v>
      </c>
      <c r="U46">
        <f t="shared" si="8"/>
        <v>0</v>
      </c>
      <c r="V46">
        <f t="shared" si="8"/>
        <v>0</v>
      </c>
      <c r="W46">
        <f t="shared" si="8"/>
        <v>0</v>
      </c>
      <c r="X46">
        <f t="shared" si="8"/>
        <v>0</v>
      </c>
      <c r="Y46">
        <f t="shared" si="8"/>
        <v>0</v>
      </c>
      <c r="Z46">
        <f t="shared" si="8"/>
        <v>0</v>
      </c>
      <c r="AA46">
        <f t="shared" si="8"/>
        <v>0</v>
      </c>
      <c r="AB46">
        <f t="shared" si="8"/>
        <v>0</v>
      </c>
      <c r="AC46">
        <f t="shared" si="8"/>
        <v>0</v>
      </c>
      <c r="AD46">
        <f t="shared" si="8"/>
        <v>0</v>
      </c>
      <c r="AE46">
        <f t="shared" si="8"/>
        <v>0</v>
      </c>
      <c r="AF46">
        <f t="shared" si="8"/>
        <v>0</v>
      </c>
      <c r="AG46">
        <f t="shared" si="8"/>
        <v>0</v>
      </c>
      <c r="AH46">
        <f t="shared" si="8"/>
        <v>0</v>
      </c>
      <c r="AI46">
        <f t="shared" si="8"/>
        <v>0</v>
      </c>
      <c r="AJ46">
        <f t="shared" si="8"/>
        <v>0</v>
      </c>
      <c r="AK46">
        <f t="shared" si="8"/>
        <v>0</v>
      </c>
      <c r="AL46">
        <f t="shared" si="8"/>
        <v>0</v>
      </c>
      <c r="AM46">
        <f t="shared" si="8"/>
        <v>0</v>
      </c>
      <c r="AN46">
        <f t="shared" si="8"/>
        <v>0</v>
      </c>
      <c r="AO46">
        <f t="shared" si="8"/>
        <v>0</v>
      </c>
      <c r="AP46">
        <f t="shared" si="8"/>
        <v>0</v>
      </c>
      <c r="AQ46">
        <f t="shared" si="8"/>
        <v>1</v>
      </c>
      <c r="AR46">
        <f t="shared" si="8"/>
        <v>1</v>
      </c>
      <c r="AS46">
        <f t="shared" si="8"/>
        <v>0</v>
      </c>
      <c r="AT46">
        <f t="shared" si="8"/>
        <v>1</v>
      </c>
      <c r="AU46">
        <f t="shared" si="8"/>
        <v>1</v>
      </c>
      <c r="AV46">
        <f t="shared" si="8"/>
        <v>1</v>
      </c>
      <c r="AW46">
        <f t="shared" si="8"/>
        <v>0</v>
      </c>
      <c r="AX46">
        <f t="shared" si="8"/>
        <v>0</v>
      </c>
      <c r="AY46">
        <f t="shared" si="8"/>
        <v>0</v>
      </c>
      <c r="AZ46">
        <f t="shared" si="8"/>
        <v>0</v>
      </c>
    </row>
    <row r="47" spans="1:52">
      <c r="A47">
        <f>СВ!B70</f>
        <v>43</v>
      </c>
      <c r="B47" s="5">
        <f>СВ!C70</f>
        <v>0.76041666666666641</v>
      </c>
      <c r="C47" s="5">
        <f>СВ!D70</f>
        <v>0.79166666666666641</v>
      </c>
      <c r="D47">
        <f t="shared" si="1"/>
        <v>0</v>
      </c>
      <c r="E47">
        <f t="shared" si="8"/>
        <v>0</v>
      </c>
      <c r="F47">
        <f t="shared" si="8"/>
        <v>0</v>
      </c>
      <c r="G47">
        <f t="shared" si="8"/>
        <v>0</v>
      </c>
      <c r="H47">
        <f t="shared" si="8"/>
        <v>0</v>
      </c>
      <c r="I47">
        <f t="shared" si="8"/>
        <v>0</v>
      </c>
      <c r="J47">
        <f t="shared" si="8"/>
        <v>0</v>
      </c>
      <c r="K47">
        <f t="shared" si="8"/>
        <v>0</v>
      </c>
      <c r="L47">
        <f t="shared" si="8"/>
        <v>0</v>
      </c>
      <c r="M47">
        <f t="shared" si="8"/>
        <v>0</v>
      </c>
      <c r="N47">
        <f t="shared" si="8"/>
        <v>0</v>
      </c>
      <c r="O47">
        <f t="shared" si="8"/>
        <v>0</v>
      </c>
      <c r="P47">
        <f t="shared" si="8"/>
        <v>0</v>
      </c>
      <c r="Q47">
        <f t="shared" si="8"/>
        <v>0</v>
      </c>
      <c r="R47">
        <f t="shared" si="8"/>
        <v>0</v>
      </c>
      <c r="S47">
        <f t="shared" si="8"/>
        <v>0</v>
      </c>
      <c r="T47">
        <f t="shared" si="8"/>
        <v>0</v>
      </c>
      <c r="U47">
        <f t="shared" si="8"/>
        <v>0</v>
      </c>
      <c r="V47">
        <f t="shared" si="8"/>
        <v>0</v>
      </c>
      <c r="W47">
        <f t="shared" si="8"/>
        <v>0</v>
      </c>
      <c r="X47">
        <f t="shared" si="8"/>
        <v>0</v>
      </c>
      <c r="Y47">
        <f t="shared" si="8"/>
        <v>0</v>
      </c>
      <c r="Z47">
        <f t="shared" si="8"/>
        <v>0</v>
      </c>
      <c r="AA47">
        <f t="shared" si="8"/>
        <v>0</v>
      </c>
      <c r="AB47">
        <f t="shared" si="8"/>
        <v>0</v>
      </c>
      <c r="AC47">
        <f t="shared" si="8"/>
        <v>0</v>
      </c>
      <c r="AD47">
        <f t="shared" si="8"/>
        <v>0</v>
      </c>
      <c r="AE47">
        <f t="shared" si="8"/>
        <v>0</v>
      </c>
      <c r="AF47">
        <f t="shared" si="8"/>
        <v>0</v>
      </c>
      <c r="AG47">
        <f t="shared" si="8"/>
        <v>0</v>
      </c>
      <c r="AH47">
        <f t="shared" si="8"/>
        <v>0</v>
      </c>
      <c r="AI47">
        <f t="shared" si="8"/>
        <v>0</v>
      </c>
      <c r="AJ47">
        <f t="shared" si="8"/>
        <v>0</v>
      </c>
      <c r="AK47">
        <f t="shared" si="8"/>
        <v>0</v>
      </c>
      <c r="AL47">
        <f t="shared" si="8"/>
        <v>0</v>
      </c>
      <c r="AM47">
        <f t="shared" si="8"/>
        <v>0</v>
      </c>
      <c r="AN47">
        <f t="shared" si="8"/>
        <v>0</v>
      </c>
      <c r="AO47">
        <f t="shared" si="8"/>
        <v>0</v>
      </c>
      <c r="AP47">
        <f t="shared" si="8"/>
        <v>0</v>
      </c>
      <c r="AQ47">
        <f t="shared" si="8"/>
        <v>0</v>
      </c>
      <c r="AR47">
        <f t="shared" ref="E47:AZ53" si="9">IF(OR(AND(AR$3&gt;$B47,AR$3&lt;$C47),AND(AR$4&gt;$B47,AR$4&lt;$C47),AND($B47&gt;AR$3,$B47&lt;AR$4),AND($C47&gt;AR$3,$C47&lt;AR$4)),1,0)</f>
        <v>1</v>
      </c>
      <c r="AS47">
        <f t="shared" si="9"/>
        <v>1</v>
      </c>
      <c r="AT47">
        <f t="shared" si="9"/>
        <v>0</v>
      </c>
      <c r="AU47">
        <f t="shared" si="9"/>
        <v>1</v>
      </c>
      <c r="AV47">
        <f t="shared" si="9"/>
        <v>1</v>
      </c>
      <c r="AW47">
        <f t="shared" si="9"/>
        <v>0</v>
      </c>
      <c r="AX47">
        <f t="shared" si="9"/>
        <v>0</v>
      </c>
      <c r="AY47">
        <f t="shared" si="9"/>
        <v>0</v>
      </c>
      <c r="AZ47">
        <f t="shared" si="9"/>
        <v>0</v>
      </c>
    </row>
    <row r="48" spans="1:52">
      <c r="A48">
        <f>СВ!B71</f>
        <v>44</v>
      </c>
      <c r="B48" s="5">
        <f>СВ!C71</f>
        <v>0.77083333333333315</v>
      </c>
      <c r="C48" s="5">
        <f>СВ!D71</f>
        <v>0.80208333333333304</v>
      </c>
      <c r="D48">
        <f t="shared" si="1"/>
        <v>0</v>
      </c>
      <c r="E48">
        <f t="shared" si="9"/>
        <v>0</v>
      </c>
      <c r="F48">
        <f t="shared" si="9"/>
        <v>0</v>
      </c>
      <c r="G48">
        <f t="shared" si="9"/>
        <v>0</v>
      </c>
      <c r="H48">
        <f t="shared" si="9"/>
        <v>0</v>
      </c>
      <c r="I48">
        <f t="shared" si="9"/>
        <v>0</v>
      </c>
      <c r="J48">
        <f t="shared" si="9"/>
        <v>0</v>
      </c>
      <c r="K48">
        <f t="shared" si="9"/>
        <v>0</v>
      </c>
      <c r="L48">
        <f t="shared" si="9"/>
        <v>0</v>
      </c>
      <c r="M48">
        <f t="shared" si="9"/>
        <v>0</v>
      </c>
      <c r="N48">
        <f t="shared" si="9"/>
        <v>0</v>
      </c>
      <c r="O48">
        <f t="shared" si="9"/>
        <v>0</v>
      </c>
      <c r="P48">
        <f t="shared" si="9"/>
        <v>0</v>
      </c>
      <c r="Q48">
        <f t="shared" si="9"/>
        <v>0</v>
      </c>
      <c r="R48">
        <f t="shared" si="9"/>
        <v>0</v>
      </c>
      <c r="S48">
        <f t="shared" si="9"/>
        <v>0</v>
      </c>
      <c r="T48">
        <f t="shared" si="9"/>
        <v>0</v>
      </c>
      <c r="U48">
        <f t="shared" si="9"/>
        <v>0</v>
      </c>
      <c r="V48">
        <f t="shared" si="9"/>
        <v>0</v>
      </c>
      <c r="W48">
        <f t="shared" si="9"/>
        <v>0</v>
      </c>
      <c r="X48">
        <f t="shared" si="9"/>
        <v>0</v>
      </c>
      <c r="Y48">
        <f t="shared" si="9"/>
        <v>0</v>
      </c>
      <c r="Z48">
        <f t="shared" si="9"/>
        <v>0</v>
      </c>
      <c r="AA48">
        <f t="shared" si="9"/>
        <v>0</v>
      </c>
      <c r="AB48">
        <f t="shared" si="9"/>
        <v>0</v>
      </c>
      <c r="AC48">
        <f t="shared" si="9"/>
        <v>0</v>
      </c>
      <c r="AD48">
        <f t="shared" si="9"/>
        <v>0</v>
      </c>
      <c r="AE48">
        <f t="shared" si="9"/>
        <v>0</v>
      </c>
      <c r="AF48">
        <f t="shared" si="9"/>
        <v>0</v>
      </c>
      <c r="AG48">
        <f t="shared" si="9"/>
        <v>0</v>
      </c>
      <c r="AH48">
        <f t="shared" si="9"/>
        <v>0</v>
      </c>
      <c r="AI48">
        <f t="shared" si="9"/>
        <v>0</v>
      </c>
      <c r="AJ48">
        <f t="shared" si="9"/>
        <v>0</v>
      </c>
      <c r="AK48">
        <f t="shared" si="9"/>
        <v>0</v>
      </c>
      <c r="AL48">
        <f t="shared" si="9"/>
        <v>0</v>
      </c>
      <c r="AM48">
        <f t="shared" si="9"/>
        <v>0</v>
      </c>
      <c r="AN48">
        <f t="shared" si="9"/>
        <v>0</v>
      </c>
      <c r="AO48">
        <f t="shared" si="9"/>
        <v>0</v>
      </c>
      <c r="AP48">
        <f t="shared" si="9"/>
        <v>0</v>
      </c>
      <c r="AQ48">
        <f t="shared" si="9"/>
        <v>0</v>
      </c>
      <c r="AR48">
        <f t="shared" si="9"/>
        <v>0</v>
      </c>
      <c r="AS48">
        <f t="shared" si="9"/>
        <v>1</v>
      </c>
      <c r="AT48">
        <f t="shared" si="9"/>
        <v>1</v>
      </c>
      <c r="AU48">
        <f t="shared" si="9"/>
        <v>0</v>
      </c>
      <c r="AV48">
        <f t="shared" si="9"/>
        <v>1</v>
      </c>
      <c r="AW48">
        <f t="shared" si="9"/>
        <v>1</v>
      </c>
      <c r="AX48">
        <f t="shared" si="9"/>
        <v>0</v>
      </c>
      <c r="AY48">
        <f t="shared" si="9"/>
        <v>0</v>
      </c>
      <c r="AZ48">
        <f t="shared" si="9"/>
        <v>0</v>
      </c>
    </row>
    <row r="49" spans="1:52">
      <c r="A49">
        <f>СВ!B72</f>
        <v>45</v>
      </c>
      <c r="B49" s="5">
        <f>СВ!C72</f>
        <v>0.78124999999999978</v>
      </c>
      <c r="C49" s="5">
        <f>СВ!D72</f>
        <v>0.81249999999999978</v>
      </c>
      <c r="D49">
        <f t="shared" si="1"/>
        <v>0</v>
      </c>
      <c r="E49">
        <f t="shared" si="9"/>
        <v>0</v>
      </c>
      <c r="F49">
        <f t="shared" si="9"/>
        <v>0</v>
      </c>
      <c r="G49">
        <f t="shared" si="9"/>
        <v>0</v>
      </c>
      <c r="H49">
        <f t="shared" si="9"/>
        <v>0</v>
      </c>
      <c r="I49">
        <f t="shared" si="9"/>
        <v>0</v>
      </c>
      <c r="J49">
        <f t="shared" si="9"/>
        <v>0</v>
      </c>
      <c r="K49">
        <f t="shared" si="9"/>
        <v>0</v>
      </c>
      <c r="L49">
        <f t="shared" si="9"/>
        <v>0</v>
      </c>
      <c r="M49">
        <f t="shared" si="9"/>
        <v>0</v>
      </c>
      <c r="N49">
        <f t="shared" si="9"/>
        <v>0</v>
      </c>
      <c r="O49">
        <f t="shared" si="9"/>
        <v>0</v>
      </c>
      <c r="P49">
        <f t="shared" si="9"/>
        <v>0</v>
      </c>
      <c r="Q49">
        <f t="shared" si="9"/>
        <v>0</v>
      </c>
      <c r="R49">
        <f t="shared" si="9"/>
        <v>0</v>
      </c>
      <c r="S49">
        <f t="shared" si="9"/>
        <v>0</v>
      </c>
      <c r="T49">
        <f t="shared" si="9"/>
        <v>0</v>
      </c>
      <c r="U49">
        <f t="shared" si="9"/>
        <v>0</v>
      </c>
      <c r="V49">
        <f t="shared" si="9"/>
        <v>0</v>
      </c>
      <c r="W49">
        <f t="shared" si="9"/>
        <v>0</v>
      </c>
      <c r="X49">
        <f t="shared" si="9"/>
        <v>0</v>
      </c>
      <c r="Y49">
        <f t="shared" si="9"/>
        <v>0</v>
      </c>
      <c r="Z49">
        <f t="shared" si="9"/>
        <v>0</v>
      </c>
      <c r="AA49">
        <f t="shared" si="9"/>
        <v>0</v>
      </c>
      <c r="AB49">
        <f t="shared" si="9"/>
        <v>0</v>
      </c>
      <c r="AC49">
        <f t="shared" si="9"/>
        <v>0</v>
      </c>
      <c r="AD49">
        <f t="shared" si="9"/>
        <v>0</v>
      </c>
      <c r="AE49">
        <f t="shared" si="9"/>
        <v>0</v>
      </c>
      <c r="AF49">
        <f t="shared" si="9"/>
        <v>0</v>
      </c>
      <c r="AG49">
        <f t="shared" si="9"/>
        <v>0</v>
      </c>
      <c r="AH49">
        <f t="shared" si="9"/>
        <v>0</v>
      </c>
      <c r="AI49">
        <f t="shared" si="9"/>
        <v>0</v>
      </c>
      <c r="AJ49">
        <f t="shared" si="9"/>
        <v>0</v>
      </c>
      <c r="AK49">
        <f t="shared" si="9"/>
        <v>0</v>
      </c>
      <c r="AL49">
        <f t="shared" si="9"/>
        <v>0</v>
      </c>
      <c r="AM49">
        <f t="shared" si="9"/>
        <v>0</v>
      </c>
      <c r="AN49">
        <f t="shared" si="9"/>
        <v>0</v>
      </c>
      <c r="AO49">
        <f t="shared" si="9"/>
        <v>0</v>
      </c>
      <c r="AP49">
        <f t="shared" si="9"/>
        <v>0</v>
      </c>
      <c r="AQ49">
        <f t="shared" si="9"/>
        <v>0</v>
      </c>
      <c r="AR49">
        <f t="shared" si="9"/>
        <v>0</v>
      </c>
      <c r="AS49">
        <f t="shared" si="9"/>
        <v>1</v>
      </c>
      <c r="AT49">
        <f t="shared" si="9"/>
        <v>1</v>
      </c>
      <c r="AU49">
        <f t="shared" si="9"/>
        <v>1</v>
      </c>
      <c r="AV49">
        <f t="shared" si="9"/>
        <v>0</v>
      </c>
      <c r="AW49">
        <f t="shared" si="9"/>
        <v>1</v>
      </c>
      <c r="AX49">
        <f t="shared" si="9"/>
        <v>1</v>
      </c>
      <c r="AY49">
        <f t="shared" si="9"/>
        <v>0</v>
      </c>
      <c r="AZ49">
        <f t="shared" si="9"/>
        <v>0</v>
      </c>
    </row>
    <row r="50" spans="1:52">
      <c r="A50">
        <f>СВ!B73</f>
        <v>46</v>
      </c>
      <c r="B50" s="5">
        <f>СВ!C73</f>
        <v>0.79166666666666641</v>
      </c>
      <c r="C50" s="5">
        <f>СВ!D73</f>
        <v>0.83333333333333304</v>
      </c>
      <c r="D50">
        <f t="shared" si="1"/>
        <v>0</v>
      </c>
      <c r="E50">
        <f t="shared" si="9"/>
        <v>0</v>
      </c>
      <c r="F50">
        <f t="shared" si="9"/>
        <v>0</v>
      </c>
      <c r="G50">
        <f t="shared" si="9"/>
        <v>0</v>
      </c>
      <c r="H50">
        <f t="shared" si="9"/>
        <v>0</v>
      </c>
      <c r="I50">
        <f t="shared" si="9"/>
        <v>0</v>
      </c>
      <c r="J50">
        <f t="shared" si="9"/>
        <v>0</v>
      </c>
      <c r="K50">
        <f t="shared" si="9"/>
        <v>0</v>
      </c>
      <c r="L50">
        <f t="shared" si="9"/>
        <v>0</v>
      </c>
      <c r="M50">
        <f t="shared" si="9"/>
        <v>0</v>
      </c>
      <c r="N50">
        <f t="shared" si="9"/>
        <v>0</v>
      </c>
      <c r="O50">
        <f t="shared" si="9"/>
        <v>0</v>
      </c>
      <c r="P50">
        <f t="shared" si="9"/>
        <v>0</v>
      </c>
      <c r="Q50">
        <f t="shared" si="9"/>
        <v>0</v>
      </c>
      <c r="R50">
        <f t="shared" si="9"/>
        <v>0</v>
      </c>
      <c r="S50">
        <f t="shared" si="9"/>
        <v>0</v>
      </c>
      <c r="T50">
        <f t="shared" si="9"/>
        <v>0</v>
      </c>
      <c r="U50">
        <f t="shared" si="9"/>
        <v>0</v>
      </c>
      <c r="V50">
        <f t="shared" si="9"/>
        <v>0</v>
      </c>
      <c r="W50">
        <f t="shared" si="9"/>
        <v>0</v>
      </c>
      <c r="X50">
        <f t="shared" si="9"/>
        <v>0</v>
      </c>
      <c r="Y50">
        <f t="shared" si="9"/>
        <v>0</v>
      </c>
      <c r="Z50">
        <f t="shared" si="9"/>
        <v>0</v>
      </c>
      <c r="AA50">
        <f t="shared" si="9"/>
        <v>0</v>
      </c>
      <c r="AB50">
        <f t="shared" si="9"/>
        <v>0</v>
      </c>
      <c r="AC50">
        <f t="shared" si="9"/>
        <v>0</v>
      </c>
      <c r="AD50">
        <f t="shared" si="9"/>
        <v>0</v>
      </c>
      <c r="AE50">
        <f t="shared" si="9"/>
        <v>0</v>
      </c>
      <c r="AF50">
        <f t="shared" si="9"/>
        <v>0</v>
      </c>
      <c r="AG50">
        <f t="shared" si="9"/>
        <v>0</v>
      </c>
      <c r="AH50">
        <f t="shared" si="9"/>
        <v>0</v>
      </c>
      <c r="AI50">
        <f t="shared" si="9"/>
        <v>0</v>
      </c>
      <c r="AJ50">
        <f t="shared" si="9"/>
        <v>0</v>
      </c>
      <c r="AK50">
        <f t="shared" si="9"/>
        <v>0</v>
      </c>
      <c r="AL50">
        <f t="shared" si="9"/>
        <v>0</v>
      </c>
      <c r="AM50">
        <f t="shared" si="9"/>
        <v>0</v>
      </c>
      <c r="AN50">
        <f t="shared" si="9"/>
        <v>0</v>
      </c>
      <c r="AO50">
        <f t="shared" si="9"/>
        <v>0</v>
      </c>
      <c r="AP50">
        <f t="shared" si="9"/>
        <v>0</v>
      </c>
      <c r="AQ50">
        <f t="shared" si="9"/>
        <v>0</v>
      </c>
      <c r="AR50">
        <f t="shared" si="9"/>
        <v>0</v>
      </c>
      <c r="AS50">
        <f t="shared" si="9"/>
        <v>0</v>
      </c>
      <c r="AT50">
        <f t="shared" si="9"/>
        <v>0</v>
      </c>
      <c r="AU50">
        <f t="shared" si="9"/>
        <v>1</v>
      </c>
      <c r="AV50">
        <f t="shared" si="9"/>
        <v>1</v>
      </c>
      <c r="AW50">
        <f t="shared" si="9"/>
        <v>0</v>
      </c>
      <c r="AX50">
        <f t="shared" si="9"/>
        <v>1</v>
      </c>
      <c r="AY50">
        <f t="shared" si="9"/>
        <v>1</v>
      </c>
      <c r="AZ50">
        <f t="shared" si="9"/>
        <v>1</v>
      </c>
    </row>
    <row r="51" spans="1:52">
      <c r="A51">
        <f>СВ!B74</f>
        <v>47</v>
      </c>
      <c r="B51" s="5">
        <f>СВ!C74</f>
        <v>0.80208333333333304</v>
      </c>
      <c r="C51" s="5">
        <f>СВ!D74</f>
        <v>0.83333333333333304</v>
      </c>
      <c r="D51">
        <f t="shared" si="1"/>
        <v>0</v>
      </c>
      <c r="E51">
        <f t="shared" si="9"/>
        <v>0</v>
      </c>
      <c r="F51">
        <f t="shared" si="9"/>
        <v>0</v>
      </c>
      <c r="G51">
        <f t="shared" si="9"/>
        <v>0</v>
      </c>
      <c r="H51">
        <f t="shared" si="9"/>
        <v>0</v>
      </c>
      <c r="I51">
        <f t="shared" si="9"/>
        <v>0</v>
      </c>
      <c r="J51">
        <f t="shared" si="9"/>
        <v>0</v>
      </c>
      <c r="K51">
        <f t="shared" si="9"/>
        <v>0</v>
      </c>
      <c r="L51">
        <f t="shared" si="9"/>
        <v>0</v>
      </c>
      <c r="M51">
        <f t="shared" si="9"/>
        <v>0</v>
      </c>
      <c r="N51">
        <f t="shared" si="9"/>
        <v>0</v>
      </c>
      <c r="O51">
        <f t="shared" si="9"/>
        <v>0</v>
      </c>
      <c r="P51">
        <f t="shared" si="9"/>
        <v>0</v>
      </c>
      <c r="Q51">
        <f t="shared" si="9"/>
        <v>0</v>
      </c>
      <c r="R51">
        <f t="shared" si="9"/>
        <v>0</v>
      </c>
      <c r="S51">
        <f t="shared" si="9"/>
        <v>0</v>
      </c>
      <c r="T51">
        <f t="shared" si="9"/>
        <v>0</v>
      </c>
      <c r="U51">
        <f t="shared" si="9"/>
        <v>0</v>
      </c>
      <c r="V51">
        <f t="shared" si="9"/>
        <v>0</v>
      </c>
      <c r="W51">
        <f t="shared" si="9"/>
        <v>0</v>
      </c>
      <c r="X51">
        <f t="shared" si="9"/>
        <v>0</v>
      </c>
      <c r="Y51">
        <f t="shared" si="9"/>
        <v>0</v>
      </c>
      <c r="Z51">
        <f t="shared" si="9"/>
        <v>0</v>
      </c>
      <c r="AA51">
        <f t="shared" si="9"/>
        <v>0</v>
      </c>
      <c r="AB51">
        <f t="shared" si="9"/>
        <v>0</v>
      </c>
      <c r="AC51">
        <f t="shared" si="9"/>
        <v>0</v>
      </c>
      <c r="AD51">
        <f t="shared" si="9"/>
        <v>0</v>
      </c>
      <c r="AE51">
        <f t="shared" si="9"/>
        <v>0</v>
      </c>
      <c r="AF51">
        <f t="shared" si="9"/>
        <v>0</v>
      </c>
      <c r="AG51">
        <f t="shared" si="9"/>
        <v>0</v>
      </c>
      <c r="AH51">
        <f t="shared" si="9"/>
        <v>0</v>
      </c>
      <c r="AI51">
        <f t="shared" si="9"/>
        <v>0</v>
      </c>
      <c r="AJ51">
        <f t="shared" si="9"/>
        <v>0</v>
      </c>
      <c r="AK51">
        <f t="shared" si="9"/>
        <v>0</v>
      </c>
      <c r="AL51">
        <f t="shared" si="9"/>
        <v>0</v>
      </c>
      <c r="AM51">
        <f t="shared" si="9"/>
        <v>0</v>
      </c>
      <c r="AN51">
        <f t="shared" si="9"/>
        <v>0</v>
      </c>
      <c r="AO51">
        <f t="shared" si="9"/>
        <v>0</v>
      </c>
      <c r="AP51">
        <f t="shared" si="9"/>
        <v>0</v>
      </c>
      <c r="AQ51">
        <f t="shared" si="9"/>
        <v>0</v>
      </c>
      <c r="AR51">
        <f t="shared" si="9"/>
        <v>0</v>
      </c>
      <c r="AS51">
        <f t="shared" si="9"/>
        <v>0</v>
      </c>
      <c r="AT51">
        <f t="shared" si="9"/>
        <v>0</v>
      </c>
      <c r="AU51">
        <f t="shared" si="9"/>
        <v>0</v>
      </c>
      <c r="AV51">
        <f t="shared" si="9"/>
        <v>1</v>
      </c>
      <c r="AW51">
        <f t="shared" si="9"/>
        <v>1</v>
      </c>
      <c r="AX51">
        <f t="shared" si="9"/>
        <v>0</v>
      </c>
      <c r="AY51">
        <f t="shared" si="9"/>
        <v>1</v>
      </c>
      <c r="AZ51">
        <f t="shared" si="9"/>
        <v>1</v>
      </c>
    </row>
    <row r="52" spans="1:52">
      <c r="A52">
        <f>СВ!B75</f>
        <v>48</v>
      </c>
      <c r="B52" s="5">
        <f>СВ!C75</f>
        <v>0.81249999999999978</v>
      </c>
      <c r="C52" s="5">
        <f>СВ!D75</f>
        <v>0.84374999999999967</v>
      </c>
      <c r="D52">
        <f t="shared" si="1"/>
        <v>0</v>
      </c>
      <c r="E52">
        <f t="shared" si="9"/>
        <v>0</v>
      </c>
      <c r="F52">
        <f t="shared" si="9"/>
        <v>0</v>
      </c>
      <c r="G52">
        <f t="shared" si="9"/>
        <v>0</v>
      </c>
      <c r="H52">
        <f t="shared" si="9"/>
        <v>0</v>
      </c>
      <c r="I52">
        <f t="shared" si="9"/>
        <v>0</v>
      </c>
      <c r="J52">
        <f t="shared" si="9"/>
        <v>0</v>
      </c>
      <c r="K52">
        <f t="shared" si="9"/>
        <v>0</v>
      </c>
      <c r="L52">
        <f t="shared" si="9"/>
        <v>0</v>
      </c>
      <c r="M52">
        <f t="shared" si="9"/>
        <v>0</v>
      </c>
      <c r="N52">
        <f t="shared" si="9"/>
        <v>0</v>
      </c>
      <c r="O52">
        <f t="shared" si="9"/>
        <v>0</v>
      </c>
      <c r="P52">
        <f t="shared" si="9"/>
        <v>0</v>
      </c>
      <c r="Q52">
        <f t="shared" si="9"/>
        <v>0</v>
      </c>
      <c r="R52">
        <f t="shared" si="9"/>
        <v>0</v>
      </c>
      <c r="S52">
        <f t="shared" si="9"/>
        <v>0</v>
      </c>
      <c r="T52">
        <f t="shared" si="9"/>
        <v>0</v>
      </c>
      <c r="U52">
        <f t="shared" si="9"/>
        <v>0</v>
      </c>
      <c r="V52">
        <f t="shared" si="9"/>
        <v>0</v>
      </c>
      <c r="W52">
        <f t="shared" si="9"/>
        <v>0</v>
      </c>
      <c r="X52">
        <f t="shared" si="9"/>
        <v>0</v>
      </c>
      <c r="Y52">
        <f t="shared" si="9"/>
        <v>0</v>
      </c>
      <c r="Z52">
        <f t="shared" si="9"/>
        <v>0</v>
      </c>
      <c r="AA52">
        <f t="shared" si="9"/>
        <v>0</v>
      </c>
      <c r="AB52">
        <f t="shared" si="9"/>
        <v>0</v>
      </c>
      <c r="AC52">
        <f t="shared" si="9"/>
        <v>0</v>
      </c>
      <c r="AD52">
        <f t="shared" si="9"/>
        <v>0</v>
      </c>
      <c r="AE52">
        <f t="shared" si="9"/>
        <v>0</v>
      </c>
      <c r="AF52">
        <f t="shared" si="9"/>
        <v>0</v>
      </c>
      <c r="AG52">
        <f t="shared" si="9"/>
        <v>0</v>
      </c>
      <c r="AH52">
        <f t="shared" si="9"/>
        <v>0</v>
      </c>
      <c r="AI52">
        <f t="shared" si="9"/>
        <v>0</v>
      </c>
      <c r="AJ52">
        <f t="shared" si="9"/>
        <v>0</v>
      </c>
      <c r="AK52">
        <f t="shared" si="9"/>
        <v>0</v>
      </c>
      <c r="AL52">
        <f t="shared" si="9"/>
        <v>0</v>
      </c>
      <c r="AM52">
        <f t="shared" si="9"/>
        <v>0</v>
      </c>
      <c r="AN52">
        <f t="shared" si="9"/>
        <v>0</v>
      </c>
      <c r="AO52">
        <f t="shared" si="9"/>
        <v>0</v>
      </c>
      <c r="AP52">
        <f t="shared" si="9"/>
        <v>0</v>
      </c>
      <c r="AQ52">
        <f t="shared" si="9"/>
        <v>0</v>
      </c>
      <c r="AR52">
        <f t="shared" si="9"/>
        <v>0</v>
      </c>
      <c r="AS52">
        <f t="shared" si="9"/>
        <v>0</v>
      </c>
      <c r="AT52">
        <f t="shared" si="9"/>
        <v>0</v>
      </c>
      <c r="AU52">
        <f t="shared" si="9"/>
        <v>0</v>
      </c>
      <c r="AV52">
        <f t="shared" si="9"/>
        <v>0</v>
      </c>
      <c r="AW52">
        <f t="shared" si="9"/>
        <v>1</v>
      </c>
      <c r="AX52">
        <f t="shared" si="9"/>
        <v>1</v>
      </c>
      <c r="AY52">
        <f t="shared" si="9"/>
        <v>0</v>
      </c>
      <c r="AZ52">
        <f t="shared" si="9"/>
        <v>1</v>
      </c>
    </row>
    <row r="53" spans="1:52">
      <c r="A53">
        <f>СВ!B76</f>
        <v>49</v>
      </c>
      <c r="B53" s="5">
        <f>СВ!C76</f>
        <v>0.82291666666666641</v>
      </c>
      <c r="C53" s="5">
        <f>СВ!D76</f>
        <v>0.85416666666666641</v>
      </c>
      <c r="D53">
        <f t="shared" si="1"/>
        <v>0</v>
      </c>
      <c r="E53">
        <f t="shared" si="9"/>
        <v>0</v>
      </c>
      <c r="F53">
        <f t="shared" si="9"/>
        <v>0</v>
      </c>
      <c r="G53">
        <f t="shared" si="9"/>
        <v>0</v>
      </c>
      <c r="H53">
        <f t="shared" si="9"/>
        <v>0</v>
      </c>
      <c r="I53">
        <f t="shared" si="9"/>
        <v>0</v>
      </c>
      <c r="J53">
        <f t="shared" si="9"/>
        <v>0</v>
      </c>
      <c r="K53">
        <f t="shared" ref="K53:AZ53" si="10">IF(OR(AND(K$3&gt;$B53,K$3&lt;$C53),AND(K$4&gt;$B53,K$4&lt;$C53),AND($B53&gt;K$3,$B53&lt;K$4),AND($C53&gt;K$3,$C53&lt;K$4)),1,0)</f>
        <v>0</v>
      </c>
      <c r="L53">
        <f t="shared" si="10"/>
        <v>0</v>
      </c>
      <c r="M53">
        <f t="shared" si="10"/>
        <v>0</v>
      </c>
      <c r="N53">
        <f t="shared" si="10"/>
        <v>0</v>
      </c>
      <c r="O53">
        <f t="shared" si="10"/>
        <v>0</v>
      </c>
      <c r="P53">
        <f t="shared" si="10"/>
        <v>0</v>
      </c>
      <c r="Q53">
        <f t="shared" si="10"/>
        <v>0</v>
      </c>
      <c r="R53">
        <f t="shared" si="10"/>
        <v>0</v>
      </c>
      <c r="S53">
        <f t="shared" si="10"/>
        <v>0</v>
      </c>
      <c r="T53">
        <f t="shared" si="10"/>
        <v>0</v>
      </c>
      <c r="U53">
        <f t="shared" si="10"/>
        <v>0</v>
      </c>
      <c r="V53">
        <f t="shared" si="10"/>
        <v>0</v>
      </c>
      <c r="W53">
        <f t="shared" si="10"/>
        <v>0</v>
      </c>
      <c r="X53">
        <f t="shared" si="10"/>
        <v>0</v>
      </c>
      <c r="Y53">
        <f t="shared" si="10"/>
        <v>0</v>
      </c>
      <c r="Z53">
        <f t="shared" si="10"/>
        <v>0</v>
      </c>
      <c r="AA53">
        <f t="shared" si="10"/>
        <v>0</v>
      </c>
      <c r="AB53">
        <f t="shared" si="10"/>
        <v>0</v>
      </c>
      <c r="AC53">
        <f t="shared" si="10"/>
        <v>0</v>
      </c>
      <c r="AD53">
        <f t="shared" si="10"/>
        <v>0</v>
      </c>
      <c r="AE53">
        <f t="shared" si="10"/>
        <v>0</v>
      </c>
      <c r="AF53">
        <f t="shared" si="10"/>
        <v>0</v>
      </c>
      <c r="AG53">
        <f t="shared" si="10"/>
        <v>0</v>
      </c>
      <c r="AH53">
        <f t="shared" si="10"/>
        <v>0</v>
      </c>
      <c r="AI53">
        <f t="shared" si="10"/>
        <v>0</v>
      </c>
      <c r="AJ53">
        <f t="shared" si="10"/>
        <v>0</v>
      </c>
      <c r="AK53">
        <f t="shared" si="10"/>
        <v>0</v>
      </c>
      <c r="AL53">
        <f t="shared" si="10"/>
        <v>0</v>
      </c>
      <c r="AM53">
        <f t="shared" si="10"/>
        <v>0</v>
      </c>
      <c r="AN53">
        <f t="shared" si="10"/>
        <v>0</v>
      </c>
      <c r="AO53">
        <f t="shared" si="10"/>
        <v>0</v>
      </c>
      <c r="AP53">
        <f t="shared" si="10"/>
        <v>0</v>
      </c>
      <c r="AQ53">
        <f t="shared" si="10"/>
        <v>0</v>
      </c>
      <c r="AR53">
        <f t="shared" si="10"/>
        <v>0</v>
      </c>
      <c r="AS53">
        <f t="shared" si="10"/>
        <v>0</v>
      </c>
      <c r="AT53">
        <f t="shared" si="10"/>
        <v>0</v>
      </c>
      <c r="AU53">
        <f t="shared" si="10"/>
        <v>0</v>
      </c>
      <c r="AV53">
        <f t="shared" si="10"/>
        <v>0</v>
      </c>
      <c r="AW53">
        <f t="shared" si="10"/>
        <v>1</v>
      </c>
      <c r="AX53">
        <f t="shared" si="10"/>
        <v>1</v>
      </c>
      <c r="AY53">
        <f t="shared" si="10"/>
        <v>1</v>
      </c>
      <c r="AZ53">
        <f t="shared" si="10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FY14529"/>
  <sheetViews>
    <sheetView workbookViewId="0">
      <selection activeCell="A2" sqref="A2"/>
    </sheetView>
  </sheetViews>
  <sheetFormatPr defaultRowHeight="15"/>
  <cols>
    <col min="2" max="2" width="10.85546875" bestFit="1" customWidth="1"/>
    <col min="3" max="3" width="9.140625" style="6"/>
    <col min="4" max="4" width="10.85546875" bestFit="1" customWidth="1"/>
  </cols>
  <sheetData>
    <row r="1" spans="1:181">
      <c r="A1" t="s">
        <v>171</v>
      </c>
      <c r="D1">
        <f>COUNT(C:C)</f>
        <v>115</v>
      </c>
    </row>
    <row r="2" spans="1:181">
      <c r="A2" s="6" t="s">
        <v>172</v>
      </c>
      <c r="B2" s="5"/>
      <c r="D2">
        <f>СВ!C2*6</f>
        <v>60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</row>
    <row r="3" spans="1:181" s="6" customFormat="1">
      <c r="E3" s="6" t="str">
        <f>DV!D15</f>
        <v>Адилханов Нурсултан</v>
      </c>
      <c r="K3" s="6" t="str">
        <f>DV!J15</f>
        <v>Байбосынова Санат</v>
      </c>
      <c r="Q3" s="6" t="str">
        <f>DV!P15</f>
        <v>Дуисенгалиева Гульшат</v>
      </c>
      <c r="W3" s="6" t="str">
        <f>DV!V15</f>
        <v>Жантумсова Нургуль</v>
      </c>
      <c r="AC3" s="6" t="str">
        <f>DV!AB15</f>
        <v>Искакова Айымгуль</v>
      </c>
      <c r="AI3" s="6" t="str">
        <f>DV!AH15</f>
        <v>Канылбаев Эльдар</v>
      </c>
      <c r="AO3" s="6" t="str">
        <f>DV!AN15</f>
        <v>Нурабаева Жансая</v>
      </c>
      <c r="AU3" s="6" t="str">
        <f>DV!AT15</f>
        <v>Сариева Сивиля</v>
      </c>
      <c r="BA3" s="6" t="str">
        <f>DV!AZ15</f>
        <v>Тамабаева Динара</v>
      </c>
      <c r="BG3" s="6" t="str">
        <f>DV!BF15</f>
        <v>Усеинов Рифат</v>
      </c>
    </row>
    <row r="4" spans="1:181">
      <c r="B4" s="5"/>
      <c r="E4" s="6" t="str">
        <f>DV!D16</f>
        <v>Понедельник</v>
      </c>
      <c r="F4" s="6" t="str">
        <f>DV!E16</f>
        <v>Вторник</v>
      </c>
      <c r="G4" s="6" t="str">
        <f>DV!F16</f>
        <v>Среда</v>
      </c>
      <c r="H4" s="6" t="str">
        <f>DV!G16</f>
        <v>Четверг</v>
      </c>
      <c r="I4" s="6" t="str">
        <f>DV!H16</f>
        <v>Пятница</v>
      </c>
      <c r="J4" s="6" t="str">
        <f>DV!I16</f>
        <v>Суббота</v>
      </c>
      <c r="K4" s="6" t="str">
        <f>DV!J16</f>
        <v>Понедельник</v>
      </c>
      <c r="L4" s="6" t="str">
        <f>DV!K16</f>
        <v>Вторник</v>
      </c>
      <c r="M4" s="6" t="str">
        <f>DV!L16</f>
        <v>Среда</v>
      </c>
      <c r="N4" s="6" t="str">
        <f>DV!M16</f>
        <v>Четверг</v>
      </c>
      <c r="O4" s="6" t="str">
        <f>DV!N16</f>
        <v>Пятница</v>
      </c>
      <c r="P4" s="6" t="str">
        <f>DV!O16</f>
        <v>Суббота</v>
      </c>
      <c r="Q4" s="6" t="str">
        <f>DV!P16</f>
        <v>Понедельник</v>
      </c>
      <c r="R4" s="6" t="str">
        <f>DV!Q16</f>
        <v>Вторник</v>
      </c>
      <c r="S4" s="6" t="str">
        <f>DV!R16</f>
        <v>Среда</v>
      </c>
      <c r="T4" s="6" t="str">
        <f>DV!S16</f>
        <v>Четверг</v>
      </c>
      <c r="U4" s="6" t="str">
        <f>DV!T16</f>
        <v>Пятница</v>
      </c>
      <c r="V4" s="6" t="str">
        <f>DV!U16</f>
        <v>Суббота</v>
      </c>
      <c r="W4" s="6" t="str">
        <f>DV!V16</f>
        <v>Понедельник</v>
      </c>
      <c r="X4" s="6" t="str">
        <f>DV!W16</f>
        <v>Вторник</v>
      </c>
      <c r="Y4" s="6" t="str">
        <f>DV!X16</f>
        <v>Среда</v>
      </c>
      <c r="Z4" s="6" t="str">
        <f>DV!Y16</f>
        <v>Четверг</v>
      </c>
      <c r="AA4" s="6" t="str">
        <f>DV!Z16</f>
        <v>Пятница</v>
      </c>
      <c r="AB4" s="6" t="str">
        <f>DV!AA16</f>
        <v>Суббота</v>
      </c>
      <c r="AC4" s="6" t="str">
        <f>DV!AB16</f>
        <v>Понедельник</v>
      </c>
      <c r="AD4" s="6" t="str">
        <f>DV!AC16</f>
        <v>Вторник</v>
      </c>
      <c r="AE4" s="6" t="str">
        <f>DV!AD16</f>
        <v>Среда</v>
      </c>
      <c r="AF4" s="6" t="str">
        <f>DV!AE16</f>
        <v>Четверг</v>
      </c>
      <c r="AG4" s="6" t="str">
        <f>DV!AF16</f>
        <v>Пятница</v>
      </c>
      <c r="AH4" s="6" t="str">
        <f>DV!AG16</f>
        <v>Суббота</v>
      </c>
      <c r="AI4" s="6" t="str">
        <f>DV!AH16</f>
        <v>Понедельник</v>
      </c>
      <c r="AJ4" s="6" t="str">
        <f>DV!AI16</f>
        <v>Вторник</v>
      </c>
      <c r="AK4" s="6" t="str">
        <f>DV!AJ16</f>
        <v>Среда</v>
      </c>
      <c r="AL4" s="6" t="str">
        <f>DV!AK16</f>
        <v>Четверг</v>
      </c>
      <c r="AM4" s="6" t="str">
        <f>DV!AL16</f>
        <v>Пятница</v>
      </c>
      <c r="AN4" s="6" t="str">
        <f>DV!AM16</f>
        <v>Суббота</v>
      </c>
      <c r="AO4" s="6" t="str">
        <f>DV!AN16</f>
        <v>Понедельник</v>
      </c>
      <c r="AP4" s="6" t="str">
        <f>DV!AO16</f>
        <v>Вторник</v>
      </c>
      <c r="AQ4" s="6" t="str">
        <f>DV!AP16</f>
        <v>Среда</v>
      </c>
      <c r="AR4" s="6" t="str">
        <f>DV!AQ16</f>
        <v>Четверг</v>
      </c>
      <c r="AS4" s="6" t="str">
        <f>DV!AR16</f>
        <v>Пятница</v>
      </c>
      <c r="AT4" s="6" t="str">
        <f>DV!AS16</f>
        <v>Суббота</v>
      </c>
      <c r="AU4" s="6" t="str">
        <f>DV!AT16</f>
        <v>Понедельник</v>
      </c>
      <c r="AV4" s="6" t="str">
        <f>DV!AU16</f>
        <v>Вторник</v>
      </c>
      <c r="AW4" s="6" t="str">
        <f>DV!AV16</f>
        <v>Среда</v>
      </c>
      <c r="AX4" s="6" t="str">
        <f>DV!AW16</f>
        <v>Четверг</v>
      </c>
      <c r="AY4" s="6" t="str">
        <f>DV!AX16</f>
        <v>Пятница</v>
      </c>
      <c r="AZ4" s="6" t="str">
        <f>DV!AY16</f>
        <v>Суббота</v>
      </c>
      <c r="BA4" s="6" t="str">
        <f>DV!AZ16</f>
        <v>Понедельник</v>
      </c>
      <c r="BB4" s="6" t="str">
        <f>DV!BA16</f>
        <v>Вторник</v>
      </c>
      <c r="BC4" s="6" t="str">
        <f>DV!BB16</f>
        <v>Среда</v>
      </c>
      <c r="BD4" s="6" t="str">
        <f>DV!BC16</f>
        <v>Четверг</v>
      </c>
      <c r="BE4" s="6" t="str">
        <f>DV!BD16</f>
        <v>Пятница</v>
      </c>
      <c r="BF4" s="6" t="str">
        <f>DV!BE16</f>
        <v>Суббота</v>
      </c>
      <c r="BG4" s="6" t="str">
        <f>DV!BF16</f>
        <v>Понедельник</v>
      </c>
      <c r="BH4" s="6" t="str">
        <f>DV!BG16</f>
        <v>Вторник</v>
      </c>
      <c r="BI4" s="6" t="str">
        <f>DV!BH16</f>
        <v>Среда</v>
      </c>
      <c r="BJ4" s="6" t="str">
        <f>DV!BI16</f>
        <v>Четверг</v>
      </c>
      <c r="BK4" s="6" t="str">
        <f>DV!BJ16</f>
        <v>Пятница</v>
      </c>
      <c r="BL4" s="6" t="str">
        <f>DV!BK16</f>
        <v>Суббота</v>
      </c>
    </row>
    <row r="5" spans="1:181">
      <c r="A5">
        <v>1</v>
      </c>
      <c r="B5" s="5" t="str">
        <f>TEXT(VLOOKUP(A5,СВ[],2),"чч:мм")&amp;"-"&amp;TEXT(VLOOKUP(A5,СВ[],3),"чч:мм")</f>
        <v>08:30-09:15</v>
      </c>
      <c r="C5" s="6">
        <v>2</v>
      </c>
      <c r="D5" s="5" t="str">
        <f>TEXT(VLOOKUP(C5,СВ[],2),"чч:мм")&amp;"-"&amp;TEXT(VLOOKUP(C5,СВ[],3),"чч:мм")</f>
        <v>08:30-09:30</v>
      </c>
      <c r="E5">
        <f>DV!D18+DV!D19</f>
        <v>0</v>
      </c>
      <c r="F5">
        <f>DV!E18+DV!E19</f>
        <v>0</v>
      </c>
      <c r="G5">
        <f>DV!F18+DV!F19</f>
        <v>0</v>
      </c>
      <c r="H5">
        <f>DV!G18+DV!G19</f>
        <v>0</v>
      </c>
      <c r="I5">
        <f>DV!H18+DV!H19</f>
        <v>0</v>
      </c>
      <c r="J5">
        <f>DV!I18+DV!I19</f>
        <v>0</v>
      </c>
      <c r="K5">
        <f>DV!J18+DV!J19</f>
        <v>0</v>
      </c>
      <c r="L5">
        <f>DV!K18+DV!K19</f>
        <v>0</v>
      </c>
      <c r="M5">
        <f>DV!L18+DV!L19</f>
        <v>0</v>
      </c>
      <c r="N5">
        <f>DV!M18+DV!M19</f>
        <v>0</v>
      </c>
      <c r="O5">
        <f>DV!N18+DV!N19</f>
        <v>0</v>
      </c>
      <c r="P5">
        <f>DV!O18+DV!O19</f>
        <v>0</v>
      </c>
      <c r="Q5">
        <f>DV!P18+DV!P19</f>
        <v>0</v>
      </c>
      <c r="R5">
        <f>DV!Q18+DV!Q19</f>
        <v>0</v>
      </c>
      <c r="S5">
        <f>DV!R18+DV!R19</f>
        <v>0</v>
      </c>
      <c r="T5">
        <f>DV!S18+DV!S19</f>
        <v>0</v>
      </c>
      <c r="U5">
        <f>DV!T18+DV!T19</f>
        <v>0</v>
      </c>
      <c r="V5">
        <f>DV!U18+DV!U19</f>
        <v>0</v>
      </c>
      <c r="W5">
        <f>DV!V18+DV!V19</f>
        <v>0</v>
      </c>
      <c r="X5">
        <f>DV!W18+DV!W19</f>
        <v>0</v>
      </c>
      <c r="Y5">
        <f>DV!X18+DV!X19</f>
        <v>0</v>
      </c>
      <c r="Z5">
        <f>DV!Y18+DV!Y19</f>
        <v>0</v>
      </c>
      <c r="AA5">
        <f>DV!Z18+DV!Z19</f>
        <v>0</v>
      </c>
      <c r="AB5">
        <f>DV!AA18+DV!AA19</f>
        <v>0</v>
      </c>
      <c r="AC5">
        <f>DV!AB18+DV!AB19</f>
        <v>0</v>
      </c>
      <c r="AD5">
        <f>DV!AC18+DV!AC19</f>
        <v>0</v>
      </c>
      <c r="AE5">
        <f>DV!AD18+DV!AD19</f>
        <v>0</v>
      </c>
      <c r="AF5">
        <f>DV!AE18+DV!AE19</f>
        <v>0</v>
      </c>
      <c r="AG5">
        <f>DV!AF18+DV!AF19</f>
        <v>0</v>
      </c>
      <c r="AH5">
        <f>DV!AG18+DV!AG19</f>
        <v>0</v>
      </c>
      <c r="AI5">
        <f>DV!AH18+DV!AH19</f>
        <v>0</v>
      </c>
      <c r="AJ5">
        <f>DV!AI18+DV!AI19</f>
        <v>0</v>
      </c>
      <c r="AK5">
        <f>DV!AJ18+DV!AJ19</f>
        <v>0</v>
      </c>
      <c r="AL5">
        <f>DV!AK18+DV!AK19</f>
        <v>0</v>
      </c>
      <c r="AM5">
        <f>DV!AL18+DV!AL19</f>
        <v>0</v>
      </c>
      <c r="AN5">
        <f>DV!AM18+DV!AM19</f>
        <v>0</v>
      </c>
      <c r="AO5">
        <f>DV!AN18+DV!AN19</f>
        <v>0</v>
      </c>
      <c r="AP5">
        <f>DV!AO18+DV!AO19</f>
        <v>0</v>
      </c>
      <c r="AQ5">
        <f>DV!AP18+DV!AP19</f>
        <v>0</v>
      </c>
      <c r="AR5">
        <f>DV!AQ18+DV!AQ19</f>
        <v>0</v>
      </c>
      <c r="AS5">
        <f>DV!AR18+DV!AR19</f>
        <v>0</v>
      </c>
      <c r="AT5">
        <f>DV!AS18+DV!AS19</f>
        <v>0</v>
      </c>
      <c r="AU5">
        <f>DV!AT18+DV!AT19</f>
        <v>0</v>
      </c>
      <c r="AV5">
        <f>DV!AU18+DV!AU19</f>
        <v>0</v>
      </c>
      <c r="AW5">
        <f>DV!AV18+DV!AV19</f>
        <v>0</v>
      </c>
      <c r="AX5">
        <f>DV!AW18+DV!AW19</f>
        <v>0</v>
      </c>
      <c r="AY5">
        <f>DV!AX18+DV!AX19</f>
        <v>0</v>
      </c>
      <c r="AZ5">
        <f>DV!AY18+DV!AY19</f>
        <v>0</v>
      </c>
      <c r="BA5">
        <f>DV!AZ18+DV!AZ19</f>
        <v>0</v>
      </c>
      <c r="BB5">
        <f>DV!BA18+DV!BA19</f>
        <v>0</v>
      </c>
      <c r="BC5">
        <f>DV!BB18+DV!BB19</f>
        <v>0</v>
      </c>
      <c r="BD5">
        <f>DV!BC18+DV!BC19</f>
        <v>0</v>
      </c>
      <c r="BE5">
        <f>DV!BD18+DV!BD19</f>
        <v>0</v>
      </c>
      <c r="BF5">
        <f>DV!BE18+DV!BE19</f>
        <v>0</v>
      </c>
      <c r="BG5">
        <f>DV!BF18+DV!BF19</f>
        <v>0</v>
      </c>
      <c r="BH5">
        <f>DV!BG18+DV!BG19</f>
        <v>0</v>
      </c>
      <c r="BI5">
        <f>DV!BH18+DV!BH19</f>
        <v>0</v>
      </c>
      <c r="BJ5">
        <f>DV!BI18+DV!BI19</f>
        <v>0</v>
      </c>
      <c r="BK5">
        <f>DV!BJ18+DV!BJ19</f>
        <v>0</v>
      </c>
      <c r="BL5">
        <f>DV!BK18+DV!BK19</f>
        <v>0</v>
      </c>
    </row>
    <row r="6" spans="1:181">
      <c r="A6">
        <v>1</v>
      </c>
      <c r="B6" s="5" t="str">
        <f>TEXT(VLOOKUP(A6,СВ[],2),"чч:мм")&amp;"-"&amp;TEXT(VLOOKUP(A6,СВ[],3),"чч:мм")</f>
        <v>08:30-09:15</v>
      </c>
      <c r="C6" s="6">
        <v>3</v>
      </c>
      <c r="D6" s="5" t="str">
        <f>TEXT(VLOOKUP(C6,СВ[],2),"чч:мм")&amp;"-"&amp;TEXT(VLOOKUP(C6,СВ[],3),"чч:мм")</f>
        <v>08:45-09:30</v>
      </c>
      <c r="E6">
        <f>DV!D18+DV!D20</f>
        <v>0</v>
      </c>
      <c r="F6">
        <f>DV!E18+DV!E20</f>
        <v>0</v>
      </c>
      <c r="G6">
        <f>DV!F18+DV!F20</f>
        <v>0</v>
      </c>
      <c r="H6">
        <f>DV!G18+DV!G20</f>
        <v>0</v>
      </c>
      <c r="I6">
        <f>DV!H18+DV!H20</f>
        <v>0</v>
      </c>
      <c r="J6">
        <f>DV!I18+DV!I20</f>
        <v>0</v>
      </c>
      <c r="K6">
        <f>DV!J18+DV!J20</f>
        <v>0</v>
      </c>
      <c r="L6">
        <f>DV!K18+DV!K20</f>
        <v>0</v>
      </c>
      <c r="M6">
        <f>DV!L18+DV!L20</f>
        <v>0</v>
      </c>
      <c r="N6">
        <f>DV!M18+DV!M20</f>
        <v>0</v>
      </c>
      <c r="O6">
        <f>DV!N18+DV!N20</f>
        <v>0</v>
      </c>
      <c r="P6">
        <f>DV!O18+DV!O20</f>
        <v>0</v>
      </c>
      <c r="Q6">
        <f>DV!P18+DV!P20</f>
        <v>0</v>
      </c>
      <c r="R6">
        <f>DV!Q18+DV!Q20</f>
        <v>0</v>
      </c>
      <c r="S6">
        <f>DV!R18+DV!R20</f>
        <v>0</v>
      </c>
      <c r="T6">
        <f>DV!S18+DV!S20</f>
        <v>0</v>
      </c>
      <c r="U6">
        <f>DV!T18+DV!T20</f>
        <v>0</v>
      </c>
      <c r="V6">
        <f>DV!U18+DV!U20</f>
        <v>0</v>
      </c>
      <c r="W6">
        <f>DV!V18+DV!V20</f>
        <v>0</v>
      </c>
      <c r="X6">
        <f>DV!W18+DV!W20</f>
        <v>0</v>
      </c>
      <c r="Y6">
        <f>DV!X18+DV!X20</f>
        <v>0</v>
      </c>
      <c r="Z6">
        <f>DV!Y18+DV!Y20</f>
        <v>0</v>
      </c>
      <c r="AA6">
        <f>DV!Z18+DV!Z20</f>
        <v>0</v>
      </c>
      <c r="AB6">
        <f>DV!AA18+DV!AA20</f>
        <v>0</v>
      </c>
      <c r="AC6">
        <f>DV!AB18+DV!AB20</f>
        <v>0</v>
      </c>
      <c r="AD6">
        <f>DV!AC18+DV!AC20</f>
        <v>0</v>
      </c>
      <c r="AE6">
        <f>DV!AD18+DV!AD20</f>
        <v>0</v>
      </c>
      <c r="AF6">
        <f>DV!AE18+DV!AE20</f>
        <v>0</v>
      </c>
      <c r="AG6">
        <f>DV!AF18+DV!AF20</f>
        <v>0</v>
      </c>
      <c r="AH6">
        <f>DV!AG18+DV!AG20</f>
        <v>0</v>
      </c>
      <c r="AI6">
        <f>DV!AH18+DV!AH20</f>
        <v>0</v>
      </c>
      <c r="AJ6">
        <f>DV!AI18+DV!AI20</f>
        <v>0</v>
      </c>
      <c r="AK6">
        <f>DV!AJ18+DV!AJ20</f>
        <v>0</v>
      </c>
      <c r="AL6">
        <f>DV!AK18+DV!AK20</f>
        <v>0</v>
      </c>
      <c r="AM6">
        <f>DV!AL18+DV!AL20</f>
        <v>0</v>
      </c>
      <c r="AN6">
        <f>DV!AM18+DV!AM20</f>
        <v>0</v>
      </c>
      <c r="AO6">
        <f>DV!AN18+DV!AN20</f>
        <v>0</v>
      </c>
      <c r="AP6">
        <f>DV!AO18+DV!AO20</f>
        <v>0</v>
      </c>
      <c r="AQ6">
        <f>DV!AP18+DV!AP20</f>
        <v>0</v>
      </c>
      <c r="AR6">
        <f>DV!AQ18+DV!AQ20</f>
        <v>0</v>
      </c>
      <c r="AS6">
        <f>DV!AR18+DV!AR20</f>
        <v>0</v>
      </c>
      <c r="AT6">
        <f>DV!AS18+DV!AS20</f>
        <v>0</v>
      </c>
      <c r="AU6">
        <f>DV!AT18+DV!AT20</f>
        <v>0</v>
      </c>
      <c r="AV6">
        <f>DV!AU18+DV!AU20</f>
        <v>0</v>
      </c>
      <c r="AW6">
        <f>DV!AV18+DV!AV20</f>
        <v>0</v>
      </c>
      <c r="AX6">
        <f>DV!AW18+DV!AW20</f>
        <v>0</v>
      </c>
      <c r="AY6">
        <f>DV!AX18+DV!AX20</f>
        <v>0</v>
      </c>
      <c r="AZ6">
        <f>DV!AY18+DV!AY20</f>
        <v>0</v>
      </c>
      <c r="BA6">
        <f>DV!AZ18+DV!AZ20</f>
        <v>0</v>
      </c>
      <c r="BB6">
        <f>DV!BA18+DV!BA20</f>
        <v>0</v>
      </c>
      <c r="BC6">
        <f>DV!BB18+DV!BB20</f>
        <v>0</v>
      </c>
      <c r="BD6">
        <f>DV!BC18+DV!BC20</f>
        <v>0</v>
      </c>
      <c r="BE6">
        <f>DV!BD18+DV!BD20</f>
        <v>0</v>
      </c>
      <c r="BF6">
        <f>DV!BE18+DV!BE20</f>
        <v>0</v>
      </c>
      <c r="BG6">
        <f>DV!BF18+DV!BF20</f>
        <v>0</v>
      </c>
      <c r="BH6">
        <f>DV!BG18+DV!BG20</f>
        <v>0</v>
      </c>
      <c r="BI6">
        <f>DV!BH18+DV!BH20</f>
        <v>0</v>
      </c>
      <c r="BJ6">
        <f>DV!BI18+DV!BI20</f>
        <v>0</v>
      </c>
      <c r="BK6">
        <f>DV!BJ18+DV!BJ20</f>
        <v>0</v>
      </c>
      <c r="BL6">
        <f>DV!BK18+DV!BK20</f>
        <v>0</v>
      </c>
    </row>
    <row r="7" spans="1:181">
      <c r="A7">
        <v>1</v>
      </c>
      <c r="B7" s="5" t="str">
        <f>TEXT(VLOOKUP(A7,СВ[],2),"чч:мм")&amp;"-"&amp;TEXT(VLOOKUP(A7,СВ[],3),"чч:мм")</f>
        <v>08:30-09:15</v>
      </c>
      <c r="C7" s="6">
        <v>4</v>
      </c>
      <c r="D7" s="5" t="str">
        <f>TEXT(VLOOKUP(C7,СВ[],2),"чч:мм")&amp;"-"&amp;TEXT(VLOOKUP(C7,СВ[],3),"чч:мм")</f>
        <v>09:00-09:45</v>
      </c>
      <c r="E7">
        <f>DV!D18+DV!D21</f>
        <v>0</v>
      </c>
      <c r="F7">
        <f>DV!E18+DV!E21</f>
        <v>0</v>
      </c>
      <c r="G7">
        <f>DV!F18+DV!F21</f>
        <v>0</v>
      </c>
      <c r="H7">
        <f>DV!G18+DV!G21</f>
        <v>0</v>
      </c>
      <c r="I7">
        <f>DV!H18+DV!H21</f>
        <v>0</v>
      </c>
      <c r="J7">
        <f>DV!I18+DV!I21</f>
        <v>0</v>
      </c>
      <c r="K7">
        <f>DV!J18+DV!J21</f>
        <v>0</v>
      </c>
      <c r="L7">
        <f>DV!K18+DV!K21</f>
        <v>0</v>
      </c>
      <c r="M7">
        <f>DV!L18+DV!L21</f>
        <v>0</v>
      </c>
      <c r="N7">
        <f>DV!M18+DV!M21</f>
        <v>0</v>
      </c>
      <c r="O7">
        <f>DV!N18+DV!N21</f>
        <v>0</v>
      </c>
      <c r="P7">
        <f>DV!O18+DV!O21</f>
        <v>0</v>
      </c>
      <c r="Q7">
        <f>DV!P18+DV!P21</f>
        <v>0</v>
      </c>
      <c r="R7">
        <f>DV!Q18+DV!Q21</f>
        <v>0</v>
      </c>
      <c r="S7">
        <f>DV!R18+DV!R21</f>
        <v>0</v>
      </c>
      <c r="T7">
        <f>DV!S18+DV!S21</f>
        <v>0</v>
      </c>
      <c r="U7">
        <f>DV!T18+DV!T21</f>
        <v>0</v>
      </c>
      <c r="V7">
        <f>DV!U18+DV!U21</f>
        <v>0</v>
      </c>
      <c r="W7">
        <f>DV!V18+DV!V21</f>
        <v>0</v>
      </c>
      <c r="X7">
        <f>DV!W18+DV!W21</f>
        <v>0</v>
      </c>
      <c r="Y7">
        <f>DV!X18+DV!X21</f>
        <v>0</v>
      </c>
      <c r="Z7">
        <f>DV!Y18+DV!Y21</f>
        <v>0</v>
      </c>
      <c r="AA7">
        <f>DV!Z18+DV!Z21</f>
        <v>0</v>
      </c>
      <c r="AB7">
        <f>DV!AA18+DV!AA21</f>
        <v>0</v>
      </c>
      <c r="AC7">
        <f>DV!AB18+DV!AB21</f>
        <v>0</v>
      </c>
      <c r="AD7">
        <f>DV!AC18+DV!AC21</f>
        <v>0</v>
      </c>
      <c r="AE7">
        <f>DV!AD18+DV!AD21</f>
        <v>0</v>
      </c>
      <c r="AF7">
        <f>DV!AE18+DV!AE21</f>
        <v>0</v>
      </c>
      <c r="AG7">
        <f>DV!AF18+DV!AF21</f>
        <v>0</v>
      </c>
      <c r="AH7">
        <f>DV!AG18+DV!AG21</f>
        <v>0</v>
      </c>
      <c r="AI7">
        <f>DV!AH18+DV!AH21</f>
        <v>0</v>
      </c>
      <c r="AJ7">
        <f>DV!AI18+DV!AI21</f>
        <v>0</v>
      </c>
      <c r="AK7">
        <f>DV!AJ18+DV!AJ21</f>
        <v>0</v>
      </c>
      <c r="AL7">
        <f>DV!AK18+DV!AK21</f>
        <v>0</v>
      </c>
      <c r="AM7">
        <f>DV!AL18+DV!AL21</f>
        <v>0</v>
      </c>
      <c r="AN7">
        <f>DV!AM18+DV!AM21</f>
        <v>0</v>
      </c>
      <c r="AO7">
        <f>DV!AN18+DV!AN21</f>
        <v>0</v>
      </c>
      <c r="AP7">
        <f>DV!AO18+DV!AO21</f>
        <v>0</v>
      </c>
      <c r="AQ7">
        <f>DV!AP18+DV!AP21</f>
        <v>0</v>
      </c>
      <c r="AR7">
        <f>DV!AQ18+DV!AQ21</f>
        <v>0</v>
      </c>
      <c r="AS7">
        <f>DV!AR18+DV!AR21</f>
        <v>0</v>
      </c>
      <c r="AT7">
        <f>DV!AS18+DV!AS21</f>
        <v>0</v>
      </c>
      <c r="AU7">
        <f>DV!AT18+DV!AT21</f>
        <v>0</v>
      </c>
      <c r="AV7">
        <f>DV!AU18+DV!AU21</f>
        <v>0</v>
      </c>
      <c r="AW7">
        <f>DV!AV18+DV!AV21</f>
        <v>0</v>
      </c>
      <c r="AX7">
        <f>DV!AW18+DV!AW21</f>
        <v>0</v>
      </c>
      <c r="AY7">
        <f>DV!AX18+DV!AX21</f>
        <v>0</v>
      </c>
      <c r="AZ7">
        <f>DV!AY18+DV!AY21</f>
        <v>0</v>
      </c>
      <c r="BA7">
        <f>DV!AZ18+DV!AZ21</f>
        <v>0</v>
      </c>
      <c r="BB7">
        <f>DV!BA18+DV!BA21</f>
        <v>0</v>
      </c>
      <c r="BC7">
        <f>DV!BB18+DV!BB21</f>
        <v>0</v>
      </c>
      <c r="BD7">
        <f>DV!BC18+DV!BC21</f>
        <v>0</v>
      </c>
      <c r="BE7">
        <f>DV!BD18+DV!BD21</f>
        <v>0</v>
      </c>
      <c r="BF7">
        <f>DV!BE18+DV!BE21</f>
        <v>0</v>
      </c>
      <c r="BG7">
        <f>DV!BF18+DV!BF21</f>
        <v>0</v>
      </c>
      <c r="BH7">
        <f>DV!BG18+DV!BG21</f>
        <v>0</v>
      </c>
      <c r="BI7">
        <f>DV!BH18+DV!BH21</f>
        <v>0</v>
      </c>
      <c r="BJ7">
        <f>DV!BI18+DV!BI21</f>
        <v>0</v>
      </c>
      <c r="BK7">
        <f>DV!BJ18+DV!BJ21</f>
        <v>0</v>
      </c>
      <c r="BL7">
        <f>DV!BK18+DV!BK21</f>
        <v>0</v>
      </c>
    </row>
    <row r="8" spans="1:181">
      <c r="A8">
        <v>1</v>
      </c>
      <c r="B8" s="5" t="str">
        <f>TEXT(VLOOKUP(A8,СВ[],2),"чч:мм")&amp;"-"&amp;TEXT(VLOOKUP(A8,СВ[],3),"чч:мм")</f>
        <v>08:30-09:15</v>
      </c>
      <c r="C8" s="6">
        <v>5</v>
      </c>
      <c r="D8" s="5" t="str">
        <f>TEXT(VLOOKUP(C8,СВ[],2),"чч:мм")&amp;"-"&amp;TEXT(VLOOKUP(C8,СВ[],3),"чч:мм")</f>
        <v>09:00-10:00</v>
      </c>
      <c r="E8">
        <f>DV!D18+DV!D22</f>
        <v>0</v>
      </c>
      <c r="F8">
        <f>DV!E18+DV!E22</f>
        <v>0</v>
      </c>
      <c r="G8">
        <f>DV!F18+DV!F22</f>
        <v>0</v>
      </c>
      <c r="H8">
        <f>DV!G18+DV!G22</f>
        <v>0</v>
      </c>
      <c r="I8">
        <f>DV!H18+DV!H22</f>
        <v>0</v>
      </c>
      <c r="J8">
        <f>DV!I18+DV!I22</f>
        <v>0</v>
      </c>
      <c r="K8">
        <f>DV!J18+DV!J22</f>
        <v>0</v>
      </c>
      <c r="L8">
        <f>DV!K18+DV!K22</f>
        <v>0</v>
      </c>
      <c r="M8">
        <f>DV!L18+DV!L22</f>
        <v>0</v>
      </c>
      <c r="N8">
        <f>DV!M18+DV!M22</f>
        <v>0</v>
      </c>
      <c r="O8">
        <f>DV!N18+DV!N22</f>
        <v>0</v>
      </c>
      <c r="P8">
        <f>DV!O18+DV!O22</f>
        <v>0</v>
      </c>
      <c r="Q8">
        <f>DV!P18+DV!P22</f>
        <v>0</v>
      </c>
      <c r="R8">
        <f>DV!Q18+DV!Q22</f>
        <v>0</v>
      </c>
      <c r="S8">
        <f>DV!R18+DV!R22</f>
        <v>0</v>
      </c>
      <c r="T8">
        <f>DV!S18+DV!S22</f>
        <v>0</v>
      </c>
      <c r="U8">
        <f>DV!T18+DV!T22</f>
        <v>0</v>
      </c>
      <c r="V8">
        <f>DV!U18+DV!U22</f>
        <v>0</v>
      </c>
      <c r="W8">
        <f>DV!V18+DV!V22</f>
        <v>0</v>
      </c>
      <c r="X8">
        <f>DV!W18+DV!W22</f>
        <v>0</v>
      </c>
      <c r="Y8">
        <f>DV!X18+DV!X22</f>
        <v>0</v>
      </c>
      <c r="Z8">
        <f>DV!Y18+DV!Y22</f>
        <v>0</v>
      </c>
      <c r="AA8">
        <f>DV!Z18+DV!Z22</f>
        <v>0</v>
      </c>
      <c r="AB8">
        <f>DV!AA18+DV!AA22</f>
        <v>0</v>
      </c>
      <c r="AC8">
        <f>DV!AB18+DV!AB22</f>
        <v>0</v>
      </c>
      <c r="AD8">
        <f>DV!AC18+DV!AC22</f>
        <v>0</v>
      </c>
      <c r="AE8">
        <f>DV!AD18+DV!AD22</f>
        <v>0</v>
      </c>
      <c r="AF8">
        <f>DV!AE18+DV!AE22</f>
        <v>0</v>
      </c>
      <c r="AG8">
        <f>DV!AF18+DV!AF22</f>
        <v>0</v>
      </c>
      <c r="AH8">
        <f>DV!AG18+DV!AG22</f>
        <v>0</v>
      </c>
      <c r="AI8">
        <f>DV!AH18+DV!AH22</f>
        <v>0</v>
      </c>
      <c r="AJ8">
        <f>DV!AI18+DV!AI22</f>
        <v>0</v>
      </c>
      <c r="AK8">
        <f>DV!AJ18+DV!AJ22</f>
        <v>0</v>
      </c>
      <c r="AL8">
        <f>DV!AK18+DV!AK22</f>
        <v>0</v>
      </c>
      <c r="AM8">
        <f>DV!AL18+DV!AL22</f>
        <v>0</v>
      </c>
      <c r="AN8">
        <f>DV!AM18+DV!AM22</f>
        <v>0</v>
      </c>
      <c r="AO8">
        <f>DV!AN18+DV!AN22</f>
        <v>0</v>
      </c>
      <c r="AP8">
        <f>DV!AO18+DV!AO22</f>
        <v>0</v>
      </c>
      <c r="AQ8">
        <f>DV!AP18+DV!AP22</f>
        <v>0</v>
      </c>
      <c r="AR8">
        <f>DV!AQ18+DV!AQ22</f>
        <v>0</v>
      </c>
      <c r="AS8">
        <f>DV!AR18+DV!AR22</f>
        <v>0</v>
      </c>
      <c r="AT8">
        <f>DV!AS18+DV!AS22</f>
        <v>0</v>
      </c>
      <c r="AU8">
        <f>DV!AT18+DV!AT22</f>
        <v>0</v>
      </c>
      <c r="AV8">
        <f>DV!AU18+DV!AU22</f>
        <v>0</v>
      </c>
      <c r="AW8">
        <f>DV!AV18+DV!AV22</f>
        <v>0</v>
      </c>
      <c r="AX8">
        <f>DV!AW18+DV!AW22</f>
        <v>0</v>
      </c>
      <c r="AY8">
        <f>DV!AX18+DV!AX22</f>
        <v>0</v>
      </c>
      <c r="AZ8">
        <f>DV!AY18+DV!AY22</f>
        <v>0</v>
      </c>
      <c r="BA8">
        <f>DV!AZ18+DV!AZ22</f>
        <v>0</v>
      </c>
      <c r="BB8">
        <f>DV!BA18+DV!BA22</f>
        <v>0</v>
      </c>
      <c r="BC8">
        <f>DV!BB18+DV!BB22</f>
        <v>0</v>
      </c>
      <c r="BD8">
        <f>DV!BC18+DV!BC22</f>
        <v>0</v>
      </c>
      <c r="BE8">
        <f>DV!BD18+DV!BD22</f>
        <v>0</v>
      </c>
      <c r="BF8">
        <f>DV!BE18+DV!BE22</f>
        <v>0</v>
      </c>
      <c r="BG8">
        <f>DV!BF18+DV!BF22</f>
        <v>0</v>
      </c>
      <c r="BH8">
        <f>DV!BG18+DV!BG22</f>
        <v>0</v>
      </c>
      <c r="BI8">
        <f>DV!BH18+DV!BH22</f>
        <v>0</v>
      </c>
      <c r="BJ8">
        <f>DV!BI18+DV!BI22</f>
        <v>0</v>
      </c>
      <c r="BK8">
        <f>DV!BJ18+DV!BJ22</f>
        <v>0</v>
      </c>
      <c r="BL8">
        <f>DV!BK18+DV!BK22</f>
        <v>0</v>
      </c>
    </row>
    <row r="9" spans="1:181">
      <c r="A9">
        <v>2</v>
      </c>
      <c r="B9" s="5" t="str">
        <f>TEXT(VLOOKUP(A9,СВ[],2),"чч:мм")&amp;"-"&amp;TEXT(VLOOKUP(A9,СВ[],3),"чч:мм")</f>
        <v>08:30-09:30</v>
      </c>
      <c r="C9" s="6">
        <v>3</v>
      </c>
      <c r="D9" s="5" t="str">
        <f>TEXT(VLOOKUP(C9,СВ[],2),"чч:мм")&amp;"-"&amp;TEXT(VLOOKUP(C9,СВ[],3),"чч:мм")</f>
        <v>08:45-09:30</v>
      </c>
      <c r="E9">
        <f>DV!D19+DV!D20</f>
        <v>0</v>
      </c>
      <c r="F9">
        <f>DV!E19+DV!E20</f>
        <v>0</v>
      </c>
      <c r="G9">
        <f>DV!F19+DV!F20</f>
        <v>0</v>
      </c>
      <c r="H9">
        <f>DV!G19+DV!G20</f>
        <v>0</v>
      </c>
      <c r="I9">
        <f>DV!H19+DV!H20</f>
        <v>0</v>
      </c>
      <c r="J9">
        <f>DV!I19+DV!I20</f>
        <v>0</v>
      </c>
      <c r="K9">
        <f>DV!J19+DV!J20</f>
        <v>0</v>
      </c>
      <c r="L9">
        <f>DV!K19+DV!K20</f>
        <v>0</v>
      </c>
      <c r="M9">
        <f>DV!L19+DV!L20</f>
        <v>0</v>
      </c>
      <c r="N9">
        <f>DV!M19+DV!M20</f>
        <v>0</v>
      </c>
      <c r="O9">
        <f>DV!N19+DV!N20</f>
        <v>0</v>
      </c>
      <c r="P9">
        <f>DV!O19+DV!O20</f>
        <v>0</v>
      </c>
      <c r="Q9">
        <f>DV!P19+DV!P20</f>
        <v>0</v>
      </c>
      <c r="R9">
        <f>DV!Q19+DV!Q20</f>
        <v>0</v>
      </c>
      <c r="S9">
        <f>DV!R19+DV!R20</f>
        <v>0</v>
      </c>
      <c r="T9">
        <f>DV!S19+DV!S20</f>
        <v>0</v>
      </c>
      <c r="U9">
        <f>DV!T19+DV!T20</f>
        <v>0</v>
      </c>
      <c r="V9">
        <f>DV!U19+DV!U20</f>
        <v>0</v>
      </c>
      <c r="W9">
        <f>DV!V19+DV!V20</f>
        <v>0</v>
      </c>
      <c r="X9">
        <f>DV!W19+DV!W20</f>
        <v>0</v>
      </c>
      <c r="Y9">
        <f>DV!X19+DV!X20</f>
        <v>0</v>
      </c>
      <c r="Z9">
        <f>DV!Y19+DV!Y20</f>
        <v>0</v>
      </c>
      <c r="AA9">
        <f>DV!Z19+DV!Z20</f>
        <v>0</v>
      </c>
      <c r="AB9">
        <f>DV!AA19+DV!AA20</f>
        <v>0</v>
      </c>
      <c r="AC9">
        <f>DV!AB19+DV!AB20</f>
        <v>0</v>
      </c>
      <c r="AD9">
        <f>DV!AC19+DV!AC20</f>
        <v>0</v>
      </c>
      <c r="AE9">
        <f>DV!AD19+DV!AD20</f>
        <v>0</v>
      </c>
      <c r="AF9">
        <f>DV!AE19+DV!AE20</f>
        <v>0</v>
      </c>
      <c r="AG9">
        <f>DV!AF19+DV!AF20</f>
        <v>0</v>
      </c>
      <c r="AH9">
        <f>DV!AG19+DV!AG20</f>
        <v>0</v>
      </c>
      <c r="AI9">
        <f>DV!AH19+DV!AH20</f>
        <v>0</v>
      </c>
      <c r="AJ9">
        <f>DV!AI19+DV!AI20</f>
        <v>0</v>
      </c>
      <c r="AK9">
        <f>DV!AJ19+DV!AJ20</f>
        <v>0</v>
      </c>
      <c r="AL9">
        <f>DV!AK19+DV!AK20</f>
        <v>0</v>
      </c>
      <c r="AM9">
        <f>DV!AL19+DV!AL20</f>
        <v>0</v>
      </c>
      <c r="AN9">
        <f>DV!AM19+DV!AM20</f>
        <v>0</v>
      </c>
      <c r="AO9">
        <f>DV!AN19+DV!AN20</f>
        <v>0</v>
      </c>
      <c r="AP9">
        <f>DV!AO19+DV!AO20</f>
        <v>0</v>
      </c>
      <c r="AQ9">
        <f>DV!AP19+DV!AP20</f>
        <v>0</v>
      </c>
      <c r="AR9">
        <f>DV!AQ19+DV!AQ20</f>
        <v>0</v>
      </c>
      <c r="AS9">
        <f>DV!AR19+DV!AR20</f>
        <v>0</v>
      </c>
      <c r="AT9">
        <f>DV!AS19+DV!AS20</f>
        <v>0</v>
      </c>
      <c r="AU9">
        <f>DV!AT19+DV!AT20</f>
        <v>0</v>
      </c>
      <c r="AV9">
        <f>DV!AU19+DV!AU20</f>
        <v>0</v>
      </c>
      <c r="AW9">
        <f>DV!AV19+DV!AV20</f>
        <v>0</v>
      </c>
      <c r="AX9">
        <f>DV!AW19+DV!AW20</f>
        <v>0</v>
      </c>
      <c r="AY9">
        <f>DV!AX19+DV!AX20</f>
        <v>0</v>
      </c>
      <c r="AZ9">
        <f>DV!AY19+DV!AY20</f>
        <v>0</v>
      </c>
      <c r="BA9">
        <f>DV!AZ19+DV!AZ20</f>
        <v>0</v>
      </c>
      <c r="BB9">
        <f>DV!BA19+DV!BA20</f>
        <v>0</v>
      </c>
      <c r="BC9">
        <f>DV!BB19+DV!BB20</f>
        <v>0</v>
      </c>
      <c r="BD9">
        <f>DV!BC19+DV!BC20</f>
        <v>0</v>
      </c>
      <c r="BE9">
        <f>DV!BD19+DV!BD20</f>
        <v>0</v>
      </c>
      <c r="BF9">
        <f>DV!BE19+DV!BE20</f>
        <v>0</v>
      </c>
      <c r="BG9">
        <f>DV!BF19+DV!BF20</f>
        <v>0</v>
      </c>
      <c r="BH9">
        <f>DV!BG19+DV!BG20</f>
        <v>0</v>
      </c>
      <c r="BI9">
        <f>DV!BH19+DV!BH20</f>
        <v>0</v>
      </c>
      <c r="BJ9">
        <f>DV!BI19+DV!BI20</f>
        <v>0</v>
      </c>
      <c r="BK9">
        <f>DV!BJ19+DV!BJ20</f>
        <v>0</v>
      </c>
      <c r="BL9">
        <f>DV!BK19+DV!BK20</f>
        <v>0</v>
      </c>
    </row>
    <row r="10" spans="1:181">
      <c r="A10">
        <v>2</v>
      </c>
      <c r="B10" s="5" t="str">
        <f>TEXT(VLOOKUP(A10,СВ[],2),"чч:мм")&amp;"-"&amp;TEXT(VLOOKUP(A10,СВ[],3),"чч:мм")</f>
        <v>08:30-09:30</v>
      </c>
      <c r="C10" s="6">
        <v>4</v>
      </c>
      <c r="D10" s="5" t="str">
        <f>TEXT(VLOOKUP(C10,СВ[],2),"чч:мм")&amp;"-"&amp;TEXT(VLOOKUP(C10,СВ[],3),"чч:мм")</f>
        <v>09:00-09:45</v>
      </c>
      <c r="E10">
        <f>DV!D19+DV!D21</f>
        <v>0</v>
      </c>
      <c r="F10">
        <f>DV!E19+DV!E21</f>
        <v>0</v>
      </c>
      <c r="G10">
        <f>DV!F19+DV!F21</f>
        <v>0</v>
      </c>
      <c r="H10">
        <f>DV!G19+DV!G21</f>
        <v>0</v>
      </c>
      <c r="I10">
        <f>DV!H19+DV!H21</f>
        <v>0</v>
      </c>
      <c r="J10">
        <f>DV!I19+DV!I21</f>
        <v>0</v>
      </c>
      <c r="K10">
        <f>DV!J19+DV!J21</f>
        <v>0</v>
      </c>
      <c r="L10">
        <f>DV!K19+DV!K21</f>
        <v>0</v>
      </c>
      <c r="M10">
        <f>DV!L19+DV!L21</f>
        <v>0</v>
      </c>
      <c r="N10">
        <f>DV!M19+DV!M21</f>
        <v>0</v>
      </c>
      <c r="O10">
        <f>DV!N19+DV!N21</f>
        <v>0</v>
      </c>
      <c r="P10">
        <f>DV!O19+DV!O21</f>
        <v>0</v>
      </c>
      <c r="Q10">
        <f>DV!P19+DV!P21</f>
        <v>0</v>
      </c>
      <c r="R10">
        <f>DV!Q19+DV!Q21</f>
        <v>0</v>
      </c>
      <c r="S10">
        <f>DV!R19+DV!R21</f>
        <v>0</v>
      </c>
      <c r="T10">
        <f>DV!S19+DV!S21</f>
        <v>0</v>
      </c>
      <c r="U10">
        <f>DV!T19+DV!T21</f>
        <v>0</v>
      </c>
      <c r="V10">
        <f>DV!U19+DV!U21</f>
        <v>0</v>
      </c>
      <c r="W10">
        <f>DV!V19+DV!V21</f>
        <v>0</v>
      </c>
      <c r="X10">
        <f>DV!W19+DV!W21</f>
        <v>0</v>
      </c>
      <c r="Y10">
        <f>DV!X19+DV!X21</f>
        <v>0</v>
      </c>
      <c r="Z10">
        <f>DV!Y19+DV!Y21</f>
        <v>0</v>
      </c>
      <c r="AA10">
        <f>DV!Z19+DV!Z21</f>
        <v>0</v>
      </c>
      <c r="AB10">
        <f>DV!AA19+DV!AA21</f>
        <v>0</v>
      </c>
      <c r="AC10">
        <f>DV!AB19+DV!AB21</f>
        <v>0</v>
      </c>
      <c r="AD10">
        <f>DV!AC19+DV!AC21</f>
        <v>0</v>
      </c>
      <c r="AE10">
        <f>DV!AD19+DV!AD21</f>
        <v>0</v>
      </c>
      <c r="AF10">
        <f>DV!AE19+DV!AE21</f>
        <v>0</v>
      </c>
      <c r="AG10">
        <f>DV!AF19+DV!AF21</f>
        <v>0</v>
      </c>
      <c r="AH10">
        <f>DV!AG19+DV!AG21</f>
        <v>0</v>
      </c>
      <c r="AI10">
        <f>DV!AH19+DV!AH21</f>
        <v>0</v>
      </c>
      <c r="AJ10">
        <f>DV!AI19+DV!AI21</f>
        <v>0</v>
      </c>
      <c r="AK10">
        <f>DV!AJ19+DV!AJ21</f>
        <v>0</v>
      </c>
      <c r="AL10">
        <f>DV!AK19+DV!AK21</f>
        <v>0</v>
      </c>
      <c r="AM10">
        <f>DV!AL19+DV!AL21</f>
        <v>0</v>
      </c>
      <c r="AN10">
        <f>DV!AM19+DV!AM21</f>
        <v>0</v>
      </c>
      <c r="AO10">
        <f>DV!AN19+DV!AN21</f>
        <v>0</v>
      </c>
      <c r="AP10">
        <f>DV!AO19+DV!AO21</f>
        <v>0</v>
      </c>
      <c r="AQ10">
        <f>DV!AP19+DV!AP21</f>
        <v>0</v>
      </c>
      <c r="AR10">
        <f>DV!AQ19+DV!AQ21</f>
        <v>0</v>
      </c>
      <c r="AS10">
        <f>DV!AR19+DV!AR21</f>
        <v>0</v>
      </c>
      <c r="AT10">
        <f>DV!AS19+DV!AS21</f>
        <v>0</v>
      </c>
      <c r="AU10">
        <f>DV!AT19+DV!AT21</f>
        <v>0</v>
      </c>
      <c r="AV10">
        <f>DV!AU19+DV!AU21</f>
        <v>0</v>
      </c>
      <c r="AW10">
        <f>DV!AV19+DV!AV21</f>
        <v>0</v>
      </c>
      <c r="AX10">
        <f>DV!AW19+DV!AW21</f>
        <v>0</v>
      </c>
      <c r="AY10">
        <f>DV!AX19+DV!AX21</f>
        <v>0</v>
      </c>
      <c r="AZ10">
        <f>DV!AY19+DV!AY21</f>
        <v>0</v>
      </c>
      <c r="BA10">
        <f>DV!AZ19+DV!AZ21</f>
        <v>0</v>
      </c>
      <c r="BB10">
        <f>DV!BA19+DV!BA21</f>
        <v>0</v>
      </c>
      <c r="BC10">
        <f>DV!BB19+DV!BB21</f>
        <v>0</v>
      </c>
      <c r="BD10">
        <f>DV!BC19+DV!BC21</f>
        <v>0</v>
      </c>
      <c r="BE10">
        <f>DV!BD19+DV!BD21</f>
        <v>0</v>
      </c>
      <c r="BF10">
        <f>DV!BE19+DV!BE21</f>
        <v>0</v>
      </c>
      <c r="BG10">
        <f>DV!BF19+DV!BF21</f>
        <v>0</v>
      </c>
      <c r="BH10">
        <f>DV!BG19+DV!BG21</f>
        <v>0</v>
      </c>
      <c r="BI10">
        <f>DV!BH19+DV!BH21</f>
        <v>0</v>
      </c>
      <c r="BJ10">
        <f>DV!BI19+DV!BI21</f>
        <v>0</v>
      </c>
      <c r="BK10">
        <f>DV!BJ19+DV!BJ21</f>
        <v>0</v>
      </c>
      <c r="BL10">
        <f>DV!BK19+DV!BK21</f>
        <v>0</v>
      </c>
    </row>
    <row r="11" spans="1:181">
      <c r="A11">
        <v>2</v>
      </c>
      <c r="B11" s="5" t="str">
        <f>TEXT(VLOOKUP(A11,СВ[],2),"чч:мм")&amp;"-"&amp;TEXT(VLOOKUP(A11,СВ[],3),"чч:мм")</f>
        <v>08:30-09:30</v>
      </c>
      <c r="C11" s="6">
        <v>5</v>
      </c>
      <c r="D11" s="5" t="str">
        <f>TEXT(VLOOKUP(C11,СВ[],2),"чч:мм")&amp;"-"&amp;TEXT(VLOOKUP(C11,СВ[],3),"чч:мм")</f>
        <v>09:00-10:00</v>
      </c>
      <c r="E11">
        <f>DV!D19+DV!D22</f>
        <v>0</v>
      </c>
      <c r="F11">
        <f>DV!E19+DV!E22</f>
        <v>0</v>
      </c>
      <c r="G11">
        <f>DV!F19+DV!F22</f>
        <v>0</v>
      </c>
      <c r="H11">
        <f>DV!G19+DV!G22</f>
        <v>0</v>
      </c>
      <c r="I11">
        <f>DV!H19+DV!H22</f>
        <v>0</v>
      </c>
      <c r="J11">
        <f>DV!I19+DV!I22</f>
        <v>0</v>
      </c>
      <c r="K11">
        <f>DV!J19+DV!J22</f>
        <v>0</v>
      </c>
      <c r="L11">
        <f>DV!K19+DV!K22</f>
        <v>0</v>
      </c>
      <c r="M11">
        <f>DV!L19+DV!L22</f>
        <v>0</v>
      </c>
      <c r="N11">
        <f>DV!M19+DV!M22</f>
        <v>0</v>
      </c>
      <c r="O11">
        <f>DV!N19+DV!N22</f>
        <v>0</v>
      </c>
      <c r="P11">
        <f>DV!O19+DV!O22</f>
        <v>0</v>
      </c>
      <c r="Q11">
        <f>DV!P19+DV!P22</f>
        <v>0</v>
      </c>
      <c r="R11">
        <f>DV!Q19+DV!Q22</f>
        <v>0</v>
      </c>
      <c r="S11">
        <f>DV!R19+DV!R22</f>
        <v>0</v>
      </c>
      <c r="T11">
        <f>DV!S19+DV!S22</f>
        <v>0</v>
      </c>
      <c r="U11">
        <f>DV!T19+DV!T22</f>
        <v>0</v>
      </c>
      <c r="V11">
        <f>DV!U19+DV!U22</f>
        <v>0</v>
      </c>
      <c r="W11">
        <f>DV!V19+DV!V22</f>
        <v>0</v>
      </c>
      <c r="X11">
        <f>DV!W19+DV!W22</f>
        <v>0</v>
      </c>
      <c r="Y11">
        <f>DV!X19+DV!X22</f>
        <v>0</v>
      </c>
      <c r="Z11">
        <f>DV!Y19+DV!Y22</f>
        <v>0</v>
      </c>
      <c r="AA11">
        <f>DV!Z19+DV!Z22</f>
        <v>0</v>
      </c>
      <c r="AB11">
        <f>DV!AA19+DV!AA22</f>
        <v>0</v>
      </c>
      <c r="AC11">
        <f>DV!AB19+DV!AB22</f>
        <v>0</v>
      </c>
      <c r="AD11">
        <f>DV!AC19+DV!AC22</f>
        <v>0</v>
      </c>
      <c r="AE11">
        <f>DV!AD19+DV!AD22</f>
        <v>0</v>
      </c>
      <c r="AF11">
        <f>DV!AE19+DV!AE22</f>
        <v>0</v>
      </c>
      <c r="AG11">
        <f>DV!AF19+DV!AF22</f>
        <v>0</v>
      </c>
      <c r="AH11">
        <f>DV!AG19+DV!AG22</f>
        <v>0</v>
      </c>
      <c r="AI11">
        <f>DV!AH19+DV!AH22</f>
        <v>0</v>
      </c>
      <c r="AJ11">
        <f>DV!AI19+DV!AI22</f>
        <v>0</v>
      </c>
      <c r="AK11">
        <f>DV!AJ19+DV!AJ22</f>
        <v>0</v>
      </c>
      <c r="AL11">
        <f>DV!AK19+DV!AK22</f>
        <v>0</v>
      </c>
      <c r="AM11">
        <f>DV!AL19+DV!AL22</f>
        <v>0</v>
      </c>
      <c r="AN11">
        <f>DV!AM19+DV!AM22</f>
        <v>0</v>
      </c>
      <c r="AO11">
        <f>DV!AN19+DV!AN22</f>
        <v>0</v>
      </c>
      <c r="AP11">
        <f>DV!AO19+DV!AO22</f>
        <v>0</v>
      </c>
      <c r="AQ11">
        <f>DV!AP19+DV!AP22</f>
        <v>0</v>
      </c>
      <c r="AR11">
        <f>DV!AQ19+DV!AQ22</f>
        <v>0</v>
      </c>
      <c r="AS11">
        <f>DV!AR19+DV!AR22</f>
        <v>0</v>
      </c>
      <c r="AT11">
        <f>DV!AS19+DV!AS22</f>
        <v>0</v>
      </c>
      <c r="AU11">
        <f>DV!AT19+DV!AT22</f>
        <v>0</v>
      </c>
      <c r="AV11">
        <f>DV!AU19+DV!AU22</f>
        <v>0</v>
      </c>
      <c r="AW11">
        <f>DV!AV19+DV!AV22</f>
        <v>0</v>
      </c>
      <c r="AX11">
        <f>DV!AW19+DV!AW22</f>
        <v>0</v>
      </c>
      <c r="AY11">
        <f>DV!AX19+DV!AX22</f>
        <v>0</v>
      </c>
      <c r="AZ11">
        <f>DV!AY19+DV!AY22</f>
        <v>0</v>
      </c>
      <c r="BA11">
        <f>DV!AZ19+DV!AZ22</f>
        <v>0</v>
      </c>
      <c r="BB11">
        <f>DV!BA19+DV!BA22</f>
        <v>0</v>
      </c>
      <c r="BC11">
        <f>DV!BB19+DV!BB22</f>
        <v>0</v>
      </c>
      <c r="BD11">
        <f>DV!BC19+DV!BC22</f>
        <v>0</v>
      </c>
      <c r="BE11">
        <f>DV!BD19+DV!BD22</f>
        <v>0</v>
      </c>
      <c r="BF11">
        <f>DV!BE19+DV!BE22</f>
        <v>0</v>
      </c>
      <c r="BG11">
        <f>DV!BF19+DV!BF22</f>
        <v>0</v>
      </c>
      <c r="BH11">
        <f>DV!BG19+DV!BG22</f>
        <v>0</v>
      </c>
      <c r="BI11">
        <f>DV!BH19+DV!BH22</f>
        <v>0</v>
      </c>
      <c r="BJ11">
        <f>DV!BI19+DV!BI22</f>
        <v>0</v>
      </c>
      <c r="BK11">
        <f>DV!BJ19+DV!BJ22</f>
        <v>0</v>
      </c>
      <c r="BL11">
        <f>DV!BK19+DV!BK22</f>
        <v>0</v>
      </c>
    </row>
    <row r="12" spans="1:181">
      <c r="A12">
        <v>2</v>
      </c>
      <c r="B12" s="5" t="str">
        <f>TEXT(VLOOKUP(A12,СВ[],2),"чч:мм")&amp;"-"&amp;TEXT(VLOOKUP(A12,СВ[],3),"чч:мм")</f>
        <v>08:30-09:30</v>
      </c>
      <c r="C12" s="6">
        <v>6</v>
      </c>
      <c r="D12" s="5" t="str">
        <f>TEXT(VLOOKUP(C12,СВ[],2),"чч:мм")&amp;"-"&amp;TEXT(VLOOKUP(C12,СВ[],3),"чч:мм")</f>
        <v>09:15-10:00</v>
      </c>
      <c r="E12">
        <f>DV!D19+DV!D23</f>
        <v>0</v>
      </c>
      <c r="F12">
        <f>DV!E19+DV!E23</f>
        <v>0</v>
      </c>
      <c r="G12">
        <f>DV!F19+DV!F23</f>
        <v>0</v>
      </c>
      <c r="H12">
        <f>DV!G19+DV!G23</f>
        <v>0</v>
      </c>
      <c r="I12">
        <f>DV!H19+DV!H23</f>
        <v>0</v>
      </c>
      <c r="J12">
        <f>DV!I19+DV!I23</f>
        <v>0</v>
      </c>
      <c r="K12">
        <f>DV!J19+DV!J23</f>
        <v>0</v>
      </c>
      <c r="L12">
        <f>DV!K19+DV!K23</f>
        <v>0</v>
      </c>
      <c r="M12">
        <f>DV!L19+DV!L23</f>
        <v>0</v>
      </c>
      <c r="N12">
        <f>DV!M19+DV!M23</f>
        <v>0</v>
      </c>
      <c r="O12">
        <f>DV!N19+DV!N23</f>
        <v>0</v>
      </c>
      <c r="P12">
        <f>DV!O19+DV!O23</f>
        <v>0</v>
      </c>
      <c r="Q12">
        <f>DV!P19+DV!P23</f>
        <v>0</v>
      </c>
      <c r="R12">
        <f>DV!Q19+DV!Q23</f>
        <v>0</v>
      </c>
      <c r="S12">
        <f>DV!R19+DV!R23</f>
        <v>0</v>
      </c>
      <c r="T12">
        <f>DV!S19+DV!S23</f>
        <v>0</v>
      </c>
      <c r="U12">
        <f>DV!T19+DV!T23</f>
        <v>0</v>
      </c>
      <c r="V12">
        <f>DV!U19+DV!U23</f>
        <v>0</v>
      </c>
      <c r="W12">
        <f>DV!V19+DV!V23</f>
        <v>0</v>
      </c>
      <c r="X12">
        <f>DV!W19+DV!W23</f>
        <v>0</v>
      </c>
      <c r="Y12">
        <f>DV!X19+DV!X23</f>
        <v>0</v>
      </c>
      <c r="Z12">
        <f>DV!Y19+DV!Y23</f>
        <v>0</v>
      </c>
      <c r="AA12">
        <f>DV!Z19+DV!Z23</f>
        <v>0</v>
      </c>
      <c r="AB12">
        <f>DV!AA19+DV!AA23</f>
        <v>0</v>
      </c>
      <c r="AC12">
        <f>DV!AB19+DV!AB23</f>
        <v>0</v>
      </c>
      <c r="AD12">
        <f>DV!AC19+DV!AC23</f>
        <v>0</v>
      </c>
      <c r="AE12">
        <f>DV!AD19+DV!AD23</f>
        <v>0</v>
      </c>
      <c r="AF12">
        <f>DV!AE19+DV!AE23</f>
        <v>0</v>
      </c>
      <c r="AG12">
        <f>DV!AF19+DV!AF23</f>
        <v>0</v>
      </c>
      <c r="AH12">
        <f>DV!AG19+DV!AG23</f>
        <v>0</v>
      </c>
      <c r="AI12">
        <f>DV!AH19+DV!AH23</f>
        <v>0</v>
      </c>
      <c r="AJ12">
        <f>DV!AI19+DV!AI23</f>
        <v>0</v>
      </c>
      <c r="AK12">
        <f>DV!AJ19+DV!AJ23</f>
        <v>0</v>
      </c>
      <c r="AL12">
        <f>DV!AK19+DV!AK23</f>
        <v>0</v>
      </c>
      <c r="AM12">
        <f>DV!AL19+DV!AL23</f>
        <v>0</v>
      </c>
      <c r="AN12">
        <f>DV!AM19+DV!AM23</f>
        <v>0</v>
      </c>
      <c r="AO12">
        <f>DV!AN19+DV!AN23</f>
        <v>0</v>
      </c>
      <c r="AP12">
        <f>DV!AO19+DV!AO23</f>
        <v>0</v>
      </c>
      <c r="AQ12">
        <f>DV!AP19+DV!AP23</f>
        <v>0</v>
      </c>
      <c r="AR12">
        <f>DV!AQ19+DV!AQ23</f>
        <v>0</v>
      </c>
      <c r="AS12">
        <f>DV!AR19+DV!AR23</f>
        <v>0</v>
      </c>
      <c r="AT12">
        <f>DV!AS19+DV!AS23</f>
        <v>0</v>
      </c>
      <c r="AU12">
        <f>DV!AT19+DV!AT23</f>
        <v>0</v>
      </c>
      <c r="AV12">
        <f>DV!AU19+DV!AU23</f>
        <v>0</v>
      </c>
      <c r="AW12">
        <f>DV!AV19+DV!AV23</f>
        <v>0</v>
      </c>
      <c r="AX12">
        <f>DV!AW19+DV!AW23</f>
        <v>0</v>
      </c>
      <c r="AY12">
        <f>DV!AX19+DV!AX23</f>
        <v>0</v>
      </c>
      <c r="AZ12">
        <f>DV!AY19+DV!AY23</f>
        <v>0</v>
      </c>
      <c r="BA12">
        <f>DV!AZ19+DV!AZ23</f>
        <v>0</v>
      </c>
      <c r="BB12">
        <f>DV!BA19+DV!BA23</f>
        <v>0</v>
      </c>
      <c r="BC12">
        <f>DV!BB19+DV!BB23</f>
        <v>0</v>
      </c>
      <c r="BD12">
        <f>DV!BC19+DV!BC23</f>
        <v>0</v>
      </c>
      <c r="BE12">
        <f>DV!BD19+DV!BD23</f>
        <v>0</v>
      </c>
      <c r="BF12">
        <f>DV!BE19+DV!BE23</f>
        <v>0</v>
      </c>
      <c r="BG12">
        <f>DV!BF19+DV!BF23</f>
        <v>0</v>
      </c>
      <c r="BH12">
        <f>DV!BG19+DV!BG23</f>
        <v>0</v>
      </c>
      <c r="BI12">
        <f>DV!BH19+DV!BH23</f>
        <v>0</v>
      </c>
      <c r="BJ12">
        <f>DV!BI19+DV!BI23</f>
        <v>0</v>
      </c>
      <c r="BK12">
        <f>DV!BJ19+DV!BJ23</f>
        <v>0</v>
      </c>
      <c r="BL12">
        <f>DV!BK19+DV!BK23</f>
        <v>0</v>
      </c>
    </row>
    <row r="13" spans="1:181">
      <c r="A13">
        <v>3</v>
      </c>
      <c r="B13" s="5" t="str">
        <f>TEXT(VLOOKUP(A13,СВ[],2),"чч:мм")&amp;"-"&amp;TEXT(VLOOKUP(A13,СВ[],3),"чч:мм")</f>
        <v>08:45-09:30</v>
      </c>
      <c r="C13" s="6">
        <v>4</v>
      </c>
      <c r="D13" s="5" t="str">
        <f>TEXT(VLOOKUP(C13,СВ[],2),"чч:мм")&amp;"-"&amp;TEXT(VLOOKUP(C13,СВ[],3),"чч:мм")</f>
        <v>09:00-09:45</v>
      </c>
      <c r="E13">
        <f>DV!D20+DV!D21</f>
        <v>0</v>
      </c>
      <c r="F13">
        <f>DV!E20+DV!E21</f>
        <v>0</v>
      </c>
      <c r="G13">
        <f>DV!F20+DV!F21</f>
        <v>0</v>
      </c>
      <c r="H13">
        <f>DV!G20+DV!G21</f>
        <v>0</v>
      </c>
      <c r="I13">
        <f>DV!H20+DV!H21</f>
        <v>0</v>
      </c>
      <c r="J13">
        <f>DV!I20+DV!I21</f>
        <v>0</v>
      </c>
      <c r="K13">
        <f>DV!J20+DV!J21</f>
        <v>0</v>
      </c>
      <c r="L13">
        <f>DV!K20+DV!K21</f>
        <v>0</v>
      </c>
      <c r="M13">
        <f>DV!L20+DV!L21</f>
        <v>0</v>
      </c>
      <c r="N13">
        <f>DV!M20+DV!M21</f>
        <v>0</v>
      </c>
      <c r="O13">
        <f>DV!N20+DV!N21</f>
        <v>0</v>
      </c>
      <c r="P13">
        <f>DV!O20+DV!O21</f>
        <v>0</v>
      </c>
      <c r="Q13">
        <f>DV!P20+DV!P21</f>
        <v>0</v>
      </c>
      <c r="R13">
        <f>DV!Q20+DV!Q21</f>
        <v>0</v>
      </c>
      <c r="S13">
        <f>DV!R20+DV!R21</f>
        <v>0</v>
      </c>
      <c r="T13">
        <f>DV!S20+DV!S21</f>
        <v>0</v>
      </c>
      <c r="U13">
        <f>DV!T20+DV!T21</f>
        <v>0</v>
      </c>
      <c r="V13">
        <f>DV!U20+DV!U21</f>
        <v>0</v>
      </c>
      <c r="W13">
        <f>DV!V20+DV!V21</f>
        <v>0</v>
      </c>
      <c r="X13">
        <f>DV!W20+DV!W21</f>
        <v>0</v>
      </c>
      <c r="Y13">
        <f>DV!X20+DV!X21</f>
        <v>0</v>
      </c>
      <c r="Z13">
        <f>DV!Y20+DV!Y21</f>
        <v>0</v>
      </c>
      <c r="AA13">
        <f>DV!Z20+DV!Z21</f>
        <v>0</v>
      </c>
      <c r="AB13">
        <f>DV!AA20+DV!AA21</f>
        <v>0</v>
      </c>
      <c r="AC13">
        <f>DV!AB20+DV!AB21</f>
        <v>0</v>
      </c>
      <c r="AD13">
        <f>DV!AC20+DV!AC21</f>
        <v>0</v>
      </c>
      <c r="AE13">
        <f>DV!AD20+DV!AD21</f>
        <v>0</v>
      </c>
      <c r="AF13">
        <f>DV!AE20+DV!AE21</f>
        <v>0</v>
      </c>
      <c r="AG13">
        <f>DV!AF20+DV!AF21</f>
        <v>0</v>
      </c>
      <c r="AH13">
        <f>DV!AG20+DV!AG21</f>
        <v>0</v>
      </c>
      <c r="AI13">
        <f>DV!AH20+DV!AH21</f>
        <v>0</v>
      </c>
      <c r="AJ13">
        <f>DV!AI20+DV!AI21</f>
        <v>0</v>
      </c>
      <c r="AK13">
        <f>DV!AJ20+DV!AJ21</f>
        <v>0</v>
      </c>
      <c r="AL13">
        <f>DV!AK20+DV!AK21</f>
        <v>0</v>
      </c>
      <c r="AM13">
        <f>DV!AL20+DV!AL21</f>
        <v>0</v>
      </c>
      <c r="AN13">
        <f>DV!AM20+DV!AM21</f>
        <v>0</v>
      </c>
      <c r="AO13">
        <f>DV!AN20+DV!AN21</f>
        <v>0</v>
      </c>
      <c r="AP13">
        <f>DV!AO20+DV!AO21</f>
        <v>0</v>
      </c>
      <c r="AQ13">
        <f>DV!AP20+DV!AP21</f>
        <v>0</v>
      </c>
      <c r="AR13">
        <f>DV!AQ20+DV!AQ21</f>
        <v>0</v>
      </c>
      <c r="AS13">
        <f>DV!AR20+DV!AR21</f>
        <v>0</v>
      </c>
      <c r="AT13">
        <f>DV!AS20+DV!AS21</f>
        <v>0</v>
      </c>
      <c r="AU13">
        <f>DV!AT20+DV!AT21</f>
        <v>0</v>
      </c>
      <c r="AV13">
        <f>DV!AU20+DV!AU21</f>
        <v>0</v>
      </c>
      <c r="AW13">
        <f>DV!AV20+DV!AV21</f>
        <v>0</v>
      </c>
      <c r="AX13">
        <f>DV!AW20+DV!AW21</f>
        <v>0</v>
      </c>
      <c r="AY13">
        <f>DV!AX20+DV!AX21</f>
        <v>0</v>
      </c>
      <c r="AZ13">
        <f>DV!AY20+DV!AY21</f>
        <v>0</v>
      </c>
      <c r="BA13">
        <f>DV!AZ20+DV!AZ21</f>
        <v>0</v>
      </c>
      <c r="BB13">
        <f>DV!BA20+DV!BA21</f>
        <v>0</v>
      </c>
      <c r="BC13">
        <f>DV!BB20+DV!BB21</f>
        <v>0</v>
      </c>
      <c r="BD13">
        <f>DV!BC20+DV!BC21</f>
        <v>0</v>
      </c>
      <c r="BE13">
        <f>DV!BD20+DV!BD21</f>
        <v>0</v>
      </c>
      <c r="BF13">
        <f>DV!BE20+DV!BE21</f>
        <v>0</v>
      </c>
      <c r="BG13">
        <f>DV!BF20+DV!BF21</f>
        <v>0</v>
      </c>
      <c r="BH13">
        <f>DV!BG20+DV!BG21</f>
        <v>0</v>
      </c>
      <c r="BI13">
        <f>DV!BH20+DV!BH21</f>
        <v>0</v>
      </c>
      <c r="BJ13">
        <f>DV!BI20+DV!BI21</f>
        <v>0</v>
      </c>
      <c r="BK13">
        <f>DV!BJ20+DV!BJ21</f>
        <v>0</v>
      </c>
      <c r="BL13">
        <f>DV!BK20+DV!BK21</f>
        <v>0</v>
      </c>
    </row>
    <row r="14" spans="1:181">
      <c r="A14">
        <v>3</v>
      </c>
      <c r="B14" s="5" t="str">
        <f>TEXT(VLOOKUP(A14,СВ[],2),"чч:мм")&amp;"-"&amp;TEXT(VLOOKUP(A14,СВ[],3),"чч:мм")</f>
        <v>08:45-09:30</v>
      </c>
      <c r="C14" s="6">
        <v>5</v>
      </c>
      <c r="D14" s="5" t="str">
        <f>TEXT(VLOOKUP(C14,СВ[],2),"чч:мм")&amp;"-"&amp;TEXT(VLOOKUP(C14,СВ[],3),"чч:мм")</f>
        <v>09:00-10:00</v>
      </c>
      <c r="E14">
        <f>DV!D20+DV!D22</f>
        <v>0</v>
      </c>
      <c r="F14">
        <f>DV!E20+DV!E22</f>
        <v>0</v>
      </c>
      <c r="G14">
        <f>DV!F20+DV!F22</f>
        <v>0</v>
      </c>
      <c r="H14">
        <f>DV!G20+DV!G22</f>
        <v>0</v>
      </c>
      <c r="I14">
        <f>DV!H20+DV!H22</f>
        <v>0</v>
      </c>
      <c r="J14">
        <f>DV!I20+DV!I22</f>
        <v>0</v>
      </c>
      <c r="K14">
        <f>DV!J20+DV!J22</f>
        <v>0</v>
      </c>
      <c r="L14">
        <f>DV!K20+DV!K22</f>
        <v>0</v>
      </c>
      <c r="M14">
        <f>DV!L20+DV!L22</f>
        <v>0</v>
      </c>
      <c r="N14">
        <f>DV!M20+DV!M22</f>
        <v>0</v>
      </c>
      <c r="O14">
        <f>DV!N20+DV!N22</f>
        <v>0</v>
      </c>
      <c r="P14">
        <f>DV!O20+DV!O22</f>
        <v>0</v>
      </c>
      <c r="Q14">
        <f>DV!P20+DV!P22</f>
        <v>0</v>
      </c>
      <c r="R14">
        <f>DV!Q20+DV!Q22</f>
        <v>0</v>
      </c>
      <c r="S14">
        <f>DV!R20+DV!R22</f>
        <v>0</v>
      </c>
      <c r="T14">
        <f>DV!S20+DV!S22</f>
        <v>0</v>
      </c>
      <c r="U14">
        <f>DV!T20+DV!T22</f>
        <v>0</v>
      </c>
      <c r="V14">
        <f>DV!U20+DV!U22</f>
        <v>0</v>
      </c>
      <c r="W14">
        <f>DV!V20+DV!V22</f>
        <v>0</v>
      </c>
      <c r="X14">
        <f>DV!W20+DV!W22</f>
        <v>0</v>
      </c>
      <c r="Y14">
        <f>DV!X20+DV!X22</f>
        <v>0</v>
      </c>
      <c r="Z14">
        <f>DV!Y20+DV!Y22</f>
        <v>0</v>
      </c>
      <c r="AA14">
        <f>DV!Z20+DV!Z22</f>
        <v>0</v>
      </c>
      <c r="AB14">
        <f>DV!AA20+DV!AA22</f>
        <v>0</v>
      </c>
      <c r="AC14">
        <f>DV!AB20+DV!AB22</f>
        <v>0</v>
      </c>
      <c r="AD14">
        <f>DV!AC20+DV!AC22</f>
        <v>0</v>
      </c>
      <c r="AE14">
        <f>DV!AD20+DV!AD22</f>
        <v>0</v>
      </c>
      <c r="AF14">
        <f>DV!AE20+DV!AE22</f>
        <v>0</v>
      </c>
      <c r="AG14">
        <f>DV!AF20+DV!AF22</f>
        <v>0</v>
      </c>
      <c r="AH14">
        <f>DV!AG20+DV!AG22</f>
        <v>0</v>
      </c>
      <c r="AI14">
        <f>DV!AH20+DV!AH22</f>
        <v>0</v>
      </c>
      <c r="AJ14">
        <f>DV!AI20+DV!AI22</f>
        <v>0</v>
      </c>
      <c r="AK14">
        <f>DV!AJ20+DV!AJ22</f>
        <v>0</v>
      </c>
      <c r="AL14">
        <f>DV!AK20+DV!AK22</f>
        <v>0</v>
      </c>
      <c r="AM14">
        <f>DV!AL20+DV!AL22</f>
        <v>0</v>
      </c>
      <c r="AN14">
        <f>DV!AM20+DV!AM22</f>
        <v>0</v>
      </c>
      <c r="AO14">
        <f>DV!AN20+DV!AN22</f>
        <v>0</v>
      </c>
      <c r="AP14">
        <f>DV!AO20+DV!AO22</f>
        <v>0</v>
      </c>
      <c r="AQ14">
        <f>DV!AP20+DV!AP22</f>
        <v>0</v>
      </c>
      <c r="AR14">
        <f>DV!AQ20+DV!AQ22</f>
        <v>0</v>
      </c>
      <c r="AS14">
        <f>DV!AR20+DV!AR22</f>
        <v>0</v>
      </c>
      <c r="AT14">
        <f>DV!AS20+DV!AS22</f>
        <v>0</v>
      </c>
      <c r="AU14">
        <f>DV!AT20+DV!AT22</f>
        <v>0</v>
      </c>
      <c r="AV14">
        <f>DV!AU20+DV!AU22</f>
        <v>0</v>
      </c>
      <c r="AW14">
        <f>DV!AV20+DV!AV22</f>
        <v>0</v>
      </c>
      <c r="AX14">
        <f>DV!AW20+DV!AW22</f>
        <v>0</v>
      </c>
      <c r="AY14">
        <f>DV!AX20+DV!AX22</f>
        <v>0</v>
      </c>
      <c r="AZ14">
        <f>DV!AY20+DV!AY22</f>
        <v>0</v>
      </c>
      <c r="BA14">
        <f>DV!AZ20+DV!AZ22</f>
        <v>0</v>
      </c>
      <c r="BB14">
        <f>DV!BA20+DV!BA22</f>
        <v>0</v>
      </c>
      <c r="BC14">
        <f>DV!BB20+DV!BB22</f>
        <v>0</v>
      </c>
      <c r="BD14">
        <f>DV!BC20+DV!BC22</f>
        <v>0</v>
      </c>
      <c r="BE14">
        <f>DV!BD20+DV!BD22</f>
        <v>0</v>
      </c>
      <c r="BF14">
        <f>DV!BE20+DV!BE22</f>
        <v>0</v>
      </c>
      <c r="BG14">
        <f>DV!BF20+DV!BF22</f>
        <v>0</v>
      </c>
      <c r="BH14">
        <f>DV!BG20+DV!BG22</f>
        <v>0</v>
      </c>
      <c r="BI14">
        <f>DV!BH20+DV!BH22</f>
        <v>0</v>
      </c>
      <c r="BJ14">
        <f>DV!BI20+DV!BI22</f>
        <v>0</v>
      </c>
      <c r="BK14">
        <f>DV!BJ20+DV!BJ22</f>
        <v>0</v>
      </c>
      <c r="BL14">
        <f>DV!BK20+DV!BK22</f>
        <v>0</v>
      </c>
    </row>
    <row r="15" spans="1:181">
      <c r="A15">
        <v>3</v>
      </c>
      <c r="B15" s="5" t="str">
        <f>TEXT(VLOOKUP(A15,СВ[],2),"чч:мм")&amp;"-"&amp;TEXT(VLOOKUP(A15,СВ[],3),"чч:мм")</f>
        <v>08:45-09:30</v>
      </c>
      <c r="C15" s="6">
        <v>6</v>
      </c>
      <c r="D15" s="5" t="str">
        <f>TEXT(VLOOKUP(C15,СВ[],2),"чч:мм")&amp;"-"&amp;TEXT(VLOOKUP(C15,СВ[],3),"чч:мм")</f>
        <v>09:15-10:00</v>
      </c>
      <c r="E15">
        <f>DV!D20+DV!D23</f>
        <v>0</v>
      </c>
      <c r="F15">
        <f>DV!E20+DV!E23</f>
        <v>0</v>
      </c>
      <c r="G15">
        <f>DV!F20+DV!F23</f>
        <v>0</v>
      </c>
      <c r="H15">
        <f>DV!G20+DV!G23</f>
        <v>0</v>
      </c>
      <c r="I15">
        <f>DV!H20+DV!H23</f>
        <v>0</v>
      </c>
      <c r="J15">
        <f>DV!I20+DV!I23</f>
        <v>0</v>
      </c>
      <c r="K15">
        <f>DV!J20+DV!J23</f>
        <v>0</v>
      </c>
      <c r="L15">
        <f>DV!K20+DV!K23</f>
        <v>0</v>
      </c>
      <c r="M15">
        <f>DV!L20+DV!L23</f>
        <v>0</v>
      </c>
      <c r="N15">
        <f>DV!M20+DV!M23</f>
        <v>0</v>
      </c>
      <c r="O15">
        <f>DV!N20+DV!N23</f>
        <v>0</v>
      </c>
      <c r="P15">
        <f>DV!O20+DV!O23</f>
        <v>0</v>
      </c>
      <c r="Q15">
        <f>DV!P20+DV!P23</f>
        <v>0</v>
      </c>
      <c r="R15">
        <f>DV!Q20+DV!Q23</f>
        <v>0</v>
      </c>
      <c r="S15">
        <f>DV!R20+DV!R23</f>
        <v>0</v>
      </c>
      <c r="T15">
        <f>DV!S20+DV!S23</f>
        <v>0</v>
      </c>
      <c r="U15">
        <f>DV!T20+DV!T23</f>
        <v>0</v>
      </c>
      <c r="V15">
        <f>DV!U20+DV!U23</f>
        <v>0</v>
      </c>
      <c r="W15">
        <f>DV!V20+DV!V23</f>
        <v>0</v>
      </c>
      <c r="X15">
        <f>DV!W20+DV!W23</f>
        <v>0</v>
      </c>
      <c r="Y15">
        <f>DV!X20+DV!X23</f>
        <v>0</v>
      </c>
      <c r="Z15">
        <f>DV!Y20+DV!Y23</f>
        <v>0</v>
      </c>
      <c r="AA15">
        <f>DV!Z20+DV!Z23</f>
        <v>0</v>
      </c>
      <c r="AB15">
        <f>DV!AA20+DV!AA23</f>
        <v>0</v>
      </c>
      <c r="AC15">
        <f>DV!AB20+DV!AB23</f>
        <v>0</v>
      </c>
      <c r="AD15">
        <f>DV!AC20+DV!AC23</f>
        <v>0</v>
      </c>
      <c r="AE15">
        <f>DV!AD20+DV!AD23</f>
        <v>0</v>
      </c>
      <c r="AF15">
        <f>DV!AE20+DV!AE23</f>
        <v>0</v>
      </c>
      <c r="AG15">
        <f>DV!AF20+DV!AF23</f>
        <v>0</v>
      </c>
      <c r="AH15">
        <f>DV!AG20+DV!AG23</f>
        <v>0</v>
      </c>
      <c r="AI15">
        <f>DV!AH20+DV!AH23</f>
        <v>0</v>
      </c>
      <c r="AJ15">
        <f>DV!AI20+DV!AI23</f>
        <v>0</v>
      </c>
      <c r="AK15">
        <f>DV!AJ20+DV!AJ23</f>
        <v>0</v>
      </c>
      <c r="AL15">
        <f>DV!AK20+DV!AK23</f>
        <v>0</v>
      </c>
      <c r="AM15">
        <f>DV!AL20+DV!AL23</f>
        <v>0</v>
      </c>
      <c r="AN15">
        <f>DV!AM20+DV!AM23</f>
        <v>0</v>
      </c>
      <c r="AO15">
        <f>DV!AN20+DV!AN23</f>
        <v>0</v>
      </c>
      <c r="AP15">
        <f>DV!AO20+DV!AO23</f>
        <v>0</v>
      </c>
      <c r="AQ15">
        <f>DV!AP20+DV!AP23</f>
        <v>0</v>
      </c>
      <c r="AR15">
        <f>DV!AQ20+DV!AQ23</f>
        <v>0</v>
      </c>
      <c r="AS15">
        <f>DV!AR20+DV!AR23</f>
        <v>0</v>
      </c>
      <c r="AT15">
        <f>DV!AS20+DV!AS23</f>
        <v>0</v>
      </c>
      <c r="AU15">
        <f>DV!AT20+DV!AT23</f>
        <v>0</v>
      </c>
      <c r="AV15">
        <f>DV!AU20+DV!AU23</f>
        <v>0</v>
      </c>
      <c r="AW15">
        <f>DV!AV20+DV!AV23</f>
        <v>0</v>
      </c>
      <c r="AX15">
        <f>DV!AW20+DV!AW23</f>
        <v>0</v>
      </c>
      <c r="AY15">
        <f>DV!AX20+DV!AX23</f>
        <v>0</v>
      </c>
      <c r="AZ15">
        <f>DV!AY20+DV!AY23</f>
        <v>0</v>
      </c>
      <c r="BA15">
        <f>DV!AZ20+DV!AZ23</f>
        <v>0</v>
      </c>
      <c r="BB15">
        <f>DV!BA20+DV!BA23</f>
        <v>0</v>
      </c>
      <c r="BC15">
        <f>DV!BB20+DV!BB23</f>
        <v>0</v>
      </c>
      <c r="BD15">
        <f>DV!BC20+DV!BC23</f>
        <v>0</v>
      </c>
      <c r="BE15">
        <f>DV!BD20+DV!BD23</f>
        <v>0</v>
      </c>
      <c r="BF15">
        <f>DV!BE20+DV!BE23</f>
        <v>0</v>
      </c>
      <c r="BG15">
        <f>DV!BF20+DV!BF23</f>
        <v>0</v>
      </c>
      <c r="BH15">
        <f>DV!BG20+DV!BG23</f>
        <v>0</v>
      </c>
      <c r="BI15">
        <f>DV!BH20+DV!BH23</f>
        <v>0</v>
      </c>
      <c r="BJ15">
        <f>DV!BI20+DV!BI23</f>
        <v>0</v>
      </c>
      <c r="BK15">
        <f>DV!BJ20+DV!BJ23</f>
        <v>0</v>
      </c>
      <c r="BL15">
        <f>DV!BK20+DV!BK23</f>
        <v>0</v>
      </c>
    </row>
    <row r="16" spans="1:181">
      <c r="A16">
        <v>4</v>
      </c>
      <c r="B16" s="5" t="str">
        <f>TEXT(VLOOKUP(A16,СВ[],2),"чч:мм")&amp;"-"&amp;TEXT(VLOOKUP(A16,СВ[],3),"чч:мм")</f>
        <v>09:00-09:45</v>
      </c>
      <c r="C16" s="6">
        <v>5</v>
      </c>
      <c r="D16" s="5" t="str">
        <f>TEXT(VLOOKUP(C16,СВ[],2),"чч:мм")&amp;"-"&amp;TEXT(VLOOKUP(C16,СВ[],3),"чч:мм")</f>
        <v>09:00-10:00</v>
      </c>
      <c r="E16">
        <f>DV!D21+DV!D22</f>
        <v>0</v>
      </c>
      <c r="F16">
        <f>DV!E21+DV!E22</f>
        <v>0</v>
      </c>
      <c r="G16">
        <f>DV!F21+DV!F22</f>
        <v>0</v>
      </c>
      <c r="H16">
        <f>DV!G21+DV!G22</f>
        <v>0</v>
      </c>
      <c r="I16">
        <f>DV!H21+DV!H22</f>
        <v>0</v>
      </c>
      <c r="J16">
        <f>DV!I21+DV!I22</f>
        <v>0</v>
      </c>
      <c r="K16">
        <f>DV!J21+DV!J22</f>
        <v>0</v>
      </c>
      <c r="L16">
        <f>DV!K21+DV!K22</f>
        <v>0</v>
      </c>
      <c r="M16">
        <f>DV!L21+DV!L22</f>
        <v>0</v>
      </c>
      <c r="N16">
        <f>DV!M21+DV!M22</f>
        <v>0</v>
      </c>
      <c r="O16">
        <f>DV!N21+DV!N22</f>
        <v>0</v>
      </c>
      <c r="P16">
        <f>DV!O21+DV!O22</f>
        <v>0</v>
      </c>
      <c r="Q16">
        <f>DV!P21+DV!P22</f>
        <v>0</v>
      </c>
      <c r="R16">
        <f>DV!Q21+DV!Q22</f>
        <v>0</v>
      </c>
      <c r="S16">
        <f>DV!R21+DV!R22</f>
        <v>0</v>
      </c>
      <c r="T16">
        <f>DV!S21+DV!S22</f>
        <v>0</v>
      </c>
      <c r="U16">
        <f>DV!T21+DV!T22</f>
        <v>0</v>
      </c>
      <c r="V16">
        <f>DV!U21+DV!U22</f>
        <v>0</v>
      </c>
      <c r="W16">
        <f>DV!V21+DV!V22</f>
        <v>0</v>
      </c>
      <c r="X16">
        <f>DV!W21+DV!W22</f>
        <v>0</v>
      </c>
      <c r="Y16">
        <f>DV!X21+DV!X22</f>
        <v>0</v>
      </c>
      <c r="Z16">
        <f>DV!Y21+DV!Y22</f>
        <v>0</v>
      </c>
      <c r="AA16">
        <f>DV!Z21+DV!Z22</f>
        <v>0</v>
      </c>
      <c r="AB16">
        <f>DV!AA21+DV!AA22</f>
        <v>0</v>
      </c>
      <c r="AC16">
        <f>DV!AB21+DV!AB22</f>
        <v>0</v>
      </c>
      <c r="AD16">
        <f>DV!AC21+DV!AC22</f>
        <v>0</v>
      </c>
      <c r="AE16">
        <f>DV!AD21+DV!AD22</f>
        <v>0</v>
      </c>
      <c r="AF16">
        <f>DV!AE21+DV!AE22</f>
        <v>0</v>
      </c>
      <c r="AG16">
        <f>DV!AF21+DV!AF22</f>
        <v>0</v>
      </c>
      <c r="AH16">
        <f>DV!AG21+DV!AG22</f>
        <v>0</v>
      </c>
      <c r="AI16">
        <f>DV!AH21+DV!AH22</f>
        <v>0</v>
      </c>
      <c r="AJ16">
        <f>DV!AI21+DV!AI22</f>
        <v>0</v>
      </c>
      <c r="AK16">
        <f>DV!AJ21+DV!AJ22</f>
        <v>0</v>
      </c>
      <c r="AL16">
        <f>DV!AK21+DV!AK22</f>
        <v>0</v>
      </c>
      <c r="AM16">
        <f>DV!AL21+DV!AL22</f>
        <v>0</v>
      </c>
      <c r="AN16">
        <f>DV!AM21+DV!AM22</f>
        <v>0</v>
      </c>
      <c r="AO16">
        <f>DV!AN21+DV!AN22</f>
        <v>0</v>
      </c>
      <c r="AP16">
        <f>DV!AO21+DV!AO22</f>
        <v>0</v>
      </c>
      <c r="AQ16">
        <f>DV!AP21+DV!AP22</f>
        <v>0</v>
      </c>
      <c r="AR16">
        <f>DV!AQ21+DV!AQ22</f>
        <v>0</v>
      </c>
      <c r="AS16">
        <f>DV!AR21+DV!AR22</f>
        <v>0</v>
      </c>
      <c r="AT16">
        <f>DV!AS21+DV!AS22</f>
        <v>0</v>
      </c>
      <c r="AU16">
        <f>DV!AT21+DV!AT22</f>
        <v>0</v>
      </c>
      <c r="AV16">
        <f>DV!AU21+DV!AU22</f>
        <v>0</v>
      </c>
      <c r="AW16">
        <f>DV!AV21+DV!AV22</f>
        <v>0</v>
      </c>
      <c r="AX16">
        <f>DV!AW21+DV!AW22</f>
        <v>0</v>
      </c>
      <c r="AY16">
        <f>DV!AX21+DV!AX22</f>
        <v>0</v>
      </c>
      <c r="AZ16">
        <f>DV!AY21+DV!AY22</f>
        <v>0</v>
      </c>
      <c r="BA16">
        <f>DV!AZ21+DV!AZ22</f>
        <v>0</v>
      </c>
      <c r="BB16">
        <f>DV!BA21+DV!BA22</f>
        <v>0</v>
      </c>
      <c r="BC16">
        <f>DV!BB21+DV!BB22</f>
        <v>0</v>
      </c>
      <c r="BD16">
        <f>DV!BC21+DV!BC22</f>
        <v>0</v>
      </c>
      <c r="BE16">
        <f>DV!BD21+DV!BD22</f>
        <v>0</v>
      </c>
      <c r="BF16">
        <f>DV!BE21+DV!BE22</f>
        <v>0</v>
      </c>
      <c r="BG16">
        <f>DV!BF21+DV!BF22</f>
        <v>0</v>
      </c>
      <c r="BH16">
        <f>DV!BG21+DV!BG22</f>
        <v>0</v>
      </c>
      <c r="BI16">
        <f>DV!BH21+DV!BH22</f>
        <v>0</v>
      </c>
      <c r="BJ16">
        <f>DV!BI21+DV!BI22</f>
        <v>0</v>
      </c>
      <c r="BK16">
        <f>DV!BJ21+DV!BJ22</f>
        <v>0</v>
      </c>
      <c r="BL16">
        <f>DV!BK21+DV!BK22</f>
        <v>0</v>
      </c>
    </row>
    <row r="17" spans="1:64">
      <c r="A17">
        <v>4</v>
      </c>
      <c r="B17" s="5" t="str">
        <f>TEXT(VLOOKUP(A17,СВ[],2),"чч:мм")&amp;"-"&amp;TEXT(VLOOKUP(A17,СВ[],3),"чч:мм")</f>
        <v>09:00-09:45</v>
      </c>
      <c r="C17" s="6">
        <v>6</v>
      </c>
      <c r="D17" s="5" t="str">
        <f>TEXT(VLOOKUP(C17,СВ[],2),"чч:мм")&amp;"-"&amp;TEXT(VLOOKUP(C17,СВ[],3),"чч:мм")</f>
        <v>09:15-10:00</v>
      </c>
      <c r="E17">
        <f>DV!D21+DV!D23</f>
        <v>0</v>
      </c>
      <c r="F17">
        <f>DV!E21+DV!E23</f>
        <v>0</v>
      </c>
      <c r="G17">
        <f>DV!F21+DV!F23</f>
        <v>0</v>
      </c>
      <c r="H17">
        <f>DV!G21+DV!G23</f>
        <v>0</v>
      </c>
      <c r="I17">
        <f>DV!H21+DV!H23</f>
        <v>0</v>
      </c>
      <c r="J17">
        <f>DV!I21+DV!I23</f>
        <v>0</v>
      </c>
      <c r="K17">
        <f>DV!J21+DV!J23</f>
        <v>0</v>
      </c>
      <c r="L17">
        <f>DV!K21+DV!K23</f>
        <v>0</v>
      </c>
      <c r="M17">
        <f>DV!L21+DV!L23</f>
        <v>0</v>
      </c>
      <c r="N17">
        <f>DV!M21+DV!M23</f>
        <v>0</v>
      </c>
      <c r="O17">
        <f>DV!N21+DV!N23</f>
        <v>0</v>
      </c>
      <c r="P17">
        <f>DV!O21+DV!O23</f>
        <v>0</v>
      </c>
      <c r="Q17">
        <f>DV!P21+DV!P23</f>
        <v>0</v>
      </c>
      <c r="R17">
        <f>DV!Q21+DV!Q23</f>
        <v>0</v>
      </c>
      <c r="S17">
        <f>DV!R21+DV!R23</f>
        <v>0</v>
      </c>
      <c r="T17">
        <f>DV!S21+DV!S23</f>
        <v>0</v>
      </c>
      <c r="U17">
        <f>DV!T21+DV!T23</f>
        <v>0</v>
      </c>
      <c r="V17">
        <f>DV!U21+DV!U23</f>
        <v>0</v>
      </c>
      <c r="W17">
        <f>DV!V21+DV!V23</f>
        <v>0</v>
      </c>
      <c r="X17">
        <f>DV!W21+DV!W23</f>
        <v>0</v>
      </c>
      <c r="Y17">
        <f>DV!X21+DV!X23</f>
        <v>0</v>
      </c>
      <c r="Z17">
        <f>DV!Y21+DV!Y23</f>
        <v>0</v>
      </c>
      <c r="AA17">
        <f>DV!Z21+DV!Z23</f>
        <v>0</v>
      </c>
      <c r="AB17">
        <f>DV!AA21+DV!AA23</f>
        <v>0</v>
      </c>
      <c r="AC17">
        <f>DV!AB21+DV!AB23</f>
        <v>0</v>
      </c>
      <c r="AD17">
        <f>DV!AC21+DV!AC23</f>
        <v>0</v>
      </c>
      <c r="AE17">
        <f>DV!AD21+DV!AD23</f>
        <v>0</v>
      </c>
      <c r="AF17">
        <f>DV!AE21+DV!AE23</f>
        <v>0</v>
      </c>
      <c r="AG17">
        <f>DV!AF21+DV!AF23</f>
        <v>0</v>
      </c>
      <c r="AH17">
        <f>DV!AG21+DV!AG23</f>
        <v>0</v>
      </c>
      <c r="AI17">
        <f>DV!AH21+DV!AH23</f>
        <v>0</v>
      </c>
      <c r="AJ17">
        <f>DV!AI21+DV!AI23</f>
        <v>0</v>
      </c>
      <c r="AK17">
        <f>DV!AJ21+DV!AJ23</f>
        <v>0</v>
      </c>
      <c r="AL17">
        <f>DV!AK21+DV!AK23</f>
        <v>0</v>
      </c>
      <c r="AM17">
        <f>DV!AL21+DV!AL23</f>
        <v>0</v>
      </c>
      <c r="AN17">
        <f>DV!AM21+DV!AM23</f>
        <v>0</v>
      </c>
      <c r="AO17">
        <f>DV!AN21+DV!AN23</f>
        <v>0</v>
      </c>
      <c r="AP17">
        <f>DV!AO21+DV!AO23</f>
        <v>0</v>
      </c>
      <c r="AQ17">
        <f>DV!AP21+DV!AP23</f>
        <v>0</v>
      </c>
      <c r="AR17">
        <f>DV!AQ21+DV!AQ23</f>
        <v>0</v>
      </c>
      <c r="AS17">
        <f>DV!AR21+DV!AR23</f>
        <v>0</v>
      </c>
      <c r="AT17">
        <f>DV!AS21+DV!AS23</f>
        <v>0</v>
      </c>
      <c r="AU17">
        <f>DV!AT21+DV!AT23</f>
        <v>0</v>
      </c>
      <c r="AV17">
        <f>DV!AU21+DV!AU23</f>
        <v>0</v>
      </c>
      <c r="AW17">
        <f>DV!AV21+DV!AV23</f>
        <v>0</v>
      </c>
      <c r="AX17">
        <f>DV!AW21+DV!AW23</f>
        <v>0</v>
      </c>
      <c r="AY17">
        <f>DV!AX21+DV!AX23</f>
        <v>0</v>
      </c>
      <c r="AZ17">
        <f>DV!AY21+DV!AY23</f>
        <v>0</v>
      </c>
      <c r="BA17">
        <f>DV!AZ21+DV!AZ23</f>
        <v>0</v>
      </c>
      <c r="BB17">
        <f>DV!BA21+DV!BA23</f>
        <v>0</v>
      </c>
      <c r="BC17">
        <f>DV!BB21+DV!BB23</f>
        <v>0</v>
      </c>
      <c r="BD17">
        <f>DV!BC21+DV!BC23</f>
        <v>0</v>
      </c>
      <c r="BE17">
        <f>DV!BD21+DV!BD23</f>
        <v>0</v>
      </c>
      <c r="BF17">
        <f>DV!BE21+DV!BE23</f>
        <v>0</v>
      </c>
      <c r="BG17">
        <f>DV!BF21+DV!BF23</f>
        <v>0</v>
      </c>
      <c r="BH17">
        <f>DV!BG21+DV!BG23</f>
        <v>0</v>
      </c>
      <c r="BI17">
        <f>DV!BH21+DV!BH23</f>
        <v>0</v>
      </c>
      <c r="BJ17">
        <f>DV!BI21+DV!BI23</f>
        <v>0</v>
      </c>
      <c r="BK17">
        <f>DV!BJ21+DV!BJ23</f>
        <v>0</v>
      </c>
      <c r="BL17">
        <f>DV!BK21+DV!BK23</f>
        <v>0</v>
      </c>
    </row>
    <row r="18" spans="1:64">
      <c r="A18">
        <v>4</v>
      </c>
      <c r="B18" s="5" t="str">
        <f>TEXT(VLOOKUP(A18,СВ[],2),"чч:мм")&amp;"-"&amp;TEXT(VLOOKUP(A18,СВ[],3),"чч:мм")</f>
        <v>09:00-09:45</v>
      </c>
      <c r="C18" s="6">
        <v>7</v>
      </c>
      <c r="D18" s="5" t="str">
        <f>TEXT(VLOOKUP(C18,СВ[],2),"чч:мм")&amp;"-"&amp;TEXT(VLOOKUP(C18,СВ[],3),"чч:мм")</f>
        <v>09:30-10:15</v>
      </c>
      <c r="E18">
        <f>DV!D21+DV!D24</f>
        <v>0</v>
      </c>
      <c r="F18">
        <f>DV!E21+DV!E24</f>
        <v>0</v>
      </c>
      <c r="G18">
        <f>DV!F21+DV!F24</f>
        <v>0</v>
      </c>
      <c r="H18">
        <f>DV!G21+DV!G24</f>
        <v>0</v>
      </c>
      <c r="I18">
        <f>DV!H21+DV!H24</f>
        <v>0</v>
      </c>
      <c r="J18">
        <f>DV!I21+DV!I24</f>
        <v>0</v>
      </c>
      <c r="K18">
        <f>DV!J21+DV!J24</f>
        <v>0</v>
      </c>
      <c r="L18">
        <f>DV!K21+DV!K24</f>
        <v>0</v>
      </c>
      <c r="M18">
        <f>DV!L21+DV!L24</f>
        <v>0</v>
      </c>
      <c r="N18">
        <f>DV!M21+DV!M24</f>
        <v>0</v>
      </c>
      <c r="O18">
        <f>DV!N21+DV!N24</f>
        <v>0</v>
      </c>
      <c r="P18">
        <f>DV!O21+DV!O24</f>
        <v>0</v>
      </c>
      <c r="Q18">
        <f>DV!P21+DV!P24</f>
        <v>0</v>
      </c>
      <c r="R18">
        <f>DV!Q21+DV!Q24</f>
        <v>0</v>
      </c>
      <c r="S18">
        <f>DV!R21+DV!R24</f>
        <v>0</v>
      </c>
      <c r="T18">
        <f>DV!S21+DV!S24</f>
        <v>0</v>
      </c>
      <c r="U18">
        <f>DV!T21+DV!T24</f>
        <v>0</v>
      </c>
      <c r="V18">
        <f>DV!U21+DV!U24</f>
        <v>0</v>
      </c>
      <c r="W18">
        <f>DV!V21+DV!V24</f>
        <v>0</v>
      </c>
      <c r="X18">
        <f>DV!W21+DV!W24</f>
        <v>0</v>
      </c>
      <c r="Y18">
        <f>DV!X21+DV!X24</f>
        <v>0</v>
      </c>
      <c r="Z18">
        <f>DV!Y21+DV!Y24</f>
        <v>0</v>
      </c>
      <c r="AA18">
        <f>DV!Z21+DV!Z24</f>
        <v>0</v>
      </c>
      <c r="AB18">
        <f>DV!AA21+DV!AA24</f>
        <v>0</v>
      </c>
      <c r="AC18">
        <f>DV!AB21+DV!AB24</f>
        <v>0</v>
      </c>
      <c r="AD18">
        <f>DV!AC21+DV!AC24</f>
        <v>0</v>
      </c>
      <c r="AE18">
        <f>DV!AD21+DV!AD24</f>
        <v>0</v>
      </c>
      <c r="AF18">
        <f>DV!AE21+DV!AE24</f>
        <v>0</v>
      </c>
      <c r="AG18">
        <f>DV!AF21+DV!AF24</f>
        <v>0</v>
      </c>
      <c r="AH18">
        <f>DV!AG21+DV!AG24</f>
        <v>0</v>
      </c>
      <c r="AI18">
        <f>DV!AH21+DV!AH24</f>
        <v>0</v>
      </c>
      <c r="AJ18">
        <f>DV!AI21+DV!AI24</f>
        <v>0</v>
      </c>
      <c r="AK18">
        <f>DV!AJ21+DV!AJ24</f>
        <v>0</v>
      </c>
      <c r="AL18">
        <f>DV!AK21+DV!AK24</f>
        <v>0</v>
      </c>
      <c r="AM18">
        <f>DV!AL21+DV!AL24</f>
        <v>0</v>
      </c>
      <c r="AN18">
        <f>DV!AM21+DV!AM24</f>
        <v>0</v>
      </c>
      <c r="AO18">
        <f>DV!AN21+DV!AN24</f>
        <v>0</v>
      </c>
      <c r="AP18">
        <f>DV!AO21+DV!AO24</f>
        <v>0</v>
      </c>
      <c r="AQ18">
        <f>DV!AP21+DV!AP24</f>
        <v>0</v>
      </c>
      <c r="AR18">
        <f>DV!AQ21+DV!AQ24</f>
        <v>0</v>
      </c>
      <c r="AS18">
        <f>DV!AR21+DV!AR24</f>
        <v>0</v>
      </c>
      <c r="AT18">
        <f>DV!AS21+DV!AS24</f>
        <v>0</v>
      </c>
      <c r="AU18">
        <f>DV!AT21+DV!AT24</f>
        <v>0</v>
      </c>
      <c r="AV18">
        <f>DV!AU21+DV!AU24</f>
        <v>0</v>
      </c>
      <c r="AW18">
        <f>DV!AV21+DV!AV24</f>
        <v>0</v>
      </c>
      <c r="AX18">
        <f>DV!AW21+DV!AW24</f>
        <v>0</v>
      </c>
      <c r="AY18">
        <f>DV!AX21+DV!AX24</f>
        <v>0</v>
      </c>
      <c r="AZ18">
        <f>DV!AY21+DV!AY24</f>
        <v>0</v>
      </c>
      <c r="BA18">
        <f>DV!AZ21+DV!AZ24</f>
        <v>0</v>
      </c>
      <c r="BB18">
        <f>DV!BA21+DV!BA24</f>
        <v>0</v>
      </c>
      <c r="BC18">
        <f>DV!BB21+DV!BB24</f>
        <v>0</v>
      </c>
      <c r="BD18">
        <f>DV!BC21+DV!BC24</f>
        <v>0</v>
      </c>
      <c r="BE18">
        <f>DV!BD21+DV!BD24</f>
        <v>0</v>
      </c>
      <c r="BF18">
        <f>DV!BE21+DV!BE24</f>
        <v>0</v>
      </c>
      <c r="BG18">
        <f>DV!BF21+DV!BF24</f>
        <v>0</v>
      </c>
      <c r="BH18">
        <f>DV!BG21+DV!BG24</f>
        <v>0</v>
      </c>
      <c r="BI18">
        <f>DV!BH21+DV!BH24</f>
        <v>0</v>
      </c>
      <c r="BJ18">
        <f>DV!BI21+DV!BI24</f>
        <v>0</v>
      </c>
      <c r="BK18">
        <f>DV!BJ21+DV!BJ24</f>
        <v>0</v>
      </c>
      <c r="BL18">
        <f>DV!BK21+DV!BK24</f>
        <v>0</v>
      </c>
    </row>
    <row r="19" spans="1:64">
      <c r="A19">
        <v>5</v>
      </c>
      <c r="B19" s="5" t="str">
        <f>TEXT(VLOOKUP(A19,СВ[],2),"чч:мм")&amp;"-"&amp;TEXT(VLOOKUP(A19,СВ[],3),"чч:мм")</f>
        <v>09:00-10:00</v>
      </c>
      <c r="C19" s="6">
        <v>6</v>
      </c>
      <c r="D19" s="5" t="str">
        <f>TEXT(VLOOKUP(C19,СВ[],2),"чч:мм")&amp;"-"&amp;TEXT(VLOOKUP(C19,СВ[],3),"чч:мм")</f>
        <v>09:15-10:00</v>
      </c>
      <c r="E19">
        <f>DV!D22+DV!D23</f>
        <v>0</v>
      </c>
      <c r="F19">
        <f>DV!E22+DV!E23</f>
        <v>0</v>
      </c>
      <c r="G19">
        <f>DV!F22+DV!F23</f>
        <v>0</v>
      </c>
      <c r="H19">
        <f>DV!G22+DV!G23</f>
        <v>0</v>
      </c>
      <c r="I19">
        <f>DV!H22+DV!H23</f>
        <v>0</v>
      </c>
      <c r="J19">
        <f>DV!I22+DV!I23</f>
        <v>0</v>
      </c>
      <c r="K19">
        <f>DV!J22+DV!J23</f>
        <v>0</v>
      </c>
      <c r="L19">
        <f>DV!K22+DV!K23</f>
        <v>0</v>
      </c>
      <c r="M19">
        <f>DV!L22+DV!L23</f>
        <v>0</v>
      </c>
      <c r="N19">
        <f>DV!M22+DV!M23</f>
        <v>0</v>
      </c>
      <c r="O19">
        <f>DV!N22+DV!N23</f>
        <v>0</v>
      </c>
      <c r="P19">
        <f>DV!O22+DV!O23</f>
        <v>0</v>
      </c>
      <c r="Q19">
        <f>DV!P22+DV!P23</f>
        <v>0</v>
      </c>
      <c r="R19">
        <f>DV!Q22+DV!Q23</f>
        <v>0</v>
      </c>
      <c r="S19">
        <f>DV!R22+DV!R23</f>
        <v>0</v>
      </c>
      <c r="T19">
        <f>DV!S22+DV!S23</f>
        <v>0</v>
      </c>
      <c r="U19">
        <f>DV!T22+DV!T23</f>
        <v>0</v>
      </c>
      <c r="V19">
        <f>DV!U22+DV!U23</f>
        <v>0</v>
      </c>
      <c r="W19">
        <f>DV!V22+DV!V23</f>
        <v>0</v>
      </c>
      <c r="X19">
        <f>DV!W22+DV!W23</f>
        <v>0</v>
      </c>
      <c r="Y19">
        <f>DV!X22+DV!X23</f>
        <v>0</v>
      </c>
      <c r="Z19">
        <f>DV!Y22+DV!Y23</f>
        <v>0</v>
      </c>
      <c r="AA19">
        <f>DV!Z22+DV!Z23</f>
        <v>0</v>
      </c>
      <c r="AB19">
        <f>DV!AA22+DV!AA23</f>
        <v>0</v>
      </c>
      <c r="AC19">
        <f>DV!AB22+DV!AB23</f>
        <v>0</v>
      </c>
      <c r="AD19">
        <f>DV!AC22+DV!AC23</f>
        <v>0</v>
      </c>
      <c r="AE19">
        <f>DV!AD22+DV!AD23</f>
        <v>0</v>
      </c>
      <c r="AF19">
        <f>DV!AE22+DV!AE23</f>
        <v>0</v>
      </c>
      <c r="AG19">
        <f>DV!AF22+DV!AF23</f>
        <v>0</v>
      </c>
      <c r="AH19">
        <f>DV!AG22+DV!AG23</f>
        <v>0</v>
      </c>
      <c r="AI19">
        <f>DV!AH22+DV!AH23</f>
        <v>0</v>
      </c>
      <c r="AJ19">
        <f>DV!AI22+DV!AI23</f>
        <v>0</v>
      </c>
      <c r="AK19">
        <f>DV!AJ22+DV!AJ23</f>
        <v>0</v>
      </c>
      <c r="AL19">
        <f>DV!AK22+DV!AK23</f>
        <v>0</v>
      </c>
      <c r="AM19">
        <f>DV!AL22+DV!AL23</f>
        <v>0</v>
      </c>
      <c r="AN19">
        <f>DV!AM22+DV!AM23</f>
        <v>0</v>
      </c>
      <c r="AO19">
        <f>DV!AN22+DV!AN23</f>
        <v>0</v>
      </c>
      <c r="AP19">
        <f>DV!AO22+DV!AO23</f>
        <v>0</v>
      </c>
      <c r="AQ19">
        <f>DV!AP22+DV!AP23</f>
        <v>0</v>
      </c>
      <c r="AR19">
        <f>DV!AQ22+DV!AQ23</f>
        <v>0</v>
      </c>
      <c r="AS19">
        <f>DV!AR22+DV!AR23</f>
        <v>0</v>
      </c>
      <c r="AT19">
        <f>DV!AS22+DV!AS23</f>
        <v>0</v>
      </c>
      <c r="AU19">
        <f>DV!AT22+DV!AT23</f>
        <v>0</v>
      </c>
      <c r="AV19">
        <f>DV!AU22+DV!AU23</f>
        <v>0</v>
      </c>
      <c r="AW19">
        <f>DV!AV22+DV!AV23</f>
        <v>0</v>
      </c>
      <c r="AX19">
        <f>DV!AW22+DV!AW23</f>
        <v>0</v>
      </c>
      <c r="AY19">
        <f>DV!AX22+DV!AX23</f>
        <v>0</v>
      </c>
      <c r="AZ19">
        <f>DV!AY22+DV!AY23</f>
        <v>0</v>
      </c>
      <c r="BA19">
        <f>DV!AZ22+DV!AZ23</f>
        <v>0</v>
      </c>
      <c r="BB19">
        <f>DV!BA22+DV!BA23</f>
        <v>0</v>
      </c>
      <c r="BC19">
        <f>DV!BB22+DV!BB23</f>
        <v>0</v>
      </c>
      <c r="BD19">
        <f>DV!BC22+DV!BC23</f>
        <v>0</v>
      </c>
      <c r="BE19">
        <f>DV!BD22+DV!BD23</f>
        <v>0</v>
      </c>
      <c r="BF19">
        <f>DV!BE22+DV!BE23</f>
        <v>0</v>
      </c>
      <c r="BG19">
        <f>DV!BF22+DV!BF23</f>
        <v>0</v>
      </c>
      <c r="BH19">
        <f>DV!BG22+DV!BG23</f>
        <v>0</v>
      </c>
      <c r="BI19">
        <f>DV!BH22+DV!BH23</f>
        <v>0</v>
      </c>
      <c r="BJ19">
        <f>DV!BI22+DV!BI23</f>
        <v>0</v>
      </c>
      <c r="BK19">
        <f>DV!BJ22+DV!BJ23</f>
        <v>0</v>
      </c>
      <c r="BL19">
        <f>DV!BK22+DV!BK23</f>
        <v>0</v>
      </c>
    </row>
    <row r="20" spans="1:64">
      <c r="A20">
        <v>5</v>
      </c>
      <c r="B20" s="5" t="str">
        <f>TEXT(VLOOKUP(A20,СВ[],2),"чч:мм")&amp;"-"&amp;TEXT(VLOOKUP(A20,СВ[],3),"чч:мм")</f>
        <v>09:00-10:00</v>
      </c>
      <c r="C20" s="6">
        <v>7</v>
      </c>
      <c r="D20" s="5" t="str">
        <f>TEXT(VLOOKUP(C20,СВ[],2),"чч:мм")&amp;"-"&amp;TEXT(VLOOKUP(C20,СВ[],3),"чч:мм")</f>
        <v>09:30-10:15</v>
      </c>
      <c r="E20">
        <f>DV!D22+DV!D24</f>
        <v>0</v>
      </c>
      <c r="F20">
        <f>DV!E22+DV!E24</f>
        <v>0</v>
      </c>
      <c r="G20">
        <f>DV!F22+DV!F24</f>
        <v>0</v>
      </c>
      <c r="H20">
        <f>DV!G22+DV!G24</f>
        <v>0</v>
      </c>
      <c r="I20">
        <f>DV!H22+DV!H24</f>
        <v>0</v>
      </c>
      <c r="J20">
        <f>DV!I22+DV!I24</f>
        <v>0</v>
      </c>
      <c r="K20">
        <f>DV!J22+DV!J24</f>
        <v>0</v>
      </c>
      <c r="L20">
        <f>DV!K22+DV!K24</f>
        <v>0</v>
      </c>
      <c r="M20">
        <f>DV!L22+DV!L24</f>
        <v>0</v>
      </c>
      <c r="N20">
        <f>DV!M22+DV!M24</f>
        <v>0</v>
      </c>
      <c r="O20">
        <f>DV!N22+DV!N24</f>
        <v>0</v>
      </c>
      <c r="P20">
        <f>DV!O22+DV!O24</f>
        <v>0</v>
      </c>
      <c r="Q20">
        <f>DV!P22+DV!P24</f>
        <v>0</v>
      </c>
      <c r="R20">
        <f>DV!Q22+DV!Q24</f>
        <v>0</v>
      </c>
      <c r="S20">
        <f>DV!R22+DV!R24</f>
        <v>0</v>
      </c>
      <c r="T20">
        <f>DV!S22+DV!S24</f>
        <v>0</v>
      </c>
      <c r="U20">
        <f>DV!T22+DV!T24</f>
        <v>0</v>
      </c>
      <c r="V20">
        <f>DV!U22+DV!U24</f>
        <v>0</v>
      </c>
      <c r="W20">
        <f>DV!V22+DV!V24</f>
        <v>0</v>
      </c>
      <c r="X20">
        <f>DV!W22+DV!W24</f>
        <v>0</v>
      </c>
      <c r="Y20">
        <f>DV!X22+DV!X24</f>
        <v>0</v>
      </c>
      <c r="Z20">
        <f>DV!Y22+DV!Y24</f>
        <v>0</v>
      </c>
      <c r="AA20">
        <f>DV!Z22+DV!Z24</f>
        <v>0</v>
      </c>
      <c r="AB20">
        <f>DV!AA22+DV!AA24</f>
        <v>0</v>
      </c>
      <c r="AC20">
        <f>DV!AB22+DV!AB24</f>
        <v>0</v>
      </c>
      <c r="AD20">
        <f>DV!AC22+DV!AC24</f>
        <v>0</v>
      </c>
      <c r="AE20">
        <f>DV!AD22+DV!AD24</f>
        <v>0</v>
      </c>
      <c r="AF20">
        <f>DV!AE22+DV!AE24</f>
        <v>0</v>
      </c>
      <c r="AG20">
        <f>DV!AF22+DV!AF24</f>
        <v>0</v>
      </c>
      <c r="AH20">
        <f>DV!AG22+DV!AG24</f>
        <v>0</v>
      </c>
      <c r="AI20">
        <f>DV!AH22+DV!AH24</f>
        <v>0</v>
      </c>
      <c r="AJ20">
        <f>DV!AI22+DV!AI24</f>
        <v>0</v>
      </c>
      <c r="AK20">
        <f>DV!AJ22+DV!AJ24</f>
        <v>0</v>
      </c>
      <c r="AL20">
        <f>DV!AK22+DV!AK24</f>
        <v>0</v>
      </c>
      <c r="AM20">
        <f>DV!AL22+DV!AL24</f>
        <v>0</v>
      </c>
      <c r="AN20">
        <f>DV!AM22+DV!AM24</f>
        <v>0</v>
      </c>
      <c r="AO20">
        <f>DV!AN22+DV!AN24</f>
        <v>0</v>
      </c>
      <c r="AP20">
        <f>DV!AO22+DV!AO24</f>
        <v>0</v>
      </c>
      <c r="AQ20">
        <f>DV!AP22+DV!AP24</f>
        <v>0</v>
      </c>
      <c r="AR20">
        <f>DV!AQ22+DV!AQ24</f>
        <v>0</v>
      </c>
      <c r="AS20">
        <f>DV!AR22+DV!AR24</f>
        <v>0</v>
      </c>
      <c r="AT20">
        <f>DV!AS22+DV!AS24</f>
        <v>0</v>
      </c>
      <c r="AU20">
        <f>DV!AT22+DV!AT24</f>
        <v>0</v>
      </c>
      <c r="AV20">
        <f>DV!AU22+DV!AU24</f>
        <v>0</v>
      </c>
      <c r="AW20">
        <f>DV!AV22+DV!AV24</f>
        <v>0</v>
      </c>
      <c r="AX20">
        <f>DV!AW22+DV!AW24</f>
        <v>0</v>
      </c>
      <c r="AY20">
        <f>DV!AX22+DV!AX24</f>
        <v>0</v>
      </c>
      <c r="AZ20">
        <f>DV!AY22+DV!AY24</f>
        <v>0</v>
      </c>
      <c r="BA20">
        <f>DV!AZ22+DV!AZ24</f>
        <v>0</v>
      </c>
      <c r="BB20">
        <f>DV!BA22+DV!BA24</f>
        <v>0</v>
      </c>
      <c r="BC20">
        <f>DV!BB22+DV!BB24</f>
        <v>0</v>
      </c>
      <c r="BD20">
        <f>DV!BC22+DV!BC24</f>
        <v>0</v>
      </c>
      <c r="BE20">
        <f>DV!BD22+DV!BD24</f>
        <v>0</v>
      </c>
      <c r="BF20">
        <f>DV!BE22+DV!BE24</f>
        <v>0</v>
      </c>
      <c r="BG20">
        <f>DV!BF22+DV!BF24</f>
        <v>0</v>
      </c>
      <c r="BH20">
        <f>DV!BG22+DV!BG24</f>
        <v>0</v>
      </c>
      <c r="BI20">
        <f>DV!BH22+DV!BH24</f>
        <v>0</v>
      </c>
      <c r="BJ20">
        <f>DV!BI22+DV!BI24</f>
        <v>0</v>
      </c>
      <c r="BK20">
        <f>DV!BJ22+DV!BJ24</f>
        <v>0</v>
      </c>
      <c r="BL20">
        <f>DV!BK22+DV!BK24</f>
        <v>0</v>
      </c>
    </row>
    <row r="21" spans="1:64">
      <c r="A21">
        <v>5</v>
      </c>
      <c r="B21" s="5" t="str">
        <f>TEXT(VLOOKUP(A21,СВ[],2),"чч:мм")&amp;"-"&amp;TEXT(VLOOKUP(A21,СВ[],3),"чч:мм")</f>
        <v>09:00-10:00</v>
      </c>
      <c r="C21" s="6">
        <v>8</v>
      </c>
      <c r="D21" s="5" t="str">
        <f>TEXT(VLOOKUP(C21,СВ[],2),"чч:мм")&amp;"-"&amp;TEXT(VLOOKUP(C21,СВ[],3),"чч:мм")</f>
        <v>09:45-10:30</v>
      </c>
      <c r="E21">
        <f>DV!D22+DV!D25</f>
        <v>0</v>
      </c>
      <c r="F21">
        <f>DV!E22+DV!E25</f>
        <v>0</v>
      </c>
      <c r="G21">
        <f>DV!F22+DV!F25</f>
        <v>0</v>
      </c>
      <c r="H21">
        <f>DV!G22+DV!G25</f>
        <v>0</v>
      </c>
      <c r="I21">
        <f>DV!H22+DV!H25</f>
        <v>0</v>
      </c>
      <c r="J21">
        <f>DV!I22+DV!I25</f>
        <v>0</v>
      </c>
      <c r="K21">
        <f>DV!J22+DV!J25</f>
        <v>0</v>
      </c>
      <c r="L21">
        <f>DV!K22+DV!K25</f>
        <v>0</v>
      </c>
      <c r="M21">
        <f>DV!L22+DV!L25</f>
        <v>0</v>
      </c>
      <c r="N21">
        <f>DV!M22+DV!M25</f>
        <v>0</v>
      </c>
      <c r="O21">
        <f>DV!N22+DV!N25</f>
        <v>0</v>
      </c>
      <c r="P21">
        <f>DV!O22+DV!O25</f>
        <v>0</v>
      </c>
      <c r="Q21">
        <f>DV!P22+DV!P25</f>
        <v>0</v>
      </c>
      <c r="R21">
        <f>DV!Q22+DV!Q25</f>
        <v>0</v>
      </c>
      <c r="S21">
        <f>DV!R22+DV!R25</f>
        <v>0</v>
      </c>
      <c r="T21">
        <f>DV!S22+DV!S25</f>
        <v>0</v>
      </c>
      <c r="U21">
        <f>DV!T22+DV!T25</f>
        <v>0</v>
      </c>
      <c r="V21">
        <f>DV!U22+DV!U25</f>
        <v>0</v>
      </c>
      <c r="W21">
        <f>DV!V22+DV!V25</f>
        <v>0</v>
      </c>
      <c r="X21">
        <f>DV!W22+DV!W25</f>
        <v>0</v>
      </c>
      <c r="Y21">
        <f>DV!X22+DV!X25</f>
        <v>0</v>
      </c>
      <c r="Z21">
        <f>DV!Y22+DV!Y25</f>
        <v>0</v>
      </c>
      <c r="AA21">
        <f>DV!Z22+DV!Z25</f>
        <v>0</v>
      </c>
      <c r="AB21">
        <f>DV!AA22+DV!AA25</f>
        <v>0</v>
      </c>
      <c r="AC21">
        <f>DV!AB22+DV!AB25</f>
        <v>0</v>
      </c>
      <c r="AD21">
        <f>DV!AC22+DV!AC25</f>
        <v>0</v>
      </c>
      <c r="AE21">
        <f>DV!AD22+DV!AD25</f>
        <v>0</v>
      </c>
      <c r="AF21">
        <f>DV!AE22+DV!AE25</f>
        <v>0</v>
      </c>
      <c r="AG21">
        <f>DV!AF22+DV!AF25</f>
        <v>0</v>
      </c>
      <c r="AH21">
        <f>DV!AG22+DV!AG25</f>
        <v>0</v>
      </c>
      <c r="AI21">
        <f>DV!AH22+DV!AH25</f>
        <v>0</v>
      </c>
      <c r="AJ21">
        <f>DV!AI22+DV!AI25</f>
        <v>0</v>
      </c>
      <c r="AK21">
        <f>DV!AJ22+DV!AJ25</f>
        <v>0</v>
      </c>
      <c r="AL21">
        <f>DV!AK22+DV!AK25</f>
        <v>0</v>
      </c>
      <c r="AM21">
        <f>DV!AL22+DV!AL25</f>
        <v>0</v>
      </c>
      <c r="AN21">
        <f>DV!AM22+DV!AM25</f>
        <v>0</v>
      </c>
      <c r="AO21">
        <f>DV!AN22+DV!AN25</f>
        <v>0</v>
      </c>
      <c r="AP21">
        <f>DV!AO22+DV!AO25</f>
        <v>0</v>
      </c>
      <c r="AQ21">
        <f>DV!AP22+DV!AP25</f>
        <v>0</v>
      </c>
      <c r="AR21">
        <f>DV!AQ22+DV!AQ25</f>
        <v>0</v>
      </c>
      <c r="AS21">
        <f>DV!AR22+DV!AR25</f>
        <v>0</v>
      </c>
      <c r="AT21">
        <f>DV!AS22+DV!AS25</f>
        <v>0</v>
      </c>
      <c r="AU21">
        <f>DV!AT22+DV!AT25</f>
        <v>0</v>
      </c>
      <c r="AV21">
        <f>DV!AU22+DV!AU25</f>
        <v>0</v>
      </c>
      <c r="AW21">
        <f>DV!AV22+DV!AV25</f>
        <v>0</v>
      </c>
      <c r="AX21">
        <f>DV!AW22+DV!AW25</f>
        <v>0</v>
      </c>
      <c r="AY21">
        <f>DV!AX22+DV!AX25</f>
        <v>0</v>
      </c>
      <c r="AZ21">
        <f>DV!AY22+DV!AY25</f>
        <v>0</v>
      </c>
      <c r="BA21">
        <f>DV!AZ22+DV!AZ25</f>
        <v>0</v>
      </c>
      <c r="BB21">
        <f>DV!BA22+DV!BA25</f>
        <v>0</v>
      </c>
      <c r="BC21">
        <f>DV!BB22+DV!BB25</f>
        <v>0</v>
      </c>
      <c r="BD21">
        <f>DV!BC22+DV!BC25</f>
        <v>0</v>
      </c>
      <c r="BE21">
        <f>DV!BD22+DV!BD25</f>
        <v>0</v>
      </c>
      <c r="BF21">
        <f>DV!BE22+DV!BE25</f>
        <v>0</v>
      </c>
      <c r="BG21">
        <f>DV!BF22+DV!BF25</f>
        <v>0</v>
      </c>
      <c r="BH21">
        <f>DV!BG22+DV!BG25</f>
        <v>0</v>
      </c>
      <c r="BI21">
        <f>DV!BH22+DV!BH25</f>
        <v>0</v>
      </c>
      <c r="BJ21">
        <f>DV!BI22+DV!BI25</f>
        <v>0</v>
      </c>
      <c r="BK21">
        <f>DV!BJ22+DV!BJ25</f>
        <v>0</v>
      </c>
      <c r="BL21">
        <f>DV!BK22+DV!BK25</f>
        <v>0</v>
      </c>
    </row>
    <row r="22" spans="1:64">
      <c r="A22">
        <v>6</v>
      </c>
      <c r="B22" s="5" t="str">
        <f>TEXT(VLOOKUP(A22,СВ[],2),"чч:мм")&amp;"-"&amp;TEXT(VLOOKUP(A22,СВ[],3),"чч:мм")</f>
        <v>09:15-10:00</v>
      </c>
      <c r="C22" s="6">
        <v>7</v>
      </c>
      <c r="D22" s="5" t="str">
        <f>TEXT(VLOOKUP(C22,СВ[],2),"чч:мм")&amp;"-"&amp;TEXT(VLOOKUP(C22,СВ[],3),"чч:мм")</f>
        <v>09:30-10:15</v>
      </c>
      <c r="E22">
        <f>DV!D23+DV!D24</f>
        <v>0</v>
      </c>
      <c r="F22">
        <f>DV!E23+DV!E24</f>
        <v>0</v>
      </c>
      <c r="G22">
        <f>DV!F23+DV!F24</f>
        <v>0</v>
      </c>
      <c r="H22">
        <f>DV!G23+DV!G24</f>
        <v>0</v>
      </c>
      <c r="I22">
        <f>DV!H23+DV!H24</f>
        <v>0</v>
      </c>
      <c r="J22">
        <f>DV!I23+DV!I24</f>
        <v>0</v>
      </c>
      <c r="K22">
        <f>DV!J23+DV!J24</f>
        <v>0</v>
      </c>
      <c r="L22">
        <f>DV!K23+DV!K24</f>
        <v>0</v>
      </c>
      <c r="M22">
        <f>DV!L23+DV!L24</f>
        <v>0</v>
      </c>
      <c r="N22">
        <f>DV!M23+DV!M24</f>
        <v>0</v>
      </c>
      <c r="O22">
        <f>DV!N23+DV!N24</f>
        <v>0</v>
      </c>
      <c r="P22">
        <f>DV!O23+DV!O24</f>
        <v>0</v>
      </c>
      <c r="Q22">
        <f>DV!P23+DV!P24</f>
        <v>0</v>
      </c>
      <c r="R22">
        <f>DV!Q23+DV!Q24</f>
        <v>0</v>
      </c>
      <c r="S22">
        <f>DV!R23+DV!R24</f>
        <v>0</v>
      </c>
      <c r="T22">
        <f>DV!S23+DV!S24</f>
        <v>0</v>
      </c>
      <c r="U22">
        <f>DV!T23+DV!T24</f>
        <v>0</v>
      </c>
      <c r="V22">
        <f>DV!U23+DV!U24</f>
        <v>0</v>
      </c>
      <c r="W22">
        <f>DV!V23+DV!V24</f>
        <v>0</v>
      </c>
      <c r="X22">
        <f>DV!W23+DV!W24</f>
        <v>0</v>
      </c>
      <c r="Y22">
        <f>DV!X23+DV!X24</f>
        <v>0</v>
      </c>
      <c r="Z22">
        <f>DV!Y23+DV!Y24</f>
        <v>0</v>
      </c>
      <c r="AA22">
        <f>DV!Z23+DV!Z24</f>
        <v>0</v>
      </c>
      <c r="AB22">
        <f>DV!AA23+DV!AA24</f>
        <v>0</v>
      </c>
      <c r="AC22">
        <f>DV!AB23+DV!AB24</f>
        <v>0</v>
      </c>
      <c r="AD22">
        <f>DV!AC23+DV!AC24</f>
        <v>0</v>
      </c>
      <c r="AE22">
        <f>DV!AD23+DV!AD24</f>
        <v>0</v>
      </c>
      <c r="AF22">
        <f>DV!AE23+DV!AE24</f>
        <v>0</v>
      </c>
      <c r="AG22">
        <f>DV!AF23+DV!AF24</f>
        <v>0</v>
      </c>
      <c r="AH22">
        <f>DV!AG23+DV!AG24</f>
        <v>0</v>
      </c>
      <c r="AI22">
        <f>DV!AH23+DV!AH24</f>
        <v>0</v>
      </c>
      <c r="AJ22">
        <f>DV!AI23+DV!AI24</f>
        <v>0</v>
      </c>
      <c r="AK22">
        <f>DV!AJ23+DV!AJ24</f>
        <v>0</v>
      </c>
      <c r="AL22">
        <f>DV!AK23+DV!AK24</f>
        <v>0</v>
      </c>
      <c r="AM22">
        <f>DV!AL23+DV!AL24</f>
        <v>0</v>
      </c>
      <c r="AN22">
        <f>DV!AM23+DV!AM24</f>
        <v>0</v>
      </c>
      <c r="AO22">
        <f>DV!AN23+DV!AN24</f>
        <v>0</v>
      </c>
      <c r="AP22">
        <f>DV!AO23+DV!AO24</f>
        <v>0</v>
      </c>
      <c r="AQ22">
        <f>DV!AP23+DV!AP24</f>
        <v>0</v>
      </c>
      <c r="AR22">
        <f>DV!AQ23+DV!AQ24</f>
        <v>0</v>
      </c>
      <c r="AS22">
        <f>DV!AR23+DV!AR24</f>
        <v>0</v>
      </c>
      <c r="AT22">
        <f>DV!AS23+DV!AS24</f>
        <v>0</v>
      </c>
      <c r="AU22">
        <f>DV!AT23+DV!AT24</f>
        <v>0</v>
      </c>
      <c r="AV22">
        <f>DV!AU23+DV!AU24</f>
        <v>0</v>
      </c>
      <c r="AW22">
        <f>DV!AV23+DV!AV24</f>
        <v>0</v>
      </c>
      <c r="AX22">
        <f>DV!AW23+DV!AW24</f>
        <v>0</v>
      </c>
      <c r="AY22">
        <f>DV!AX23+DV!AX24</f>
        <v>0</v>
      </c>
      <c r="AZ22">
        <f>DV!AY23+DV!AY24</f>
        <v>0</v>
      </c>
      <c r="BA22">
        <f>DV!AZ23+DV!AZ24</f>
        <v>0</v>
      </c>
      <c r="BB22">
        <f>DV!BA23+DV!BA24</f>
        <v>0</v>
      </c>
      <c r="BC22">
        <f>DV!BB23+DV!BB24</f>
        <v>0</v>
      </c>
      <c r="BD22">
        <f>DV!BC23+DV!BC24</f>
        <v>0</v>
      </c>
      <c r="BE22">
        <f>DV!BD23+DV!BD24</f>
        <v>0</v>
      </c>
      <c r="BF22">
        <f>DV!BE23+DV!BE24</f>
        <v>0</v>
      </c>
      <c r="BG22">
        <f>DV!BF23+DV!BF24</f>
        <v>0</v>
      </c>
      <c r="BH22">
        <f>DV!BG23+DV!BG24</f>
        <v>0</v>
      </c>
      <c r="BI22">
        <f>DV!BH23+DV!BH24</f>
        <v>0</v>
      </c>
      <c r="BJ22">
        <f>DV!BI23+DV!BI24</f>
        <v>0</v>
      </c>
      <c r="BK22">
        <f>DV!BJ23+DV!BJ24</f>
        <v>0</v>
      </c>
      <c r="BL22">
        <f>DV!BK23+DV!BK24</f>
        <v>0</v>
      </c>
    </row>
    <row r="23" spans="1:64">
      <c r="A23">
        <v>6</v>
      </c>
      <c r="B23" s="5" t="str">
        <f>TEXT(VLOOKUP(A23,СВ[],2),"чч:мм")&amp;"-"&amp;TEXT(VLOOKUP(A23,СВ[],3),"чч:мм")</f>
        <v>09:15-10:00</v>
      </c>
      <c r="C23" s="6">
        <v>8</v>
      </c>
      <c r="D23" s="5" t="str">
        <f>TEXT(VLOOKUP(C23,СВ[],2),"чч:мм")&amp;"-"&amp;TEXT(VLOOKUP(C23,СВ[],3),"чч:мм")</f>
        <v>09:45-10:30</v>
      </c>
      <c r="E23">
        <f>DV!D23+DV!D25</f>
        <v>0</v>
      </c>
      <c r="F23">
        <f>DV!E23+DV!E25</f>
        <v>0</v>
      </c>
      <c r="G23">
        <f>DV!F23+DV!F25</f>
        <v>0</v>
      </c>
      <c r="H23">
        <f>DV!G23+DV!G25</f>
        <v>0</v>
      </c>
      <c r="I23">
        <f>DV!H23+DV!H25</f>
        <v>0</v>
      </c>
      <c r="J23">
        <f>DV!I23+DV!I25</f>
        <v>0</v>
      </c>
      <c r="K23">
        <f>DV!J23+DV!J25</f>
        <v>0</v>
      </c>
      <c r="L23">
        <f>DV!K23+DV!K25</f>
        <v>0</v>
      </c>
      <c r="M23">
        <f>DV!L23+DV!L25</f>
        <v>0</v>
      </c>
      <c r="N23">
        <f>DV!M23+DV!M25</f>
        <v>0</v>
      </c>
      <c r="O23">
        <f>DV!N23+DV!N25</f>
        <v>0</v>
      </c>
      <c r="P23">
        <f>DV!O23+DV!O25</f>
        <v>0</v>
      </c>
      <c r="Q23">
        <f>DV!P23+DV!P25</f>
        <v>0</v>
      </c>
      <c r="R23">
        <f>DV!Q23+DV!Q25</f>
        <v>0</v>
      </c>
      <c r="S23">
        <f>DV!R23+DV!R25</f>
        <v>0</v>
      </c>
      <c r="T23">
        <f>DV!S23+DV!S25</f>
        <v>0</v>
      </c>
      <c r="U23">
        <f>DV!T23+DV!T25</f>
        <v>0</v>
      </c>
      <c r="V23">
        <f>DV!U23+DV!U25</f>
        <v>0</v>
      </c>
      <c r="W23">
        <f>DV!V23+DV!V25</f>
        <v>0</v>
      </c>
      <c r="X23">
        <f>DV!W23+DV!W25</f>
        <v>0</v>
      </c>
      <c r="Y23">
        <f>DV!X23+DV!X25</f>
        <v>0</v>
      </c>
      <c r="Z23">
        <f>DV!Y23+DV!Y25</f>
        <v>0</v>
      </c>
      <c r="AA23">
        <f>DV!Z23+DV!Z25</f>
        <v>0</v>
      </c>
      <c r="AB23">
        <f>DV!AA23+DV!AA25</f>
        <v>0</v>
      </c>
      <c r="AC23">
        <f>DV!AB23+DV!AB25</f>
        <v>0</v>
      </c>
      <c r="AD23">
        <f>DV!AC23+DV!AC25</f>
        <v>0</v>
      </c>
      <c r="AE23">
        <f>DV!AD23+DV!AD25</f>
        <v>0</v>
      </c>
      <c r="AF23">
        <f>DV!AE23+DV!AE25</f>
        <v>0</v>
      </c>
      <c r="AG23">
        <f>DV!AF23+DV!AF25</f>
        <v>0</v>
      </c>
      <c r="AH23">
        <f>DV!AG23+DV!AG25</f>
        <v>0</v>
      </c>
      <c r="AI23">
        <f>DV!AH23+DV!AH25</f>
        <v>0</v>
      </c>
      <c r="AJ23">
        <f>DV!AI23+DV!AI25</f>
        <v>0</v>
      </c>
      <c r="AK23">
        <f>DV!AJ23+DV!AJ25</f>
        <v>0</v>
      </c>
      <c r="AL23">
        <f>DV!AK23+DV!AK25</f>
        <v>0</v>
      </c>
      <c r="AM23">
        <f>DV!AL23+DV!AL25</f>
        <v>0</v>
      </c>
      <c r="AN23">
        <f>DV!AM23+DV!AM25</f>
        <v>0</v>
      </c>
      <c r="AO23">
        <f>DV!AN23+DV!AN25</f>
        <v>0</v>
      </c>
      <c r="AP23">
        <f>DV!AO23+DV!AO25</f>
        <v>0</v>
      </c>
      <c r="AQ23">
        <f>DV!AP23+DV!AP25</f>
        <v>0</v>
      </c>
      <c r="AR23">
        <f>DV!AQ23+DV!AQ25</f>
        <v>0</v>
      </c>
      <c r="AS23">
        <f>DV!AR23+DV!AR25</f>
        <v>0</v>
      </c>
      <c r="AT23">
        <f>DV!AS23+DV!AS25</f>
        <v>0</v>
      </c>
      <c r="AU23">
        <f>DV!AT23+DV!AT25</f>
        <v>0</v>
      </c>
      <c r="AV23">
        <f>DV!AU23+DV!AU25</f>
        <v>0</v>
      </c>
      <c r="AW23">
        <f>DV!AV23+DV!AV25</f>
        <v>0</v>
      </c>
      <c r="AX23">
        <f>DV!AW23+DV!AW25</f>
        <v>0</v>
      </c>
      <c r="AY23">
        <f>DV!AX23+DV!AX25</f>
        <v>0</v>
      </c>
      <c r="AZ23">
        <f>DV!AY23+DV!AY25</f>
        <v>0</v>
      </c>
      <c r="BA23">
        <f>DV!AZ23+DV!AZ25</f>
        <v>0</v>
      </c>
      <c r="BB23">
        <f>DV!BA23+DV!BA25</f>
        <v>0</v>
      </c>
      <c r="BC23">
        <f>DV!BB23+DV!BB25</f>
        <v>0</v>
      </c>
      <c r="BD23">
        <f>DV!BC23+DV!BC25</f>
        <v>0</v>
      </c>
      <c r="BE23">
        <f>DV!BD23+DV!BD25</f>
        <v>0</v>
      </c>
      <c r="BF23">
        <f>DV!BE23+DV!BE25</f>
        <v>0</v>
      </c>
      <c r="BG23">
        <f>DV!BF23+DV!BF25</f>
        <v>0</v>
      </c>
      <c r="BH23">
        <f>DV!BG23+DV!BG25</f>
        <v>0</v>
      </c>
      <c r="BI23">
        <f>DV!BH23+DV!BH25</f>
        <v>0</v>
      </c>
      <c r="BJ23">
        <f>DV!BI23+DV!BI25</f>
        <v>0</v>
      </c>
      <c r="BK23">
        <f>DV!BJ23+DV!BJ25</f>
        <v>0</v>
      </c>
      <c r="BL23">
        <f>DV!BK23+DV!BK25</f>
        <v>0</v>
      </c>
    </row>
    <row r="24" spans="1:64">
      <c r="A24">
        <v>7</v>
      </c>
      <c r="B24" s="5" t="str">
        <f>TEXT(VLOOKUP(A24,СВ[],2),"чч:мм")&amp;"-"&amp;TEXT(VLOOKUP(A24,СВ[],3),"чч:мм")</f>
        <v>09:30-10:15</v>
      </c>
      <c r="C24" s="6">
        <v>8</v>
      </c>
      <c r="D24" s="5" t="str">
        <f>TEXT(VLOOKUP(C24,СВ[],2),"чч:мм")&amp;"-"&amp;TEXT(VLOOKUP(C24,СВ[],3),"чч:мм")</f>
        <v>09:45-10:30</v>
      </c>
      <c r="E24">
        <f>DV!D24+DV!D25</f>
        <v>0</v>
      </c>
      <c r="F24">
        <f>DV!E24+DV!E25</f>
        <v>0</v>
      </c>
      <c r="G24">
        <f>DV!F24+DV!F25</f>
        <v>0</v>
      </c>
      <c r="H24">
        <f>DV!G24+DV!G25</f>
        <v>0</v>
      </c>
      <c r="I24">
        <f>DV!H24+DV!H25</f>
        <v>0</v>
      </c>
      <c r="J24">
        <f>DV!I24+DV!I25</f>
        <v>0</v>
      </c>
      <c r="K24">
        <f>DV!J24+DV!J25</f>
        <v>0</v>
      </c>
      <c r="L24">
        <f>DV!K24+DV!K25</f>
        <v>0</v>
      </c>
      <c r="M24">
        <f>DV!L24+DV!L25</f>
        <v>0</v>
      </c>
      <c r="N24">
        <f>DV!M24+DV!M25</f>
        <v>0</v>
      </c>
      <c r="O24">
        <f>DV!N24+DV!N25</f>
        <v>0</v>
      </c>
      <c r="P24">
        <f>DV!O24+DV!O25</f>
        <v>0</v>
      </c>
      <c r="Q24">
        <f>DV!P24+DV!P25</f>
        <v>0</v>
      </c>
      <c r="R24">
        <f>DV!Q24+DV!Q25</f>
        <v>0</v>
      </c>
      <c r="S24">
        <f>DV!R24+DV!R25</f>
        <v>0</v>
      </c>
      <c r="T24">
        <f>DV!S24+DV!S25</f>
        <v>0</v>
      </c>
      <c r="U24">
        <f>DV!T24+DV!T25</f>
        <v>0</v>
      </c>
      <c r="V24">
        <f>DV!U24+DV!U25</f>
        <v>0</v>
      </c>
      <c r="W24">
        <f>DV!V24+DV!V25</f>
        <v>0</v>
      </c>
      <c r="X24">
        <f>DV!W24+DV!W25</f>
        <v>0</v>
      </c>
      <c r="Y24">
        <f>DV!X24+DV!X25</f>
        <v>0</v>
      </c>
      <c r="Z24">
        <f>DV!Y24+DV!Y25</f>
        <v>0</v>
      </c>
      <c r="AA24">
        <f>DV!Z24+DV!Z25</f>
        <v>0</v>
      </c>
      <c r="AB24">
        <f>DV!AA24+DV!AA25</f>
        <v>0</v>
      </c>
      <c r="AC24">
        <f>DV!AB24+DV!AB25</f>
        <v>0</v>
      </c>
      <c r="AD24">
        <f>DV!AC24+DV!AC25</f>
        <v>0</v>
      </c>
      <c r="AE24">
        <f>DV!AD24+DV!AD25</f>
        <v>0</v>
      </c>
      <c r="AF24">
        <f>DV!AE24+DV!AE25</f>
        <v>0</v>
      </c>
      <c r="AG24">
        <f>DV!AF24+DV!AF25</f>
        <v>0</v>
      </c>
      <c r="AH24">
        <f>DV!AG24+DV!AG25</f>
        <v>0</v>
      </c>
      <c r="AI24">
        <f>DV!AH24+DV!AH25</f>
        <v>0</v>
      </c>
      <c r="AJ24">
        <f>DV!AI24+DV!AI25</f>
        <v>0</v>
      </c>
      <c r="AK24">
        <f>DV!AJ24+DV!AJ25</f>
        <v>0</v>
      </c>
      <c r="AL24">
        <f>DV!AK24+DV!AK25</f>
        <v>0</v>
      </c>
      <c r="AM24">
        <f>DV!AL24+DV!AL25</f>
        <v>0</v>
      </c>
      <c r="AN24">
        <f>DV!AM24+DV!AM25</f>
        <v>0</v>
      </c>
      <c r="AO24">
        <f>DV!AN24+DV!AN25</f>
        <v>0</v>
      </c>
      <c r="AP24">
        <f>DV!AO24+DV!AO25</f>
        <v>0</v>
      </c>
      <c r="AQ24">
        <f>DV!AP24+DV!AP25</f>
        <v>0</v>
      </c>
      <c r="AR24">
        <f>DV!AQ24+DV!AQ25</f>
        <v>0</v>
      </c>
      <c r="AS24">
        <f>DV!AR24+DV!AR25</f>
        <v>0</v>
      </c>
      <c r="AT24">
        <f>DV!AS24+DV!AS25</f>
        <v>0</v>
      </c>
      <c r="AU24">
        <f>DV!AT24+DV!AT25</f>
        <v>0</v>
      </c>
      <c r="AV24">
        <f>DV!AU24+DV!AU25</f>
        <v>0</v>
      </c>
      <c r="AW24">
        <f>DV!AV24+DV!AV25</f>
        <v>0</v>
      </c>
      <c r="AX24">
        <f>DV!AW24+DV!AW25</f>
        <v>0</v>
      </c>
      <c r="AY24">
        <f>DV!AX24+DV!AX25</f>
        <v>0</v>
      </c>
      <c r="AZ24">
        <f>DV!AY24+DV!AY25</f>
        <v>0</v>
      </c>
      <c r="BA24">
        <f>DV!AZ24+DV!AZ25</f>
        <v>0</v>
      </c>
      <c r="BB24">
        <f>DV!BA24+DV!BA25</f>
        <v>0</v>
      </c>
      <c r="BC24">
        <f>DV!BB24+DV!BB25</f>
        <v>0</v>
      </c>
      <c r="BD24">
        <f>DV!BC24+DV!BC25</f>
        <v>0</v>
      </c>
      <c r="BE24">
        <f>DV!BD24+DV!BD25</f>
        <v>0</v>
      </c>
      <c r="BF24">
        <f>DV!BE24+DV!BE25</f>
        <v>0</v>
      </c>
      <c r="BG24">
        <f>DV!BF24+DV!BF25</f>
        <v>0</v>
      </c>
      <c r="BH24">
        <f>DV!BG24+DV!BG25</f>
        <v>0</v>
      </c>
      <c r="BI24">
        <f>DV!BH24+DV!BH25</f>
        <v>0</v>
      </c>
      <c r="BJ24">
        <f>DV!BI24+DV!BI25</f>
        <v>0</v>
      </c>
      <c r="BK24">
        <f>DV!BJ24+DV!BJ25</f>
        <v>0</v>
      </c>
      <c r="BL24">
        <f>DV!BK24+DV!BK25</f>
        <v>0</v>
      </c>
    </row>
    <row r="25" spans="1:64">
      <c r="A25">
        <v>7</v>
      </c>
      <c r="B25" s="5" t="str">
        <f>TEXT(VLOOKUP(A25,СВ[],2),"чч:мм")&amp;"-"&amp;TEXT(VLOOKUP(A25,СВ[],3),"чч:мм")</f>
        <v>09:30-10:15</v>
      </c>
      <c r="C25" s="6">
        <v>9</v>
      </c>
      <c r="D25" s="5" t="str">
        <f>TEXT(VLOOKUP(C25,СВ[],2),"чч:мм")&amp;"-"&amp;TEXT(VLOOKUP(C25,СВ[],3),"чч:мм")</f>
        <v>10:00-10:45</v>
      </c>
      <c r="E25">
        <f>DV!D24+DV!D26</f>
        <v>0</v>
      </c>
      <c r="F25">
        <f>DV!E24+DV!E26</f>
        <v>0</v>
      </c>
      <c r="G25">
        <f>DV!F24+DV!F26</f>
        <v>0</v>
      </c>
      <c r="H25">
        <f>DV!G24+DV!G26</f>
        <v>0</v>
      </c>
      <c r="I25">
        <f>DV!H24+DV!H26</f>
        <v>0</v>
      </c>
      <c r="J25">
        <f>DV!I24+DV!I26</f>
        <v>0</v>
      </c>
      <c r="K25">
        <f>DV!J24+DV!J26</f>
        <v>0</v>
      </c>
      <c r="L25">
        <f>DV!K24+DV!K26</f>
        <v>0</v>
      </c>
      <c r="M25">
        <f>DV!L24+DV!L26</f>
        <v>0</v>
      </c>
      <c r="N25">
        <f>DV!M24+DV!M26</f>
        <v>0</v>
      </c>
      <c r="O25">
        <f>DV!N24+DV!N26</f>
        <v>0</v>
      </c>
      <c r="P25">
        <f>DV!O24+DV!O26</f>
        <v>0</v>
      </c>
      <c r="Q25">
        <f>DV!P24+DV!P26</f>
        <v>0</v>
      </c>
      <c r="R25">
        <f>DV!Q24+DV!Q26</f>
        <v>0</v>
      </c>
      <c r="S25">
        <f>DV!R24+DV!R26</f>
        <v>0</v>
      </c>
      <c r="T25">
        <f>DV!S24+DV!S26</f>
        <v>0</v>
      </c>
      <c r="U25">
        <f>DV!T24+DV!T26</f>
        <v>0</v>
      </c>
      <c r="V25">
        <f>DV!U24+DV!U26</f>
        <v>0</v>
      </c>
      <c r="W25">
        <f>DV!V24+DV!V26</f>
        <v>0</v>
      </c>
      <c r="X25">
        <f>DV!W24+DV!W26</f>
        <v>0</v>
      </c>
      <c r="Y25">
        <f>DV!X24+DV!X26</f>
        <v>0</v>
      </c>
      <c r="Z25">
        <f>DV!Y24+DV!Y26</f>
        <v>0</v>
      </c>
      <c r="AA25">
        <f>DV!Z24+DV!Z26</f>
        <v>0</v>
      </c>
      <c r="AB25">
        <f>DV!AA24+DV!AA26</f>
        <v>0</v>
      </c>
      <c r="AC25">
        <f>DV!AB24+DV!AB26</f>
        <v>0</v>
      </c>
      <c r="AD25">
        <f>DV!AC24+DV!AC26</f>
        <v>0</v>
      </c>
      <c r="AE25">
        <f>DV!AD24+DV!AD26</f>
        <v>0</v>
      </c>
      <c r="AF25">
        <f>DV!AE24+DV!AE26</f>
        <v>0</v>
      </c>
      <c r="AG25">
        <f>DV!AF24+DV!AF26</f>
        <v>0</v>
      </c>
      <c r="AH25">
        <f>DV!AG24+DV!AG26</f>
        <v>0</v>
      </c>
      <c r="AI25">
        <f>DV!AH24+DV!AH26</f>
        <v>0</v>
      </c>
      <c r="AJ25">
        <f>DV!AI24+DV!AI26</f>
        <v>0</v>
      </c>
      <c r="AK25">
        <f>DV!AJ24+DV!AJ26</f>
        <v>0</v>
      </c>
      <c r="AL25">
        <f>DV!AK24+DV!AK26</f>
        <v>0</v>
      </c>
      <c r="AM25">
        <f>DV!AL24+DV!AL26</f>
        <v>0</v>
      </c>
      <c r="AN25">
        <f>DV!AM24+DV!AM26</f>
        <v>0</v>
      </c>
      <c r="AO25">
        <f>DV!AN24+DV!AN26</f>
        <v>0</v>
      </c>
      <c r="AP25">
        <f>DV!AO24+DV!AO26</f>
        <v>0</v>
      </c>
      <c r="AQ25">
        <f>DV!AP24+DV!AP26</f>
        <v>0</v>
      </c>
      <c r="AR25">
        <f>DV!AQ24+DV!AQ26</f>
        <v>0</v>
      </c>
      <c r="AS25">
        <f>DV!AR24+DV!AR26</f>
        <v>0</v>
      </c>
      <c r="AT25">
        <f>DV!AS24+DV!AS26</f>
        <v>0</v>
      </c>
      <c r="AU25">
        <f>DV!AT24+DV!AT26</f>
        <v>0</v>
      </c>
      <c r="AV25">
        <f>DV!AU24+DV!AU26</f>
        <v>0</v>
      </c>
      <c r="AW25">
        <f>DV!AV24+DV!AV26</f>
        <v>0</v>
      </c>
      <c r="AX25">
        <f>DV!AW24+DV!AW26</f>
        <v>0</v>
      </c>
      <c r="AY25">
        <f>DV!AX24+DV!AX26</f>
        <v>0</v>
      </c>
      <c r="AZ25">
        <f>DV!AY24+DV!AY26</f>
        <v>0</v>
      </c>
      <c r="BA25">
        <f>DV!AZ24+DV!AZ26</f>
        <v>0</v>
      </c>
      <c r="BB25">
        <f>DV!BA24+DV!BA26</f>
        <v>0</v>
      </c>
      <c r="BC25">
        <f>DV!BB24+DV!BB26</f>
        <v>0</v>
      </c>
      <c r="BD25">
        <f>DV!BC24+DV!BC26</f>
        <v>0</v>
      </c>
      <c r="BE25">
        <f>DV!BD24+DV!BD26</f>
        <v>0</v>
      </c>
      <c r="BF25">
        <f>DV!BE24+DV!BE26</f>
        <v>0</v>
      </c>
      <c r="BG25">
        <f>DV!BF24+DV!BF26</f>
        <v>0</v>
      </c>
      <c r="BH25">
        <f>DV!BG24+DV!BG26</f>
        <v>0</v>
      </c>
      <c r="BI25">
        <f>DV!BH24+DV!BH26</f>
        <v>0</v>
      </c>
      <c r="BJ25">
        <f>DV!BI24+DV!BI26</f>
        <v>0</v>
      </c>
      <c r="BK25">
        <f>DV!BJ24+DV!BJ26</f>
        <v>0</v>
      </c>
      <c r="BL25">
        <f>DV!BK24+DV!BK26</f>
        <v>0</v>
      </c>
    </row>
    <row r="26" spans="1:64">
      <c r="A26">
        <v>7</v>
      </c>
      <c r="B26" s="5" t="str">
        <f>TEXT(VLOOKUP(A26,СВ[],2),"чч:мм")&amp;"-"&amp;TEXT(VLOOKUP(A26,СВ[],3),"чч:мм")</f>
        <v>09:30-10:15</v>
      </c>
      <c r="C26" s="6">
        <v>10</v>
      </c>
      <c r="D26" s="5" t="str">
        <f>TEXT(VLOOKUP(C26,СВ[],2),"чч:мм")&amp;"-"&amp;TEXT(VLOOKUP(C26,СВ[],3),"чч:мм")</f>
        <v>10:00-11:00</v>
      </c>
      <c r="E26">
        <f>DV!D24+DV!D27</f>
        <v>0</v>
      </c>
      <c r="F26">
        <f>DV!E24+DV!E27</f>
        <v>0</v>
      </c>
      <c r="G26">
        <f>DV!F24+DV!F27</f>
        <v>0</v>
      </c>
      <c r="H26">
        <f>DV!G24+DV!G27</f>
        <v>0</v>
      </c>
      <c r="I26">
        <f>DV!H24+DV!H27</f>
        <v>0</v>
      </c>
      <c r="J26">
        <f>DV!I24+DV!I27</f>
        <v>0</v>
      </c>
      <c r="K26">
        <f>DV!J24+DV!J27</f>
        <v>0</v>
      </c>
      <c r="L26">
        <f>DV!K24+DV!K27</f>
        <v>0</v>
      </c>
      <c r="M26">
        <f>DV!L24+DV!L27</f>
        <v>0</v>
      </c>
      <c r="N26">
        <f>DV!M24+DV!M27</f>
        <v>0</v>
      </c>
      <c r="O26">
        <f>DV!N24+DV!N27</f>
        <v>0</v>
      </c>
      <c r="P26">
        <f>DV!O24+DV!O27</f>
        <v>0</v>
      </c>
      <c r="Q26">
        <f>DV!P24+DV!P27</f>
        <v>0</v>
      </c>
      <c r="R26">
        <f>DV!Q24+DV!Q27</f>
        <v>0</v>
      </c>
      <c r="S26">
        <f>DV!R24+DV!R27</f>
        <v>0</v>
      </c>
      <c r="T26">
        <f>DV!S24+DV!S27</f>
        <v>0</v>
      </c>
      <c r="U26">
        <f>DV!T24+DV!T27</f>
        <v>0</v>
      </c>
      <c r="V26">
        <f>DV!U24+DV!U27</f>
        <v>0</v>
      </c>
      <c r="W26">
        <f>DV!V24+DV!V27</f>
        <v>0</v>
      </c>
      <c r="X26">
        <f>DV!W24+DV!W27</f>
        <v>0</v>
      </c>
      <c r="Y26">
        <f>DV!X24+DV!X27</f>
        <v>0</v>
      </c>
      <c r="Z26">
        <f>DV!Y24+DV!Y27</f>
        <v>0</v>
      </c>
      <c r="AA26">
        <f>DV!Z24+DV!Z27</f>
        <v>0</v>
      </c>
      <c r="AB26">
        <f>DV!AA24+DV!AA27</f>
        <v>0</v>
      </c>
      <c r="AC26">
        <f>DV!AB24+DV!AB27</f>
        <v>0</v>
      </c>
      <c r="AD26">
        <f>DV!AC24+DV!AC27</f>
        <v>0</v>
      </c>
      <c r="AE26">
        <f>DV!AD24+DV!AD27</f>
        <v>0</v>
      </c>
      <c r="AF26">
        <f>DV!AE24+DV!AE27</f>
        <v>0</v>
      </c>
      <c r="AG26">
        <f>DV!AF24+DV!AF27</f>
        <v>0</v>
      </c>
      <c r="AH26">
        <f>DV!AG24+DV!AG27</f>
        <v>0</v>
      </c>
      <c r="AI26">
        <f>DV!AH24+DV!AH27</f>
        <v>0</v>
      </c>
      <c r="AJ26">
        <f>DV!AI24+DV!AI27</f>
        <v>0</v>
      </c>
      <c r="AK26">
        <f>DV!AJ24+DV!AJ27</f>
        <v>0</v>
      </c>
      <c r="AL26">
        <f>DV!AK24+DV!AK27</f>
        <v>0</v>
      </c>
      <c r="AM26">
        <f>DV!AL24+DV!AL27</f>
        <v>0</v>
      </c>
      <c r="AN26">
        <f>DV!AM24+DV!AM27</f>
        <v>0</v>
      </c>
      <c r="AO26">
        <f>DV!AN24+DV!AN27</f>
        <v>0</v>
      </c>
      <c r="AP26">
        <f>DV!AO24+DV!AO27</f>
        <v>0</v>
      </c>
      <c r="AQ26">
        <f>DV!AP24+DV!AP27</f>
        <v>0</v>
      </c>
      <c r="AR26">
        <f>DV!AQ24+DV!AQ27</f>
        <v>0</v>
      </c>
      <c r="AS26">
        <f>DV!AR24+DV!AR27</f>
        <v>0</v>
      </c>
      <c r="AT26">
        <f>DV!AS24+DV!AS27</f>
        <v>0</v>
      </c>
      <c r="AU26">
        <f>DV!AT24+DV!AT27</f>
        <v>0</v>
      </c>
      <c r="AV26">
        <f>DV!AU24+DV!AU27</f>
        <v>0</v>
      </c>
      <c r="AW26">
        <f>DV!AV24+DV!AV27</f>
        <v>0</v>
      </c>
      <c r="AX26">
        <f>DV!AW24+DV!AW27</f>
        <v>0</v>
      </c>
      <c r="AY26">
        <f>DV!AX24+DV!AX27</f>
        <v>0</v>
      </c>
      <c r="AZ26">
        <f>DV!AY24+DV!AY27</f>
        <v>0</v>
      </c>
      <c r="BA26">
        <f>DV!AZ24+DV!AZ27</f>
        <v>0</v>
      </c>
      <c r="BB26">
        <f>DV!BA24+DV!BA27</f>
        <v>0</v>
      </c>
      <c r="BC26">
        <f>DV!BB24+DV!BB27</f>
        <v>0</v>
      </c>
      <c r="BD26">
        <f>DV!BC24+DV!BC27</f>
        <v>0</v>
      </c>
      <c r="BE26">
        <f>DV!BD24+DV!BD27</f>
        <v>0</v>
      </c>
      <c r="BF26">
        <f>DV!BE24+DV!BE27</f>
        <v>0</v>
      </c>
      <c r="BG26">
        <f>DV!BF24+DV!BF27</f>
        <v>0</v>
      </c>
      <c r="BH26">
        <f>DV!BG24+DV!BG27</f>
        <v>0</v>
      </c>
      <c r="BI26">
        <f>DV!BH24+DV!BH27</f>
        <v>0</v>
      </c>
      <c r="BJ26">
        <f>DV!BI24+DV!BI27</f>
        <v>0</v>
      </c>
      <c r="BK26">
        <f>DV!BJ24+DV!BJ27</f>
        <v>0</v>
      </c>
      <c r="BL26">
        <f>DV!BK24+DV!BK27</f>
        <v>0</v>
      </c>
    </row>
    <row r="27" spans="1:64">
      <c r="A27">
        <v>8</v>
      </c>
      <c r="B27" s="5" t="str">
        <f>TEXT(VLOOKUP(A27,СВ[],2),"чч:мм")&amp;"-"&amp;TEXT(VLOOKUP(A27,СВ[],3),"чч:мм")</f>
        <v>09:45-10:30</v>
      </c>
      <c r="C27" s="6">
        <v>9</v>
      </c>
      <c r="D27" s="5" t="str">
        <f>TEXT(VLOOKUP(C27,СВ[],2),"чч:мм")&amp;"-"&amp;TEXT(VLOOKUP(C27,СВ[],3),"чч:мм")</f>
        <v>10:00-10:45</v>
      </c>
      <c r="E27">
        <f>DV!D25+DV!D26</f>
        <v>0</v>
      </c>
      <c r="F27">
        <f>DV!E25+DV!E26</f>
        <v>0</v>
      </c>
      <c r="G27">
        <f>DV!F25+DV!F26</f>
        <v>0</v>
      </c>
      <c r="H27">
        <f>DV!G25+DV!G26</f>
        <v>0</v>
      </c>
      <c r="I27">
        <f>DV!H25+DV!H26</f>
        <v>0</v>
      </c>
      <c r="J27">
        <f>DV!I25+DV!I26</f>
        <v>0</v>
      </c>
      <c r="K27">
        <f>DV!J25+DV!J26</f>
        <v>0</v>
      </c>
      <c r="L27">
        <f>DV!K25+DV!K26</f>
        <v>0</v>
      </c>
      <c r="M27">
        <f>DV!L25+DV!L26</f>
        <v>0</v>
      </c>
      <c r="N27">
        <f>DV!M25+DV!M26</f>
        <v>0</v>
      </c>
      <c r="O27">
        <f>DV!N25+DV!N26</f>
        <v>0</v>
      </c>
      <c r="P27">
        <f>DV!O25+DV!O26</f>
        <v>0</v>
      </c>
      <c r="Q27">
        <f>DV!P25+DV!P26</f>
        <v>0</v>
      </c>
      <c r="R27">
        <f>DV!Q25+DV!Q26</f>
        <v>0</v>
      </c>
      <c r="S27">
        <f>DV!R25+DV!R26</f>
        <v>0</v>
      </c>
      <c r="T27">
        <f>DV!S25+DV!S26</f>
        <v>0</v>
      </c>
      <c r="U27">
        <f>DV!T25+DV!T26</f>
        <v>0</v>
      </c>
      <c r="V27">
        <f>DV!U25+DV!U26</f>
        <v>0</v>
      </c>
      <c r="W27">
        <f>DV!V25+DV!V26</f>
        <v>0</v>
      </c>
      <c r="X27">
        <f>DV!W25+DV!W26</f>
        <v>0</v>
      </c>
      <c r="Y27">
        <f>DV!X25+DV!X26</f>
        <v>0</v>
      </c>
      <c r="Z27">
        <f>DV!Y25+DV!Y26</f>
        <v>0</v>
      </c>
      <c r="AA27">
        <f>DV!Z25+DV!Z26</f>
        <v>0</v>
      </c>
      <c r="AB27">
        <f>DV!AA25+DV!AA26</f>
        <v>0</v>
      </c>
      <c r="AC27">
        <f>DV!AB25+DV!AB26</f>
        <v>0</v>
      </c>
      <c r="AD27">
        <f>DV!AC25+DV!AC26</f>
        <v>0</v>
      </c>
      <c r="AE27">
        <f>DV!AD25+DV!AD26</f>
        <v>0</v>
      </c>
      <c r="AF27">
        <f>DV!AE25+DV!AE26</f>
        <v>0</v>
      </c>
      <c r="AG27">
        <f>DV!AF25+DV!AF26</f>
        <v>0</v>
      </c>
      <c r="AH27">
        <f>DV!AG25+DV!AG26</f>
        <v>0</v>
      </c>
      <c r="AI27">
        <f>DV!AH25+DV!AH26</f>
        <v>0</v>
      </c>
      <c r="AJ27">
        <f>DV!AI25+DV!AI26</f>
        <v>0</v>
      </c>
      <c r="AK27">
        <f>DV!AJ25+DV!AJ26</f>
        <v>0</v>
      </c>
      <c r="AL27">
        <f>DV!AK25+DV!AK26</f>
        <v>0</v>
      </c>
      <c r="AM27">
        <f>DV!AL25+DV!AL26</f>
        <v>0</v>
      </c>
      <c r="AN27">
        <f>DV!AM25+DV!AM26</f>
        <v>0</v>
      </c>
      <c r="AO27">
        <f>DV!AN25+DV!AN26</f>
        <v>0</v>
      </c>
      <c r="AP27">
        <f>DV!AO25+DV!AO26</f>
        <v>0</v>
      </c>
      <c r="AQ27">
        <f>DV!AP25+DV!AP26</f>
        <v>0</v>
      </c>
      <c r="AR27">
        <f>DV!AQ25+DV!AQ26</f>
        <v>0</v>
      </c>
      <c r="AS27">
        <f>DV!AR25+DV!AR26</f>
        <v>0</v>
      </c>
      <c r="AT27">
        <f>DV!AS25+DV!AS26</f>
        <v>0</v>
      </c>
      <c r="AU27">
        <f>DV!AT25+DV!AT26</f>
        <v>0</v>
      </c>
      <c r="AV27">
        <f>DV!AU25+DV!AU26</f>
        <v>0</v>
      </c>
      <c r="AW27">
        <f>DV!AV25+DV!AV26</f>
        <v>0</v>
      </c>
      <c r="AX27">
        <f>DV!AW25+DV!AW26</f>
        <v>0</v>
      </c>
      <c r="AY27">
        <f>DV!AX25+DV!AX26</f>
        <v>0</v>
      </c>
      <c r="AZ27">
        <f>DV!AY25+DV!AY26</f>
        <v>0</v>
      </c>
      <c r="BA27">
        <f>DV!AZ25+DV!AZ26</f>
        <v>0</v>
      </c>
      <c r="BB27">
        <f>DV!BA25+DV!BA26</f>
        <v>0</v>
      </c>
      <c r="BC27">
        <f>DV!BB25+DV!BB26</f>
        <v>0</v>
      </c>
      <c r="BD27">
        <f>DV!BC25+DV!BC26</f>
        <v>0</v>
      </c>
      <c r="BE27">
        <f>DV!BD25+DV!BD26</f>
        <v>0</v>
      </c>
      <c r="BF27">
        <f>DV!BE25+DV!BE26</f>
        <v>0</v>
      </c>
      <c r="BG27">
        <f>DV!BF25+DV!BF26</f>
        <v>0</v>
      </c>
      <c r="BH27">
        <f>DV!BG25+DV!BG26</f>
        <v>0</v>
      </c>
      <c r="BI27">
        <f>DV!BH25+DV!BH26</f>
        <v>0</v>
      </c>
      <c r="BJ27">
        <f>DV!BI25+DV!BI26</f>
        <v>0</v>
      </c>
      <c r="BK27">
        <f>DV!BJ25+DV!BJ26</f>
        <v>0</v>
      </c>
      <c r="BL27">
        <f>DV!BK25+DV!BK26</f>
        <v>0</v>
      </c>
    </row>
    <row r="28" spans="1:64">
      <c r="A28">
        <v>8</v>
      </c>
      <c r="B28" s="5" t="str">
        <f>TEXT(VLOOKUP(A28,СВ[],2),"чч:мм")&amp;"-"&amp;TEXT(VLOOKUP(A28,СВ[],3),"чч:мм")</f>
        <v>09:45-10:30</v>
      </c>
      <c r="C28" s="6">
        <v>10</v>
      </c>
      <c r="D28" s="5" t="str">
        <f>TEXT(VLOOKUP(C28,СВ[],2),"чч:мм")&amp;"-"&amp;TEXT(VLOOKUP(C28,СВ[],3),"чч:мм")</f>
        <v>10:00-11:00</v>
      </c>
      <c r="E28">
        <f>DV!D25+DV!D27</f>
        <v>0</v>
      </c>
      <c r="F28">
        <f>DV!E25+DV!E27</f>
        <v>0</v>
      </c>
      <c r="G28">
        <f>DV!F25+DV!F27</f>
        <v>0</v>
      </c>
      <c r="H28">
        <f>DV!G25+DV!G27</f>
        <v>0</v>
      </c>
      <c r="I28">
        <f>DV!H25+DV!H27</f>
        <v>0</v>
      </c>
      <c r="J28">
        <f>DV!I25+DV!I27</f>
        <v>0</v>
      </c>
      <c r="K28">
        <f>DV!J25+DV!J27</f>
        <v>0</v>
      </c>
      <c r="L28">
        <f>DV!K25+DV!K27</f>
        <v>0</v>
      </c>
      <c r="M28">
        <f>DV!L25+DV!L27</f>
        <v>0</v>
      </c>
      <c r="N28">
        <f>DV!M25+DV!M27</f>
        <v>0</v>
      </c>
      <c r="O28">
        <f>DV!N25+DV!N27</f>
        <v>0</v>
      </c>
      <c r="P28">
        <f>DV!O25+DV!O27</f>
        <v>0</v>
      </c>
      <c r="Q28">
        <f>DV!P25+DV!P27</f>
        <v>0</v>
      </c>
      <c r="R28">
        <f>DV!Q25+DV!Q27</f>
        <v>0</v>
      </c>
      <c r="S28">
        <f>DV!R25+DV!R27</f>
        <v>0</v>
      </c>
      <c r="T28">
        <f>DV!S25+DV!S27</f>
        <v>0</v>
      </c>
      <c r="U28">
        <f>DV!T25+DV!T27</f>
        <v>0</v>
      </c>
      <c r="V28">
        <f>DV!U25+DV!U27</f>
        <v>0</v>
      </c>
      <c r="W28">
        <f>DV!V25+DV!V27</f>
        <v>0</v>
      </c>
      <c r="X28">
        <f>DV!W25+DV!W27</f>
        <v>0</v>
      </c>
      <c r="Y28">
        <f>DV!X25+DV!X27</f>
        <v>0</v>
      </c>
      <c r="Z28">
        <f>DV!Y25+DV!Y27</f>
        <v>0</v>
      </c>
      <c r="AA28">
        <f>DV!Z25+DV!Z27</f>
        <v>0</v>
      </c>
      <c r="AB28">
        <f>DV!AA25+DV!AA27</f>
        <v>0</v>
      </c>
      <c r="AC28">
        <f>DV!AB25+DV!AB27</f>
        <v>0</v>
      </c>
      <c r="AD28">
        <f>DV!AC25+DV!AC27</f>
        <v>0</v>
      </c>
      <c r="AE28">
        <f>DV!AD25+DV!AD27</f>
        <v>0</v>
      </c>
      <c r="AF28">
        <f>DV!AE25+DV!AE27</f>
        <v>0</v>
      </c>
      <c r="AG28">
        <f>DV!AF25+DV!AF27</f>
        <v>0</v>
      </c>
      <c r="AH28">
        <f>DV!AG25+DV!AG27</f>
        <v>0</v>
      </c>
      <c r="AI28">
        <f>DV!AH25+DV!AH27</f>
        <v>0</v>
      </c>
      <c r="AJ28">
        <f>DV!AI25+DV!AI27</f>
        <v>0</v>
      </c>
      <c r="AK28">
        <f>DV!AJ25+DV!AJ27</f>
        <v>0</v>
      </c>
      <c r="AL28">
        <f>DV!AK25+DV!AK27</f>
        <v>0</v>
      </c>
      <c r="AM28">
        <f>DV!AL25+DV!AL27</f>
        <v>0</v>
      </c>
      <c r="AN28">
        <f>DV!AM25+DV!AM27</f>
        <v>0</v>
      </c>
      <c r="AO28">
        <f>DV!AN25+DV!AN27</f>
        <v>0</v>
      </c>
      <c r="AP28">
        <f>DV!AO25+DV!AO27</f>
        <v>0</v>
      </c>
      <c r="AQ28">
        <f>DV!AP25+DV!AP27</f>
        <v>0</v>
      </c>
      <c r="AR28">
        <f>DV!AQ25+DV!AQ27</f>
        <v>0</v>
      </c>
      <c r="AS28">
        <f>DV!AR25+DV!AR27</f>
        <v>0</v>
      </c>
      <c r="AT28">
        <f>DV!AS25+DV!AS27</f>
        <v>0</v>
      </c>
      <c r="AU28">
        <f>DV!AT25+DV!AT27</f>
        <v>0</v>
      </c>
      <c r="AV28">
        <f>DV!AU25+DV!AU27</f>
        <v>0</v>
      </c>
      <c r="AW28">
        <f>DV!AV25+DV!AV27</f>
        <v>0</v>
      </c>
      <c r="AX28">
        <f>DV!AW25+DV!AW27</f>
        <v>0</v>
      </c>
      <c r="AY28">
        <f>DV!AX25+DV!AX27</f>
        <v>0</v>
      </c>
      <c r="AZ28">
        <f>DV!AY25+DV!AY27</f>
        <v>0</v>
      </c>
      <c r="BA28">
        <f>DV!AZ25+DV!AZ27</f>
        <v>0</v>
      </c>
      <c r="BB28">
        <f>DV!BA25+DV!BA27</f>
        <v>0</v>
      </c>
      <c r="BC28">
        <f>DV!BB25+DV!BB27</f>
        <v>0</v>
      </c>
      <c r="BD28">
        <f>DV!BC25+DV!BC27</f>
        <v>0</v>
      </c>
      <c r="BE28">
        <f>DV!BD25+DV!BD27</f>
        <v>0</v>
      </c>
      <c r="BF28">
        <f>DV!BE25+DV!BE27</f>
        <v>0</v>
      </c>
      <c r="BG28">
        <f>DV!BF25+DV!BF27</f>
        <v>0</v>
      </c>
      <c r="BH28">
        <f>DV!BG25+DV!BG27</f>
        <v>0</v>
      </c>
      <c r="BI28">
        <f>DV!BH25+DV!BH27</f>
        <v>0</v>
      </c>
      <c r="BJ28">
        <f>DV!BI25+DV!BI27</f>
        <v>0</v>
      </c>
      <c r="BK28">
        <f>DV!BJ25+DV!BJ27</f>
        <v>0</v>
      </c>
      <c r="BL28">
        <f>DV!BK25+DV!BK27</f>
        <v>0</v>
      </c>
    </row>
    <row r="29" spans="1:64">
      <c r="A29">
        <v>8</v>
      </c>
      <c r="B29" s="5" t="str">
        <f>TEXT(VLOOKUP(A29,СВ[],2),"чч:мм")&amp;"-"&amp;TEXT(VLOOKUP(A29,СВ[],3),"чч:мм")</f>
        <v>09:45-10:30</v>
      </c>
      <c r="C29" s="6">
        <v>11</v>
      </c>
      <c r="D29" s="5" t="str">
        <f>TEXT(VLOOKUP(C29,СВ[],2),"чч:мм")&amp;"-"&amp;TEXT(VLOOKUP(C29,СВ[],3),"чч:мм")</f>
        <v>10:15-11:00</v>
      </c>
      <c r="E29">
        <f>DV!D25+DV!D28</f>
        <v>0</v>
      </c>
      <c r="F29">
        <f>DV!E25+DV!E28</f>
        <v>0</v>
      </c>
      <c r="G29">
        <f>DV!F25+DV!F28</f>
        <v>0</v>
      </c>
      <c r="H29">
        <f>DV!G25+DV!G28</f>
        <v>0</v>
      </c>
      <c r="I29">
        <f>DV!H25+DV!H28</f>
        <v>0</v>
      </c>
      <c r="J29">
        <f>DV!I25+DV!I28</f>
        <v>0</v>
      </c>
      <c r="K29">
        <f>DV!J25+DV!J28</f>
        <v>0</v>
      </c>
      <c r="L29">
        <f>DV!K25+DV!K28</f>
        <v>0</v>
      </c>
      <c r="M29">
        <f>DV!L25+DV!L28</f>
        <v>0</v>
      </c>
      <c r="N29">
        <f>DV!M25+DV!M28</f>
        <v>0</v>
      </c>
      <c r="O29">
        <f>DV!N25+DV!N28</f>
        <v>0</v>
      </c>
      <c r="P29">
        <f>DV!O25+DV!O28</f>
        <v>0</v>
      </c>
      <c r="Q29">
        <f>DV!P25+DV!P28</f>
        <v>0</v>
      </c>
      <c r="R29">
        <f>DV!Q25+DV!Q28</f>
        <v>0</v>
      </c>
      <c r="S29">
        <f>DV!R25+DV!R28</f>
        <v>0</v>
      </c>
      <c r="T29">
        <f>DV!S25+DV!S28</f>
        <v>0</v>
      </c>
      <c r="U29">
        <f>DV!T25+DV!T28</f>
        <v>0</v>
      </c>
      <c r="V29">
        <f>DV!U25+DV!U28</f>
        <v>0</v>
      </c>
      <c r="W29">
        <f>DV!V25+DV!V28</f>
        <v>0</v>
      </c>
      <c r="X29">
        <f>DV!W25+DV!W28</f>
        <v>0</v>
      </c>
      <c r="Y29">
        <f>DV!X25+DV!X28</f>
        <v>0</v>
      </c>
      <c r="Z29">
        <f>DV!Y25+DV!Y28</f>
        <v>0</v>
      </c>
      <c r="AA29">
        <f>DV!Z25+DV!Z28</f>
        <v>0</v>
      </c>
      <c r="AB29">
        <f>DV!AA25+DV!AA28</f>
        <v>0</v>
      </c>
      <c r="AC29">
        <f>DV!AB25+DV!AB28</f>
        <v>0</v>
      </c>
      <c r="AD29">
        <f>DV!AC25+DV!AC28</f>
        <v>0</v>
      </c>
      <c r="AE29">
        <f>DV!AD25+DV!AD28</f>
        <v>0</v>
      </c>
      <c r="AF29">
        <f>DV!AE25+DV!AE28</f>
        <v>0</v>
      </c>
      <c r="AG29">
        <f>DV!AF25+DV!AF28</f>
        <v>0</v>
      </c>
      <c r="AH29">
        <f>DV!AG25+DV!AG28</f>
        <v>0</v>
      </c>
      <c r="AI29">
        <f>DV!AH25+DV!AH28</f>
        <v>0</v>
      </c>
      <c r="AJ29">
        <f>DV!AI25+DV!AI28</f>
        <v>0</v>
      </c>
      <c r="AK29">
        <f>DV!AJ25+DV!AJ28</f>
        <v>0</v>
      </c>
      <c r="AL29">
        <f>DV!AK25+DV!AK28</f>
        <v>0</v>
      </c>
      <c r="AM29">
        <f>DV!AL25+DV!AL28</f>
        <v>0</v>
      </c>
      <c r="AN29">
        <f>DV!AM25+DV!AM28</f>
        <v>0</v>
      </c>
      <c r="AO29">
        <f>DV!AN25+DV!AN28</f>
        <v>0</v>
      </c>
      <c r="AP29">
        <f>DV!AO25+DV!AO28</f>
        <v>0</v>
      </c>
      <c r="AQ29">
        <f>DV!AP25+DV!AP28</f>
        <v>0</v>
      </c>
      <c r="AR29">
        <f>DV!AQ25+DV!AQ28</f>
        <v>0</v>
      </c>
      <c r="AS29">
        <f>DV!AR25+DV!AR28</f>
        <v>0</v>
      </c>
      <c r="AT29">
        <f>DV!AS25+DV!AS28</f>
        <v>0</v>
      </c>
      <c r="AU29">
        <f>DV!AT25+DV!AT28</f>
        <v>0</v>
      </c>
      <c r="AV29">
        <f>DV!AU25+DV!AU28</f>
        <v>0</v>
      </c>
      <c r="AW29">
        <f>DV!AV25+DV!AV28</f>
        <v>0</v>
      </c>
      <c r="AX29">
        <f>DV!AW25+DV!AW28</f>
        <v>0</v>
      </c>
      <c r="AY29">
        <f>DV!AX25+DV!AX28</f>
        <v>0</v>
      </c>
      <c r="AZ29">
        <f>DV!AY25+DV!AY28</f>
        <v>0</v>
      </c>
      <c r="BA29">
        <f>DV!AZ25+DV!AZ28</f>
        <v>0</v>
      </c>
      <c r="BB29">
        <f>DV!BA25+DV!BA28</f>
        <v>0</v>
      </c>
      <c r="BC29">
        <f>DV!BB25+DV!BB28</f>
        <v>0</v>
      </c>
      <c r="BD29">
        <f>DV!BC25+DV!BC28</f>
        <v>0</v>
      </c>
      <c r="BE29">
        <f>DV!BD25+DV!BD28</f>
        <v>0</v>
      </c>
      <c r="BF29">
        <f>DV!BE25+DV!BE28</f>
        <v>0</v>
      </c>
      <c r="BG29">
        <f>DV!BF25+DV!BF28</f>
        <v>0</v>
      </c>
      <c r="BH29">
        <f>DV!BG25+DV!BG28</f>
        <v>0</v>
      </c>
      <c r="BI29">
        <f>DV!BH25+DV!BH28</f>
        <v>0</v>
      </c>
      <c r="BJ29">
        <f>DV!BI25+DV!BI28</f>
        <v>0</v>
      </c>
      <c r="BK29">
        <f>DV!BJ25+DV!BJ28</f>
        <v>0</v>
      </c>
      <c r="BL29">
        <f>DV!BK25+DV!BK28</f>
        <v>0</v>
      </c>
    </row>
    <row r="30" spans="1:64">
      <c r="A30">
        <v>9</v>
      </c>
      <c r="B30" s="5" t="str">
        <f>TEXT(VLOOKUP(A30,СВ[],2),"чч:мм")&amp;"-"&amp;TEXT(VLOOKUP(A30,СВ[],3),"чч:мм")</f>
        <v>10:00-10:45</v>
      </c>
      <c r="C30" s="6">
        <v>10</v>
      </c>
      <c r="D30" s="5" t="str">
        <f>TEXT(VLOOKUP(C30,СВ[],2),"чч:мм")&amp;"-"&amp;TEXT(VLOOKUP(C30,СВ[],3),"чч:мм")</f>
        <v>10:00-11:00</v>
      </c>
      <c r="E30">
        <f>DV!D26+DV!D27</f>
        <v>0</v>
      </c>
      <c r="F30">
        <f>DV!E26+DV!E27</f>
        <v>0</v>
      </c>
      <c r="G30">
        <f>DV!F26+DV!F27</f>
        <v>0</v>
      </c>
      <c r="H30">
        <f>DV!G26+DV!G27</f>
        <v>0</v>
      </c>
      <c r="I30">
        <f>DV!H26+DV!H27</f>
        <v>0</v>
      </c>
      <c r="J30">
        <f>DV!I26+DV!I27</f>
        <v>0</v>
      </c>
      <c r="K30">
        <f>DV!J26+DV!J27</f>
        <v>0</v>
      </c>
      <c r="L30">
        <f>DV!K26+DV!K27</f>
        <v>0</v>
      </c>
      <c r="M30">
        <f>DV!L26+DV!L27</f>
        <v>0</v>
      </c>
      <c r="N30">
        <f>DV!M26+DV!M27</f>
        <v>0</v>
      </c>
      <c r="O30">
        <f>DV!N26+DV!N27</f>
        <v>0</v>
      </c>
      <c r="P30">
        <f>DV!O26+DV!O27</f>
        <v>0</v>
      </c>
      <c r="Q30">
        <f>DV!P26+DV!P27</f>
        <v>0</v>
      </c>
      <c r="R30">
        <f>DV!Q26+DV!Q27</f>
        <v>0</v>
      </c>
      <c r="S30">
        <f>DV!R26+DV!R27</f>
        <v>0</v>
      </c>
      <c r="T30">
        <f>DV!S26+DV!S27</f>
        <v>0</v>
      </c>
      <c r="U30">
        <f>DV!T26+DV!T27</f>
        <v>0</v>
      </c>
      <c r="V30">
        <f>DV!U26+DV!U27</f>
        <v>0</v>
      </c>
      <c r="W30">
        <f>DV!V26+DV!V27</f>
        <v>0</v>
      </c>
      <c r="X30">
        <f>DV!W26+DV!W27</f>
        <v>0</v>
      </c>
      <c r="Y30">
        <f>DV!X26+DV!X27</f>
        <v>0</v>
      </c>
      <c r="Z30">
        <f>DV!Y26+DV!Y27</f>
        <v>0</v>
      </c>
      <c r="AA30">
        <f>DV!Z26+DV!Z27</f>
        <v>0</v>
      </c>
      <c r="AB30">
        <f>DV!AA26+DV!AA27</f>
        <v>0</v>
      </c>
      <c r="AC30">
        <f>DV!AB26+DV!AB27</f>
        <v>0</v>
      </c>
      <c r="AD30">
        <f>DV!AC26+DV!AC27</f>
        <v>0</v>
      </c>
      <c r="AE30">
        <f>DV!AD26+DV!AD27</f>
        <v>0</v>
      </c>
      <c r="AF30">
        <f>DV!AE26+DV!AE27</f>
        <v>0</v>
      </c>
      <c r="AG30">
        <f>DV!AF26+DV!AF27</f>
        <v>0</v>
      </c>
      <c r="AH30">
        <f>DV!AG26+DV!AG27</f>
        <v>0</v>
      </c>
      <c r="AI30">
        <f>DV!AH26+DV!AH27</f>
        <v>0</v>
      </c>
      <c r="AJ30">
        <f>DV!AI26+DV!AI27</f>
        <v>0</v>
      </c>
      <c r="AK30">
        <f>DV!AJ26+DV!AJ27</f>
        <v>0</v>
      </c>
      <c r="AL30">
        <f>DV!AK26+DV!AK27</f>
        <v>0</v>
      </c>
      <c r="AM30">
        <f>DV!AL26+DV!AL27</f>
        <v>0</v>
      </c>
      <c r="AN30">
        <f>DV!AM26+DV!AM27</f>
        <v>0</v>
      </c>
      <c r="AO30">
        <f>DV!AN26+DV!AN27</f>
        <v>0</v>
      </c>
      <c r="AP30">
        <f>DV!AO26+DV!AO27</f>
        <v>0</v>
      </c>
      <c r="AQ30">
        <f>DV!AP26+DV!AP27</f>
        <v>0</v>
      </c>
      <c r="AR30">
        <f>DV!AQ26+DV!AQ27</f>
        <v>0</v>
      </c>
      <c r="AS30">
        <f>DV!AR26+DV!AR27</f>
        <v>0</v>
      </c>
      <c r="AT30">
        <f>DV!AS26+DV!AS27</f>
        <v>0</v>
      </c>
      <c r="AU30">
        <f>DV!AT26+DV!AT27</f>
        <v>0</v>
      </c>
      <c r="AV30">
        <f>DV!AU26+DV!AU27</f>
        <v>0</v>
      </c>
      <c r="AW30">
        <f>DV!AV26+DV!AV27</f>
        <v>0</v>
      </c>
      <c r="AX30">
        <f>DV!AW26+DV!AW27</f>
        <v>0</v>
      </c>
      <c r="AY30">
        <f>DV!AX26+DV!AX27</f>
        <v>0</v>
      </c>
      <c r="AZ30">
        <f>DV!AY26+DV!AY27</f>
        <v>0</v>
      </c>
      <c r="BA30">
        <f>DV!AZ26+DV!AZ27</f>
        <v>0</v>
      </c>
      <c r="BB30">
        <f>DV!BA26+DV!BA27</f>
        <v>0</v>
      </c>
      <c r="BC30">
        <f>DV!BB26+DV!BB27</f>
        <v>0</v>
      </c>
      <c r="BD30">
        <f>DV!BC26+DV!BC27</f>
        <v>0</v>
      </c>
      <c r="BE30">
        <f>DV!BD26+DV!BD27</f>
        <v>0</v>
      </c>
      <c r="BF30">
        <f>DV!BE26+DV!BE27</f>
        <v>0</v>
      </c>
      <c r="BG30">
        <f>DV!BF26+DV!BF27</f>
        <v>0</v>
      </c>
      <c r="BH30">
        <f>DV!BG26+DV!BG27</f>
        <v>0</v>
      </c>
      <c r="BI30">
        <f>DV!BH26+DV!BH27</f>
        <v>0</v>
      </c>
      <c r="BJ30">
        <f>DV!BI26+DV!BI27</f>
        <v>0</v>
      </c>
      <c r="BK30">
        <f>DV!BJ26+DV!BJ27</f>
        <v>0</v>
      </c>
      <c r="BL30">
        <f>DV!BK26+DV!BK27</f>
        <v>0</v>
      </c>
    </row>
    <row r="31" spans="1:64">
      <c r="A31">
        <v>9</v>
      </c>
      <c r="B31" s="5" t="str">
        <f>TEXT(VLOOKUP(A31,СВ[],2),"чч:мм")&amp;"-"&amp;TEXT(VLOOKUP(A31,СВ[],3),"чч:мм")</f>
        <v>10:00-10:45</v>
      </c>
      <c r="C31" s="6">
        <v>11</v>
      </c>
      <c r="D31" s="5" t="str">
        <f>TEXT(VLOOKUP(C31,СВ[],2),"чч:мм")&amp;"-"&amp;TEXT(VLOOKUP(C31,СВ[],3),"чч:мм")</f>
        <v>10:15-11:00</v>
      </c>
      <c r="E31">
        <f>DV!D26+DV!D28</f>
        <v>0</v>
      </c>
      <c r="F31">
        <f>DV!E26+DV!E28</f>
        <v>0</v>
      </c>
      <c r="G31">
        <f>DV!F26+DV!F28</f>
        <v>0</v>
      </c>
      <c r="H31">
        <f>DV!G26+DV!G28</f>
        <v>0</v>
      </c>
      <c r="I31">
        <f>DV!H26+DV!H28</f>
        <v>0</v>
      </c>
      <c r="J31">
        <f>DV!I26+DV!I28</f>
        <v>0</v>
      </c>
      <c r="K31">
        <f>DV!J26+DV!J28</f>
        <v>0</v>
      </c>
      <c r="L31">
        <f>DV!K26+DV!K28</f>
        <v>0</v>
      </c>
      <c r="M31">
        <f>DV!L26+DV!L28</f>
        <v>0</v>
      </c>
      <c r="N31">
        <f>DV!M26+DV!M28</f>
        <v>0</v>
      </c>
      <c r="O31">
        <f>DV!N26+DV!N28</f>
        <v>0</v>
      </c>
      <c r="P31">
        <f>DV!O26+DV!O28</f>
        <v>0</v>
      </c>
      <c r="Q31">
        <f>DV!P26+DV!P28</f>
        <v>0</v>
      </c>
      <c r="R31">
        <f>DV!Q26+DV!Q28</f>
        <v>0</v>
      </c>
      <c r="S31">
        <f>DV!R26+DV!R28</f>
        <v>0</v>
      </c>
      <c r="T31">
        <f>DV!S26+DV!S28</f>
        <v>0</v>
      </c>
      <c r="U31">
        <f>DV!T26+DV!T28</f>
        <v>0</v>
      </c>
      <c r="V31">
        <f>DV!U26+DV!U28</f>
        <v>0</v>
      </c>
      <c r="W31">
        <f>DV!V26+DV!V28</f>
        <v>0</v>
      </c>
      <c r="X31">
        <f>DV!W26+DV!W28</f>
        <v>0</v>
      </c>
      <c r="Y31">
        <f>DV!X26+DV!X28</f>
        <v>0</v>
      </c>
      <c r="Z31">
        <f>DV!Y26+DV!Y28</f>
        <v>0</v>
      </c>
      <c r="AA31">
        <f>DV!Z26+DV!Z28</f>
        <v>0</v>
      </c>
      <c r="AB31">
        <f>DV!AA26+DV!AA28</f>
        <v>0</v>
      </c>
      <c r="AC31">
        <f>DV!AB26+DV!AB28</f>
        <v>0</v>
      </c>
      <c r="AD31">
        <f>DV!AC26+DV!AC28</f>
        <v>0</v>
      </c>
      <c r="AE31">
        <f>DV!AD26+DV!AD28</f>
        <v>0</v>
      </c>
      <c r="AF31">
        <f>DV!AE26+DV!AE28</f>
        <v>0</v>
      </c>
      <c r="AG31">
        <f>DV!AF26+DV!AF28</f>
        <v>0</v>
      </c>
      <c r="AH31">
        <f>DV!AG26+DV!AG28</f>
        <v>0</v>
      </c>
      <c r="AI31">
        <f>DV!AH26+DV!AH28</f>
        <v>0</v>
      </c>
      <c r="AJ31">
        <f>DV!AI26+DV!AI28</f>
        <v>0</v>
      </c>
      <c r="AK31">
        <f>DV!AJ26+DV!AJ28</f>
        <v>0</v>
      </c>
      <c r="AL31">
        <f>DV!AK26+DV!AK28</f>
        <v>0</v>
      </c>
      <c r="AM31">
        <f>DV!AL26+DV!AL28</f>
        <v>0</v>
      </c>
      <c r="AN31">
        <f>DV!AM26+DV!AM28</f>
        <v>0</v>
      </c>
      <c r="AO31">
        <f>DV!AN26+DV!AN28</f>
        <v>0</v>
      </c>
      <c r="AP31">
        <f>DV!AO26+DV!AO28</f>
        <v>0</v>
      </c>
      <c r="AQ31">
        <f>DV!AP26+DV!AP28</f>
        <v>0</v>
      </c>
      <c r="AR31">
        <f>DV!AQ26+DV!AQ28</f>
        <v>0</v>
      </c>
      <c r="AS31">
        <f>DV!AR26+DV!AR28</f>
        <v>0</v>
      </c>
      <c r="AT31">
        <f>DV!AS26+DV!AS28</f>
        <v>0</v>
      </c>
      <c r="AU31">
        <f>DV!AT26+DV!AT28</f>
        <v>0</v>
      </c>
      <c r="AV31">
        <f>DV!AU26+DV!AU28</f>
        <v>0</v>
      </c>
      <c r="AW31">
        <f>DV!AV26+DV!AV28</f>
        <v>0</v>
      </c>
      <c r="AX31">
        <f>DV!AW26+DV!AW28</f>
        <v>0</v>
      </c>
      <c r="AY31">
        <f>DV!AX26+DV!AX28</f>
        <v>0</v>
      </c>
      <c r="AZ31">
        <f>DV!AY26+DV!AY28</f>
        <v>0</v>
      </c>
      <c r="BA31">
        <f>DV!AZ26+DV!AZ28</f>
        <v>0</v>
      </c>
      <c r="BB31">
        <f>DV!BA26+DV!BA28</f>
        <v>0</v>
      </c>
      <c r="BC31">
        <f>DV!BB26+DV!BB28</f>
        <v>0</v>
      </c>
      <c r="BD31">
        <f>DV!BC26+DV!BC28</f>
        <v>0</v>
      </c>
      <c r="BE31">
        <f>DV!BD26+DV!BD28</f>
        <v>0</v>
      </c>
      <c r="BF31">
        <f>DV!BE26+DV!BE28</f>
        <v>0</v>
      </c>
      <c r="BG31">
        <f>DV!BF26+DV!BF28</f>
        <v>0</v>
      </c>
      <c r="BH31">
        <f>DV!BG26+DV!BG28</f>
        <v>0</v>
      </c>
      <c r="BI31">
        <f>DV!BH26+DV!BH28</f>
        <v>0</v>
      </c>
      <c r="BJ31">
        <f>DV!BI26+DV!BI28</f>
        <v>0</v>
      </c>
      <c r="BK31">
        <f>DV!BJ26+DV!BJ28</f>
        <v>0</v>
      </c>
      <c r="BL31">
        <f>DV!BK26+DV!BK28</f>
        <v>0</v>
      </c>
    </row>
    <row r="32" spans="1:64">
      <c r="A32">
        <v>9</v>
      </c>
      <c r="B32" s="5" t="str">
        <f>TEXT(VLOOKUP(A32,СВ[],2),"чч:мм")&amp;"-"&amp;TEXT(VLOOKUP(A32,СВ[],3),"чч:мм")</f>
        <v>10:00-10:45</v>
      </c>
      <c r="C32" s="6">
        <v>12</v>
      </c>
      <c r="D32" s="5" t="str">
        <f>TEXT(VLOOKUP(C32,СВ[],2),"чч:мм")&amp;"-"&amp;TEXT(VLOOKUP(C32,СВ[],3),"чч:мм")</f>
        <v>10:30-11:15</v>
      </c>
      <c r="E32">
        <f>DV!D26+DV!D29</f>
        <v>0</v>
      </c>
      <c r="F32">
        <f>DV!E26+DV!E29</f>
        <v>0</v>
      </c>
      <c r="G32">
        <f>DV!F26+DV!F29</f>
        <v>0</v>
      </c>
      <c r="H32">
        <f>DV!G26+DV!G29</f>
        <v>0</v>
      </c>
      <c r="I32">
        <f>DV!H26+DV!H29</f>
        <v>0</v>
      </c>
      <c r="J32">
        <f>DV!I26+DV!I29</f>
        <v>0</v>
      </c>
      <c r="K32">
        <f>DV!J26+DV!J29</f>
        <v>0</v>
      </c>
      <c r="L32">
        <f>DV!K26+DV!K29</f>
        <v>0</v>
      </c>
      <c r="M32">
        <f>DV!L26+DV!L29</f>
        <v>0</v>
      </c>
      <c r="N32">
        <f>DV!M26+DV!M29</f>
        <v>0</v>
      </c>
      <c r="O32">
        <f>DV!N26+DV!N29</f>
        <v>0</v>
      </c>
      <c r="P32">
        <f>DV!O26+DV!O29</f>
        <v>0</v>
      </c>
      <c r="Q32">
        <f>DV!P26+DV!P29</f>
        <v>0</v>
      </c>
      <c r="R32">
        <f>DV!Q26+DV!Q29</f>
        <v>0</v>
      </c>
      <c r="S32">
        <f>DV!R26+DV!R29</f>
        <v>0</v>
      </c>
      <c r="T32">
        <f>DV!S26+DV!S29</f>
        <v>0</v>
      </c>
      <c r="U32">
        <f>DV!T26+DV!T29</f>
        <v>0</v>
      </c>
      <c r="V32">
        <f>DV!U26+DV!U29</f>
        <v>0</v>
      </c>
      <c r="W32">
        <f>DV!V26+DV!V29</f>
        <v>0</v>
      </c>
      <c r="X32">
        <f>DV!W26+DV!W29</f>
        <v>0</v>
      </c>
      <c r="Y32">
        <f>DV!X26+DV!X29</f>
        <v>0</v>
      </c>
      <c r="Z32">
        <f>DV!Y26+DV!Y29</f>
        <v>0</v>
      </c>
      <c r="AA32">
        <f>DV!Z26+DV!Z29</f>
        <v>0</v>
      </c>
      <c r="AB32">
        <f>DV!AA26+DV!AA29</f>
        <v>0</v>
      </c>
      <c r="AC32">
        <f>DV!AB26+DV!AB29</f>
        <v>0</v>
      </c>
      <c r="AD32">
        <f>DV!AC26+DV!AC29</f>
        <v>0</v>
      </c>
      <c r="AE32">
        <f>DV!AD26+DV!AD29</f>
        <v>0</v>
      </c>
      <c r="AF32">
        <f>DV!AE26+DV!AE29</f>
        <v>0</v>
      </c>
      <c r="AG32">
        <f>DV!AF26+DV!AF29</f>
        <v>0</v>
      </c>
      <c r="AH32">
        <f>DV!AG26+DV!AG29</f>
        <v>0</v>
      </c>
      <c r="AI32">
        <f>DV!AH26+DV!AH29</f>
        <v>0</v>
      </c>
      <c r="AJ32">
        <f>DV!AI26+DV!AI29</f>
        <v>0</v>
      </c>
      <c r="AK32">
        <f>DV!AJ26+DV!AJ29</f>
        <v>0</v>
      </c>
      <c r="AL32">
        <f>DV!AK26+DV!AK29</f>
        <v>0</v>
      </c>
      <c r="AM32">
        <f>DV!AL26+DV!AL29</f>
        <v>0</v>
      </c>
      <c r="AN32">
        <f>DV!AM26+DV!AM29</f>
        <v>0</v>
      </c>
      <c r="AO32">
        <f>DV!AN26+DV!AN29</f>
        <v>0</v>
      </c>
      <c r="AP32">
        <f>DV!AO26+DV!AO29</f>
        <v>0</v>
      </c>
      <c r="AQ32">
        <f>DV!AP26+DV!AP29</f>
        <v>0</v>
      </c>
      <c r="AR32">
        <f>DV!AQ26+DV!AQ29</f>
        <v>0</v>
      </c>
      <c r="AS32">
        <f>DV!AR26+DV!AR29</f>
        <v>0</v>
      </c>
      <c r="AT32">
        <f>DV!AS26+DV!AS29</f>
        <v>0</v>
      </c>
      <c r="AU32">
        <f>DV!AT26+DV!AT29</f>
        <v>0</v>
      </c>
      <c r="AV32">
        <f>DV!AU26+DV!AU29</f>
        <v>0</v>
      </c>
      <c r="AW32">
        <f>DV!AV26+DV!AV29</f>
        <v>0</v>
      </c>
      <c r="AX32">
        <f>DV!AW26+DV!AW29</f>
        <v>0</v>
      </c>
      <c r="AY32">
        <f>DV!AX26+DV!AX29</f>
        <v>0</v>
      </c>
      <c r="AZ32">
        <f>DV!AY26+DV!AY29</f>
        <v>0</v>
      </c>
      <c r="BA32">
        <f>DV!AZ26+DV!AZ29</f>
        <v>0</v>
      </c>
      <c r="BB32">
        <f>DV!BA26+DV!BA29</f>
        <v>0</v>
      </c>
      <c r="BC32">
        <f>DV!BB26+DV!BB29</f>
        <v>0</v>
      </c>
      <c r="BD32">
        <f>DV!BC26+DV!BC29</f>
        <v>0</v>
      </c>
      <c r="BE32">
        <f>DV!BD26+DV!BD29</f>
        <v>0</v>
      </c>
      <c r="BF32">
        <f>DV!BE26+DV!BE29</f>
        <v>0</v>
      </c>
      <c r="BG32">
        <f>DV!BF26+DV!BF29</f>
        <v>0</v>
      </c>
      <c r="BH32">
        <f>DV!BG26+DV!BG29</f>
        <v>0</v>
      </c>
      <c r="BI32">
        <f>DV!BH26+DV!BH29</f>
        <v>0</v>
      </c>
      <c r="BJ32">
        <f>DV!BI26+DV!BI29</f>
        <v>0</v>
      </c>
      <c r="BK32">
        <f>DV!BJ26+DV!BJ29</f>
        <v>0</v>
      </c>
      <c r="BL32">
        <f>DV!BK26+DV!BK29</f>
        <v>0</v>
      </c>
    </row>
    <row r="33" spans="1:64">
      <c r="A33">
        <v>10</v>
      </c>
      <c r="B33" s="5" t="str">
        <f>TEXT(VLOOKUP(A33,СВ[],2),"чч:мм")&amp;"-"&amp;TEXT(VLOOKUP(A33,СВ[],3),"чч:мм")</f>
        <v>10:00-11:00</v>
      </c>
      <c r="C33" s="6">
        <v>11</v>
      </c>
      <c r="D33" s="5" t="str">
        <f>TEXT(VLOOKUP(C33,СВ[],2),"чч:мм")&amp;"-"&amp;TEXT(VLOOKUP(C33,СВ[],3),"чч:мм")</f>
        <v>10:15-11:00</v>
      </c>
      <c r="E33">
        <f>DV!D27+DV!D28</f>
        <v>0</v>
      </c>
      <c r="F33">
        <f>DV!E27+DV!E28</f>
        <v>0</v>
      </c>
      <c r="G33">
        <f>DV!F27+DV!F28</f>
        <v>0</v>
      </c>
      <c r="H33">
        <f>DV!G27+DV!G28</f>
        <v>0</v>
      </c>
      <c r="I33">
        <f>DV!H27+DV!H28</f>
        <v>0</v>
      </c>
      <c r="J33">
        <f>DV!I27+DV!I28</f>
        <v>0</v>
      </c>
      <c r="K33">
        <f>DV!J27+DV!J28</f>
        <v>0</v>
      </c>
      <c r="L33">
        <f>DV!K27+DV!K28</f>
        <v>0</v>
      </c>
      <c r="M33">
        <f>DV!L27+DV!L28</f>
        <v>0</v>
      </c>
      <c r="N33">
        <f>DV!M27+DV!M28</f>
        <v>0</v>
      </c>
      <c r="O33">
        <f>DV!N27+DV!N28</f>
        <v>0</v>
      </c>
      <c r="P33">
        <f>DV!O27+DV!O28</f>
        <v>0</v>
      </c>
      <c r="Q33">
        <f>DV!P27+DV!P28</f>
        <v>0</v>
      </c>
      <c r="R33">
        <f>DV!Q27+DV!Q28</f>
        <v>0</v>
      </c>
      <c r="S33">
        <f>DV!R27+DV!R28</f>
        <v>0</v>
      </c>
      <c r="T33">
        <f>DV!S27+DV!S28</f>
        <v>0</v>
      </c>
      <c r="U33">
        <f>DV!T27+DV!T28</f>
        <v>0</v>
      </c>
      <c r="V33">
        <f>DV!U27+DV!U28</f>
        <v>0</v>
      </c>
      <c r="W33">
        <f>DV!V27+DV!V28</f>
        <v>0</v>
      </c>
      <c r="X33">
        <f>DV!W27+DV!W28</f>
        <v>0</v>
      </c>
      <c r="Y33">
        <f>DV!X27+DV!X28</f>
        <v>0</v>
      </c>
      <c r="Z33">
        <f>DV!Y27+DV!Y28</f>
        <v>0</v>
      </c>
      <c r="AA33">
        <f>DV!Z27+DV!Z28</f>
        <v>0</v>
      </c>
      <c r="AB33">
        <f>DV!AA27+DV!AA28</f>
        <v>0</v>
      </c>
      <c r="AC33">
        <f>DV!AB27+DV!AB28</f>
        <v>0</v>
      </c>
      <c r="AD33">
        <f>DV!AC27+DV!AC28</f>
        <v>0</v>
      </c>
      <c r="AE33">
        <f>DV!AD27+DV!AD28</f>
        <v>0</v>
      </c>
      <c r="AF33">
        <f>DV!AE27+DV!AE28</f>
        <v>0</v>
      </c>
      <c r="AG33">
        <f>DV!AF27+DV!AF28</f>
        <v>0</v>
      </c>
      <c r="AH33">
        <f>DV!AG27+DV!AG28</f>
        <v>0</v>
      </c>
      <c r="AI33">
        <f>DV!AH27+DV!AH28</f>
        <v>0</v>
      </c>
      <c r="AJ33">
        <f>DV!AI27+DV!AI28</f>
        <v>0</v>
      </c>
      <c r="AK33">
        <f>DV!AJ27+DV!AJ28</f>
        <v>0</v>
      </c>
      <c r="AL33">
        <f>DV!AK27+DV!AK28</f>
        <v>0</v>
      </c>
      <c r="AM33">
        <f>DV!AL27+DV!AL28</f>
        <v>0</v>
      </c>
      <c r="AN33">
        <f>DV!AM27+DV!AM28</f>
        <v>0</v>
      </c>
      <c r="AO33">
        <f>DV!AN27+DV!AN28</f>
        <v>0</v>
      </c>
      <c r="AP33">
        <f>DV!AO27+DV!AO28</f>
        <v>0</v>
      </c>
      <c r="AQ33">
        <f>DV!AP27+DV!AP28</f>
        <v>0</v>
      </c>
      <c r="AR33">
        <f>DV!AQ27+DV!AQ28</f>
        <v>0</v>
      </c>
      <c r="AS33">
        <f>DV!AR27+DV!AR28</f>
        <v>0</v>
      </c>
      <c r="AT33">
        <f>DV!AS27+DV!AS28</f>
        <v>0</v>
      </c>
      <c r="AU33">
        <f>DV!AT27+DV!AT28</f>
        <v>0</v>
      </c>
      <c r="AV33">
        <f>DV!AU27+DV!AU28</f>
        <v>0</v>
      </c>
      <c r="AW33">
        <f>DV!AV27+DV!AV28</f>
        <v>0</v>
      </c>
      <c r="AX33">
        <f>DV!AW27+DV!AW28</f>
        <v>0</v>
      </c>
      <c r="AY33">
        <f>DV!AX27+DV!AX28</f>
        <v>0</v>
      </c>
      <c r="AZ33">
        <f>DV!AY27+DV!AY28</f>
        <v>0</v>
      </c>
      <c r="BA33">
        <f>DV!AZ27+DV!AZ28</f>
        <v>0</v>
      </c>
      <c r="BB33">
        <f>DV!BA27+DV!BA28</f>
        <v>0</v>
      </c>
      <c r="BC33">
        <f>DV!BB27+DV!BB28</f>
        <v>0</v>
      </c>
      <c r="BD33">
        <f>DV!BC27+DV!BC28</f>
        <v>0</v>
      </c>
      <c r="BE33">
        <f>DV!BD27+DV!BD28</f>
        <v>0</v>
      </c>
      <c r="BF33">
        <f>DV!BE27+DV!BE28</f>
        <v>0</v>
      </c>
      <c r="BG33">
        <f>DV!BF27+DV!BF28</f>
        <v>0</v>
      </c>
      <c r="BH33">
        <f>DV!BG27+DV!BG28</f>
        <v>0</v>
      </c>
      <c r="BI33">
        <f>DV!BH27+DV!BH28</f>
        <v>0</v>
      </c>
      <c r="BJ33">
        <f>DV!BI27+DV!BI28</f>
        <v>0</v>
      </c>
      <c r="BK33">
        <f>DV!BJ27+DV!BJ28</f>
        <v>0</v>
      </c>
      <c r="BL33">
        <f>DV!BK27+DV!BK28</f>
        <v>0</v>
      </c>
    </row>
    <row r="34" spans="1:64">
      <c r="A34">
        <v>10</v>
      </c>
      <c r="B34" s="5" t="str">
        <f>TEXT(VLOOKUP(A34,СВ[],2),"чч:мм")&amp;"-"&amp;TEXT(VLOOKUP(A34,СВ[],3),"чч:мм")</f>
        <v>10:00-11:00</v>
      </c>
      <c r="C34" s="6">
        <v>12</v>
      </c>
      <c r="D34" s="5" t="str">
        <f>TEXT(VLOOKUP(C34,СВ[],2),"чч:мм")&amp;"-"&amp;TEXT(VLOOKUP(C34,СВ[],3),"чч:мм")</f>
        <v>10:30-11:15</v>
      </c>
      <c r="E34">
        <f>DV!D27+DV!D29</f>
        <v>0</v>
      </c>
      <c r="F34">
        <f>DV!E27+DV!E29</f>
        <v>0</v>
      </c>
      <c r="G34">
        <f>DV!F27+DV!F29</f>
        <v>0</v>
      </c>
      <c r="H34">
        <f>DV!G27+DV!G29</f>
        <v>0</v>
      </c>
      <c r="I34">
        <f>DV!H27+DV!H29</f>
        <v>0</v>
      </c>
      <c r="J34">
        <f>DV!I27+DV!I29</f>
        <v>0</v>
      </c>
      <c r="K34">
        <f>DV!J27+DV!J29</f>
        <v>0</v>
      </c>
      <c r="L34">
        <f>DV!K27+DV!K29</f>
        <v>0</v>
      </c>
      <c r="M34">
        <f>DV!L27+DV!L29</f>
        <v>0</v>
      </c>
      <c r="N34">
        <f>DV!M27+DV!M29</f>
        <v>0</v>
      </c>
      <c r="O34">
        <f>DV!N27+DV!N29</f>
        <v>0</v>
      </c>
      <c r="P34">
        <f>DV!O27+DV!O29</f>
        <v>0</v>
      </c>
      <c r="Q34">
        <f>DV!P27+DV!P29</f>
        <v>0</v>
      </c>
      <c r="R34">
        <f>DV!Q27+DV!Q29</f>
        <v>0</v>
      </c>
      <c r="S34">
        <f>DV!R27+DV!R29</f>
        <v>0</v>
      </c>
      <c r="T34">
        <f>DV!S27+DV!S29</f>
        <v>0</v>
      </c>
      <c r="U34">
        <f>DV!T27+DV!T29</f>
        <v>0</v>
      </c>
      <c r="V34">
        <f>DV!U27+DV!U29</f>
        <v>0</v>
      </c>
      <c r="W34">
        <f>DV!V27+DV!V29</f>
        <v>0</v>
      </c>
      <c r="X34">
        <f>DV!W27+DV!W29</f>
        <v>0</v>
      </c>
      <c r="Y34">
        <f>DV!X27+DV!X29</f>
        <v>0</v>
      </c>
      <c r="Z34">
        <f>DV!Y27+DV!Y29</f>
        <v>0</v>
      </c>
      <c r="AA34">
        <f>DV!Z27+DV!Z29</f>
        <v>0</v>
      </c>
      <c r="AB34">
        <f>DV!AA27+DV!AA29</f>
        <v>0</v>
      </c>
      <c r="AC34">
        <f>DV!AB27+DV!AB29</f>
        <v>0</v>
      </c>
      <c r="AD34">
        <f>DV!AC27+DV!AC29</f>
        <v>0</v>
      </c>
      <c r="AE34">
        <f>DV!AD27+DV!AD29</f>
        <v>0</v>
      </c>
      <c r="AF34">
        <f>DV!AE27+DV!AE29</f>
        <v>0</v>
      </c>
      <c r="AG34">
        <f>DV!AF27+DV!AF29</f>
        <v>0</v>
      </c>
      <c r="AH34">
        <f>DV!AG27+DV!AG29</f>
        <v>0</v>
      </c>
      <c r="AI34">
        <f>DV!AH27+DV!AH29</f>
        <v>0</v>
      </c>
      <c r="AJ34">
        <f>DV!AI27+DV!AI29</f>
        <v>0</v>
      </c>
      <c r="AK34">
        <f>DV!AJ27+DV!AJ29</f>
        <v>0</v>
      </c>
      <c r="AL34">
        <f>DV!AK27+DV!AK29</f>
        <v>0</v>
      </c>
      <c r="AM34">
        <f>DV!AL27+DV!AL29</f>
        <v>0</v>
      </c>
      <c r="AN34">
        <f>DV!AM27+DV!AM29</f>
        <v>0</v>
      </c>
      <c r="AO34">
        <f>DV!AN27+DV!AN29</f>
        <v>0</v>
      </c>
      <c r="AP34">
        <f>DV!AO27+DV!AO29</f>
        <v>0</v>
      </c>
      <c r="AQ34">
        <f>DV!AP27+DV!AP29</f>
        <v>0</v>
      </c>
      <c r="AR34">
        <f>DV!AQ27+DV!AQ29</f>
        <v>0</v>
      </c>
      <c r="AS34">
        <f>DV!AR27+DV!AR29</f>
        <v>0</v>
      </c>
      <c r="AT34">
        <f>DV!AS27+DV!AS29</f>
        <v>0</v>
      </c>
      <c r="AU34">
        <f>DV!AT27+DV!AT29</f>
        <v>0</v>
      </c>
      <c r="AV34">
        <f>DV!AU27+DV!AU29</f>
        <v>0</v>
      </c>
      <c r="AW34">
        <f>DV!AV27+DV!AV29</f>
        <v>0</v>
      </c>
      <c r="AX34">
        <f>DV!AW27+DV!AW29</f>
        <v>0</v>
      </c>
      <c r="AY34">
        <f>DV!AX27+DV!AX29</f>
        <v>0</v>
      </c>
      <c r="AZ34">
        <f>DV!AY27+DV!AY29</f>
        <v>0</v>
      </c>
      <c r="BA34">
        <f>DV!AZ27+DV!AZ29</f>
        <v>0</v>
      </c>
      <c r="BB34">
        <f>DV!BA27+DV!BA29</f>
        <v>0</v>
      </c>
      <c r="BC34">
        <f>DV!BB27+DV!BB29</f>
        <v>0</v>
      </c>
      <c r="BD34">
        <f>DV!BC27+DV!BC29</f>
        <v>0</v>
      </c>
      <c r="BE34">
        <f>DV!BD27+DV!BD29</f>
        <v>0</v>
      </c>
      <c r="BF34">
        <f>DV!BE27+DV!BE29</f>
        <v>0</v>
      </c>
      <c r="BG34">
        <f>DV!BF27+DV!BF29</f>
        <v>0</v>
      </c>
      <c r="BH34">
        <f>DV!BG27+DV!BG29</f>
        <v>0</v>
      </c>
      <c r="BI34">
        <f>DV!BH27+DV!BH29</f>
        <v>0</v>
      </c>
      <c r="BJ34">
        <f>DV!BI27+DV!BI29</f>
        <v>0</v>
      </c>
      <c r="BK34">
        <f>DV!BJ27+DV!BJ29</f>
        <v>0</v>
      </c>
      <c r="BL34">
        <f>DV!BK27+DV!BK29</f>
        <v>0</v>
      </c>
    </row>
    <row r="35" spans="1:64">
      <c r="A35">
        <v>10</v>
      </c>
      <c r="B35" s="5" t="str">
        <f>TEXT(VLOOKUP(A35,СВ[],2),"чч:мм")&amp;"-"&amp;TEXT(VLOOKUP(A35,СВ[],3),"чч:мм")</f>
        <v>10:00-11:00</v>
      </c>
      <c r="C35" s="6">
        <v>13</v>
      </c>
      <c r="D35" s="5" t="str">
        <f>TEXT(VLOOKUP(C35,СВ[],2),"чч:мм")&amp;"-"&amp;TEXT(VLOOKUP(C35,СВ[],3),"чч:мм")</f>
        <v>10:45-11:30</v>
      </c>
      <c r="E35">
        <f>DV!D27+DV!D30</f>
        <v>0</v>
      </c>
      <c r="F35">
        <f>DV!E27+DV!E30</f>
        <v>0</v>
      </c>
      <c r="G35">
        <f>DV!F27+DV!F30</f>
        <v>0</v>
      </c>
      <c r="H35">
        <f>DV!G27+DV!G30</f>
        <v>0</v>
      </c>
      <c r="I35">
        <f>DV!H27+DV!H30</f>
        <v>0</v>
      </c>
      <c r="J35">
        <f>DV!I27+DV!I30</f>
        <v>0</v>
      </c>
      <c r="K35">
        <f>DV!J27+DV!J30</f>
        <v>0</v>
      </c>
      <c r="L35">
        <f>DV!K27+DV!K30</f>
        <v>0</v>
      </c>
      <c r="M35">
        <f>DV!L27+DV!L30</f>
        <v>0</v>
      </c>
      <c r="N35">
        <f>DV!M27+DV!M30</f>
        <v>0</v>
      </c>
      <c r="O35">
        <f>DV!N27+DV!N30</f>
        <v>0</v>
      </c>
      <c r="P35">
        <f>DV!O27+DV!O30</f>
        <v>0</v>
      </c>
      <c r="Q35">
        <f>DV!P27+DV!P30</f>
        <v>0</v>
      </c>
      <c r="R35">
        <f>DV!Q27+DV!Q30</f>
        <v>0</v>
      </c>
      <c r="S35">
        <f>DV!R27+DV!R30</f>
        <v>0</v>
      </c>
      <c r="T35">
        <f>DV!S27+DV!S30</f>
        <v>0</v>
      </c>
      <c r="U35">
        <f>DV!T27+DV!T30</f>
        <v>0</v>
      </c>
      <c r="V35">
        <f>DV!U27+DV!U30</f>
        <v>0</v>
      </c>
      <c r="W35">
        <f>DV!V27+DV!V30</f>
        <v>0</v>
      </c>
      <c r="X35">
        <f>DV!W27+DV!W30</f>
        <v>0</v>
      </c>
      <c r="Y35">
        <f>DV!X27+DV!X30</f>
        <v>0</v>
      </c>
      <c r="Z35">
        <f>DV!Y27+DV!Y30</f>
        <v>0</v>
      </c>
      <c r="AA35">
        <f>DV!Z27+DV!Z30</f>
        <v>0</v>
      </c>
      <c r="AB35">
        <f>DV!AA27+DV!AA30</f>
        <v>0</v>
      </c>
      <c r="AC35">
        <f>DV!AB27+DV!AB30</f>
        <v>0</v>
      </c>
      <c r="AD35">
        <f>DV!AC27+DV!AC30</f>
        <v>0</v>
      </c>
      <c r="AE35">
        <f>DV!AD27+DV!AD30</f>
        <v>0</v>
      </c>
      <c r="AF35">
        <f>DV!AE27+DV!AE30</f>
        <v>0</v>
      </c>
      <c r="AG35">
        <f>DV!AF27+DV!AF30</f>
        <v>0</v>
      </c>
      <c r="AH35">
        <f>DV!AG27+DV!AG30</f>
        <v>0</v>
      </c>
      <c r="AI35">
        <f>DV!AH27+DV!AH30</f>
        <v>0</v>
      </c>
      <c r="AJ35">
        <f>DV!AI27+DV!AI30</f>
        <v>0</v>
      </c>
      <c r="AK35">
        <f>DV!AJ27+DV!AJ30</f>
        <v>0</v>
      </c>
      <c r="AL35">
        <f>DV!AK27+DV!AK30</f>
        <v>0</v>
      </c>
      <c r="AM35">
        <f>DV!AL27+DV!AL30</f>
        <v>0</v>
      </c>
      <c r="AN35">
        <f>DV!AM27+DV!AM30</f>
        <v>0</v>
      </c>
      <c r="AO35">
        <f>DV!AN27+DV!AN30</f>
        <v>0</v>
      </c>
      <c r="AP35">
        <f>DV!AO27+DV!AO30</f>
        <v>0</v>
      </c>
      <c r="AQ35">
        <f>DV!AP27+DV!AP30</f>
        <v>0</v>
      </c>
      <c r="AR35">
        <f>DV!AQ27+DV!AQ30</f>
        <v>0</v>
      </c>
      <c r="AS35">
        <f>DV!AR27+DV!AR30</f>
        <v>0</v>
      </c>
      <c r="AT35">
        <f>DV!AS27+DV!AS30</f>
        <v>0</v>
      </c>
      <c r="AU35">
        <f>DV!AT27+DV!AT30</f>
        <v>0</v>
      </c>
      <c r="AV35">
        <f>DV!AU27+DV!AU30</f>
        <v>0</v>
      </c>
      <c r="AW35">
        <f>DV!AV27+DV!AV30</f>
        <v>0</v>
      </c>
      <c r="AX35">
        <f>DV!AW27+DV!AW30</f>
        <v>0</v>
      </c>
      <c r="AY35">
        <f>DV!AX27+DV!AX30</f>
        <v>0</v>
      </c>
      <c r="AZ35">
        <f>DV!AY27+DV!AY30</f>
        <v>0</v>
      </c>
      <c r="BA35">
        <f>DV!AZ27+DV!AZ30</f>
        <v>0</v>
      </c>
      <c r="BB35">
        <f>DV!BA27+DV!BA30</f>
        <v>0</v>
      </c>
      <c r="BC35">
        <f>DV!BB27+DV!BB30</f>
        <v>0</v>
      </c>
      <c r="BD35">
        <f>DV!BC27+DV!BC30</f>
        <v>0</v>
      </c>
      <c r="BE35">
        <f>DV!BD27+DV!BD30</f>
        <v>0</v>
      </c>
      <c r="BF35">
        <f>DV!BE27+DV!BE30</f>
        <v>0</v>
      </c>
      <c r="BG35">
        <f>DV!BF27+DV!BF30</f>
        <v>0</v>
      </c>
      <c r="BH35">
        <f>DV!BG27+DV!BG30</f>
        <v>0</v>
      </c>
      <c r="BI35">
        <f>DV!BH27+DV!BH30</f>
        <v>0</v>
      </c>
      <c r="BJ35">
        <f>DV!BI27+DV!BI30</f>
        <v>0</v>
      </c>
      <c r="BK35">
        <f>DV!BJ27+DV!BJ30</f>
        <v>0</v>
      </c>
      <c r="BL35">
        <f>DV!BK27+DV!BK30</f>
        <v>0</v>
      </c>
    </row>
    <row r="36" spans="1:64">
      <c r="A36">
        <v>11</v>
      </c>
      <c r="B36" s="5" t="str">
        <f>TEXT(VLOOKUP(A36,СВ[],2),"чч:мм")&amp;"-"&amp;TEXT(VLOOKUP(A36,СВ[],3),"чч:мм")</f>
        <v>10:15-11:00</v>
      </c>
      <c r="C36" s="6">
        <v>12</v>
      </c>
      <c r="D36" s="5" t="str">
        <f>TEXT(VLOOKUP(C36,СВ[],2),"чч:мм")&amp;"-"&amp;TEXT(VLOOKUP(C36,СВ[],3),"чч:мм")</f>
        <v>10:30-11:15</v>
      </c>
      <c r="E36">
        <f>DV!D28+DV!D29</f>
        <v>0</v>
      </c>
      <c r="F36">
        <f>DV!E28+DV!E29</f>
        <v>0</v>
      </c>
      <c r="G36">
        <f>DV!F28+DV!F29</f>
        <v>0</v>
      </c>
      <c r="H36">
        <f>DV!G28+DV!G29</f>
        <v>0</v>
      </c>
      <c r="I36">
        <f>DV!H28+DV!H29</f>
        <v>0</v>
      </c>
      <c r="J36">
        <f>DV!I28+DV!I29</f>
        <v>0</v>
      </c>
      <c r="K36">
        <f>DV!J28+DV!J29</f>
        <v>0</v>
      </c>
      <c r="L36">
        <f>DV!K28+DV!K29</f>
        <v>0</v>
      </c>
      <c r="M36">
        <f>DV!L28+DV!L29</f>
        <v>0</v>
      </c>
      <c r="N36">
        <f>DV!M28+DV!M29</f>
        <v>0</v>
      </c>
      <c r="O36">
        <f>DV!N28+DV!N29</f>
        <v>0</v>
      </c>
      <c r="P36">
        <f>DV!O28+DV!O29</f>
        <v>0</v>
      </c>
      <c r="Q36">
        <f>DV!P28+DV!P29</f>
        <v>0</v>
      </c>
      <c r="R36">
        <f>DV!Q28+DV!Q29</f>
        <v>0</v>
      </c>
      <c r="S36">
        <f>DV!R28+DV!R29</f>
        <v>0</v>
      </c>
      <c r="T36">
        <f>DV!S28+DV!S29</f>
        <v>0</v>
      </c>
      <c r="U36">
        <f>DV!T28+DV!T29</f>
        <v>0</v>
      </c>
      <c r="V36">
        <f>DV!U28+DV!U29</f>
        <v>0</v>
      </c>
      <c r="W36">
        <f>DV!V28+DV!V29</f>
        <v>0</v>
      </c>
      <c r="X36">
        <f>DV!W28+DV!W29</f>
        <v>0</v>
      </c>
      <c r="Y36">
        <f>DV!X28+DV!X29</f>
        <v>0</v>
      </c>
      <c r="Z36">
        <f>DV!Y28+DV!Y29</f>
        <v>0</v>
      </c>
      <c r="AA36">
        <f>DV!Z28+DV!Z29</f>
        <v>0</v>
      </c>
      <c r="AB36">
        <f>DV!AA28+DV!AA29</f>
        <v>0</v>
      </c>
      <c r="AC36">
        <f>DV!AB28+DV!AB29</f>
        <v>0</v>
      </c>
      <c r="AD36">
        <f>DV!AC28+DV!AC29</f>
        <v>0</v>
      </c>
      <c r="AE36">
        <f>DV!AD28+DV!AD29</f>
        <v>0</v>
      </c>
      <c r="AF36">
        <f>DV!AE28+DV!AE29</f>
        <v>0</v>
      </c>
      <c r="AG36">
        <f>DV!AF28+DV!AF29</f>
        <v>0</v>
      </c>
      <c r="AH36">
        <f>DV!AG28+DV!AG29</f>
        <v>0</v>
      </c>
      <c r="AI36">
        <f>DV!AH28+DV!AH29</f>
        <v>0</v>
      </c>
      <c r="AJ36">
        <f>DV!AI28+DV!AI29</f>
        <v>0</v>
      </c>
      <c r="AK36">
        <f>DV!AJ28+DV!AJ29</f>
        <v>0</v>
      </c>
      <c r="AL36">
        <f>DV!AK28+DV!AK29</f>
        <v>0</v>
      </c>
      <c r="AM36">
        <f>DV!AL28+DV!AL29</f>
        <v>0</v>
      </c>
      <c r="AN36">
        <f>DV!AM28+DV!AM29</f>
        <v>0</v>
      </c>
      <c r="AO36">
        <f>DV!AN28+DV!AN29</f>
        <v>0</v>
      </c>
      <c r="AP36">
        <f>DV!AO28+DV!AO29</f>
        <v>0</v>
      </c>
      <c r="AQ36">
        <f>DV!AP28+DV!AP29</f>
        <v>0</v>
      </c>
      <c r="AR36">
        <f>DV!AQ28+DV!AQ29</f>
        <v>0</v>
      </c>
      <c r="AS36">
        <f>DV!AR28+DV!AR29</f>
        <v>0</v>
      </c>
      <c r="AT36">
        <f>DV!AS28+DV!AS29</f>
        <v>0</v>
      </c>
      <c r="AU36">
        <f>DV!AT28+DV!AT29</f>
        <v>0</v>
      </c>
      <c r="AV36">
        <f>DV!AU28+DV!AU29</f>
        <v>0</v>
      </c>
      <c r="AW36">
        <f>DV!AV28+DV!AV29</f>
        <v>0</v>
      </c>
      <c r="AX36">
        <f>DV!AW28+DV!AW29</f>
        <v>0</v>
      </c>
      <c r="AY36">
        <f>DV!AX28+DV!AX29</f>
        <v>0</v>
      </c>
      <c r="AZ36">
        <f>DV!AY28+DV!AY29</f>
        <v>0</v>
      </c>
      <c r="BA36">
        <f>DV!AZ28+DV!AZ29</f>
        <v>0</v>
      </c>
      <c r="BB36">
        <f>DV!BA28+DV!BA29</f>
        <v>0</v>
      </c>
      <c r="BC36">
        <f>DV!BB28+DV!BB29</f>
        <v>0</v>
      </c>
      <c r="BD36">
        <f>DV!BC28+DV!BC29</f>
        <v>0</v>
      </c>
      <c r="BE36">
        <f>DV!BD28+DV!BD29</f>
        <v>0</v>
      </c>
      <c r="BF36">
        <f>DV!BE28+DV!BE29</f>
        <v>0</v>
      </c>
      <c r="BG36">
        <f>DV!BF28+DV!BF29</f>
        <v>0</v>
      </c>
      <c r="BH36">
        <f>DV!BG28+DV!BG29</f>
        <v>0</v>
      </c>
      <c r="BI36">
        <f>DV!BH28+DV!BH29</f>
        <v>0</v>
      </c>
      <c r="BJ36">
        <f>DV!BI28+DV!BI29</f>
        <v>0</v>
      </c>
      <c r="BK36">
        <f>DV!BJ28+DV!BJ29</f>
        <v>0</v>
      </c>
      <c r="BL36">
        <f>DV!BK28+DV!BK29</f>
        <v>0</v>
      </c>
    </row>
    <row r="37" spans="1:64">
      <c r="A37">
        <v>11</v>
      </c>
      <c r="B37" s="5" t="str">
        <f>TEXT(VLOOKUP(A37,СВ[],2),"чч:мм")&amp;"-"&amp;TEXT(VLOOKUP(A37,СВ[],3),"чч:мм")</f>
        <v>10:15-11:00</v>
      </c>
      <c r="C37" s="6">
        <v>13</v>
      </c>
      <c r="D37" s="5" t="str">
        <f>TEXT(VLOOKUP(C37,СВ[],2),"чч:мм")&amp;"-"&amp;TEXT(VLOOKUP(C37,СВ[],3),"чч:мм")</f>
        <v>10:45-11:30</v>
      </c>
      <c r="E37">
        <f>DV!D28+DV!D30</f>
        <v>0</v>
      </c>
      <c r="F37">
        <f>DV!E28+DV!E30</f>
        <v>0</v>
      </c>
      <c r="G37">
        <f>DV!F28+DV!F30</f>
        <v>0</v>
      </c>
      <c r="H37">
        <f>DV!G28+DV!G30</f>
        <v>0</v>
      </c>
      <c r="I37">
        <f>DV!H28+DV!H30</f>
        <v>0</v>
      </c>
      <c r="J37">
        <f>DV!I28+DV!I30</f>
        <v>0</v>
      </c>
      <c r="K37">
        <f>DV!J28+DV!J30</f>
        <v>0</v>
      </c>
      <c r="L37">
        <f>DV!K28+DV!K30</f>
        <v>0</v>
      </c>
      <c r="M37">
        <f>DV!L28+DV!L30</f>
        <v>0</v>
      </c>
      <c r="N37">
        <f>DV!M28+DV!M30</f>
        <v>0</v>
      </c>
      <c r="O37">
        <f>DV!N28+DV!N30</f>
        <v>0</v>
      </c>
      <c r="P37">
        <f>DV!O28+DV!O30</f>
        <v>0</v>
      </c>
      <c r="Q37">
        <f>DV!P28+DV!P30</f>
        <v>0</v>
      </c>
      <c r="R37">
        <f>DV!Q28+DV!Q30</f>
        <v>0</v>
      </c>
      <c r="S37">
        <f>DV!R28+DV!R30</f>
        <v>0</v>
      </c>
      <c r="T37">
        <f>DV!S28+DV!S30</f>
        <v>0</v>
      </c>
      <c r="U37">
        <f>DV!T28+DV!T30</f>
        <v>0</v>
      </c>
      <c r="V37">
        <f>DV!U28+DV!U30</f>
        <v>0</v>
      </c>
      <c r="W37">
        <f>DV!V28+DV!V30</f>
        <v>0</v>
      </c>
      <c r="X37">
        <f>DV!W28+DV!W30</f>
        <v>0</v>
      </c>
      <c r="Y37">
        <f>DV!X28+DV!X30</f>
        <v>0</v>
      </c>
      <c r="Z37">
        <f>DV!Y28+DV!Y30</f>
        <v>0</v>
      </c>
      <c r="AA37">
        <f>DV!Z28+DV!Z30</f>
        <v>0</v>
      </c>
      <c r="AB37">
        <f>DV!AA28+DV!AA30</f>
        <v>0</v>
      </c>
      <c r="AC37">
        <f>DV!AB28+DV!AB30</f>
        <v>0</v>
      </c>
      <c r="AD37">
        <f>DV!AC28+DV!AC30</f>
        <v>0</v>
      </c>
      <c r="AE37">
        <f>DV!AD28+DV!AD30</f>
        <v>0</v>
      </c>
      <c r="AF37">
        <f>DV!AE28+DV!AE30</f>
        <v>0</v>
      </c>
      <c r="AG37">
        <f>DV!AF28+DV!AF30</f>
        <v>0</v>
      </c>
      <c r="AH37">
        <f>DV!AG28+DV!AG30</f>
        <v>0</v>
      </c>
      <c r="AI37">
        <f>DV!AH28+DV!AH30</f>
        <v>0</v>
      </c>
      <c r="AJ37">
        <f>DV!AI28+DV!AI30</f>
        <v>0</v>
      </c>
      <c r="AK37">
        <f>DV!AJ28+DV!AJ30</f>
        <v>0</v>
      </c>
      <c r="AL37">
        <f>DV!AK28+DV!AK30</f>
        <v>0</v>
      </c>
      <c r="AM37">
        <f>DV!AL28+DV!AL30</f>
        <v>0</v>
      </c>
      <c r="AN37">
        <f>DV!AM28+DV!AM30</f>
        <v>0</v>
      </c>
      <c r="AO37">
        <f>DV!AN28+DV!AN30</f>
        <v>0</v>
      </c>
      <c r="AP37">
        <f>DV!AO28+DV!AO30</f>
        <v>0</v>
      </c>
      <c r="AQ37">
        <f>DV!AP28+DV!AP30</f>
        <v>0</v>
      </c>
      <c r="AR37">
        <f>DV!AQ28+DV!AQ30</f>
        <v>0</v>
      </c>
      <c r="AS37">
        <f>DV!AR28+DV!AR30</f>
        <v>0</v>
      </c>
      <c r="AT37">
        <f>DV!AS28+DV!AS30</f>
        <v>0</v>
      </c>
      <c r="AU37">
        <f>DV!AT28+DV!AT30</f>
        <v>0</v>
      </c>
      <c r="AV37">
        <f>DV!AU28+DV!AU30</f>
        <v>0</v>
      </c>
      <c r="AW37">
        <f>DV!AV28+DV!AV30</f>
        <v>0</v>
      </c>
      <c r="AX37">
        <f>DV!AW28+DV!AW30</f>
        <v>0</v>
      </c>
      <c r="AY37">
        <f>DV!AX28+DV!AX30</f>
        <v>0</v>
      </c>
      <c r="AZ37">
        <f>DV!AY28+DV!AY30</f>
        <v>0</v>
      </c>
      <c r="BA37">
        <f>DV!AZ28+DV!AZ30</f>
        <v>0</v>
      </c>
      <c r="BB37">
        <f>DV!BA28+DV!BA30</f>
        <v>0</v>
      </c>
      <c r="BC37">
        <f>DV!BB28+DV!BB30</f>
        <v>0</v>
      </c>
      <c r="BD37">
        <f>DV!BC28+DV!BC30</f>
        <v>0</v>
      </c>
      <c r="BE37">
        <f>DV!BD28+DV!BD30</f>
        <v>0</v>
      </c>
      <c r="BF37">
        <f>DV!BE28+DV!BE30</f>
        <v>0</v>
      </c>
      <c r="BG37">
        <f>DV!BF28+DV!BF30</f>
        <v>0</v>
      </c>
      <c r="BH37">
        <f>DV!BG28+DV!BG30</f>
        <v>0</v>
      </c>
      <c r="BI37">
        <f>DV!BH28+DV!BH30</f>
        <v>0</v>
      </c>
      <c r="BJ37">
        <f>DV!BI28+DV!BI30</f>
        <v>0</v>
      </c>
      <c r="BK37">
        <f>DV!BJ28+DV!BJ30</f>
        <v>0</v>
      </c>
      <c r="BL37">
        <f>DV!BK28+DV!BK30</f>
        <v>0</v>
      </c>
    </row>
    <row r="38" spans="1:64">
      <c r="A38">
        <v>12</v>
      </c>
      <c r="B38" s="5" t="str">
        <f>TEXT(VLOOKUP(A38,СВ[],2),"чч:мм")&amp;"-"&amp;TEXT(VLOOKUP(A38,СВ[],3),"чч:мм")</f>
        <v>10:30-11:15</v>
      </c>
      <c r="C38" s="6">
        <v>13</v>
      </c>
      <c r="D38" s="5" t="str">
        <f>TEXT(VLOOKUP(C38,СВ[],2),"чч:мм")&amp;"-"&amp;TEXT(VLOOKUP(C38,СВ[],3),"чч:мм")</f>
        <v>10:45-11:30</v>
      </c>
      <c r="E38">
        <f>DV!D29+DV!D30</f>
        <v>0</v>
      </c>
      <c r="F38">
        <f>DV!E29+DV!E30</f>
        <v>0</v>
      </c>
      <c r="G38">
        <f>DV!F29+DV!F30</f>
        <v>0</v>
      </c>
      <c r="H38">
        <f>DV!G29+DV!G30</f>
        <v>0</v>
      </c>
      <c r="I38">
        <f>DV!H29+DV!H30</f>
        <v>0</v>
      </c>
      <c r="J38">
        <f>DV!I29+DV!I30</f>
        <v>0</v>
      </c>
      <c r="K38">
        <f>DV!J29+DV!J30</f>
        <v>0</v>
      </c>
      <c r="L38">
        <f>DV!K29+DV!K30</f>
        <v>0</v>
      </c>
      <c r="M38">
        <f>DV!L29+DV!L30</f>
        <v>0</v>
      </c>
      <c r="N38">
        <f>DV!M29+DV!M30</f>
        <v>0</v>
      </c>
      <c r="O38">
        <f>DV!N29+DV!N30</f>
        <v>0</v>
      </c>
      <c r="P38">
        <f>DV!O29+DV!O30</f>
        <v>0</v>
      </c>
      <c r="Q38">
        <f>DV!P29+DV!P30</f>
        <v>0</v>
      </c>
      <c r="R38">
        <f>DV!Q29+DV!Q30</f>
        <v>0</v>
      </c>
      <c r="S38">
        <f>DV!R29+DV!R30</f>
        <v>0</v>
      </c>
      <c r="T38">
        <f>DV!S29+DV!S30</f>
        <v>0</v>
      </c>
      <c r="U38">
        <f>DV!T29+DV!T30</f>
        <v>0</v>
      </c>
      <c r="V38">
        <f>DV!U29+DV!U30</f>
        <v>0</v>
      </c>
      <c r="W38">
        <f>DV!V29+DV!V30</f>
        <v>0</v>
      </c>
      <c r="X38">
        <f>DV!W29+DV!W30</f>
        <v>0</v>
      </c>
      <c r="Y38">
        <f>DV!X29+DV!X30</f>
        <v>0</v>
      </c>
      <c r="Z38">
        <f>DV!Y29+DV!Y30</f>
        <v>0</v>
      </c>
      <c r="AA38">
        <f>DV!Z29+DV!Z30</f>
        <v>0</v>
      </c>
      <c r="AB38">
        <f>DV!AA29+DV!AA30</f>
        <v>0</v>
      </c>
      <c r="AC38">
        <f>DV!AB29+DV!AB30</f>
        <v>0</v>
      </c>
      <c r="AD38">
        <f>DV!AC29+DV!AC30</f>
        <v>0</v>
      </c>
      <c r="AE38">
        <f>DV!AD29+DV!AD30</f>
        <v>0</v>
      </c>
      <c r="AF38">
        <f>DV!AE29+DV!AE30</f>
        <v>0</v>
      </c>
      <c r="AG38">
        <f>DV!AF29+DV!AF30</f>
        <v>0</v>
      </c>
      <c r="AH38">
        <f>DV!AG29+DV!AG30</f>
        <v>0</v>
      </c>
      <c r="AI38">
        <f>DV!AH29+DV!AH30</f>
        <v>0</v>
      </c>
      <c r="AJ38">
        <f>DV!AI29+DV!AI30</f>
        <v>0</v>
      </c>
      <c r="AK38">
        <f>DV!AJ29+DV!AJ30</f>
        <v>0</v>
      </c>
      <c r="AL38">
        <f>DV!AK29+DV!AK30</f>
        <v>0</v>
      </c>
      <c r="AM38">
        <f>DV!AL29+DV!AL30</f>
        <v>0</v>
      </c>
      <c r="AN38">
        <f>DV!AM29+DV!AM30</f>
        <v>0</v>
      </c>
      <c r="AO38">
        <f>DV!AN29+DV!AN30</f>
        <v>0</v>
      </c>
      <c r="AP38">
        <f>DV!AO29+DV!AO30</f>
        <v>0</v>
      </c>
      <c r="AQ38">
        <f>DV!AP29+DV!AP30</f>
        <v>0</v>
      </c>
      <c r="AR38">
        <f>DV!AQ29+DV!AQ30</f>
        <v>0</v>
      </c>
      <c r="AS38">
        <f>DV!AR29+DV!AR30</f>
        <v>0</v>
      </c>
      <c r="AT38">
        <f>DV!AS29+DV!AS30</f>
        <v>0</v>
      </c>
      <c r="AU38">
        <f>DV!AT29+DV!AT30</f>
        <v>0</v>
      </c>
      <c r="AV38">
        <f>DV!AU29+DV!AU30</f>
        <v>0</v>
      </c>
      <c r="AW38">
        <f>DV!AV29+DV!AV30</f>
        <v>0</v>
      </c>
      <c r="AX38">
        <f>DV!AW29+DV!AW30</f>
        <v>0</v>
      </c>
      <c r="AY38">
        <f>DV!AX29+DV!AX30</f>
        <v>0</v>
      </c>
      <c r="AZ38">
        <f>DV!AY29+DV!AY30</f>
        <v>0</v>
      </c>
      <c r="BA38">
        <f>DV!AZ29+DV!AZ30</f>
        <v>0</v>
      </c>
      <c r="BB38">
        <f>DV!BA29+DV!BA30</f>
        <v>0</v>
      </c>
      <c r="BC38">
        <f>DV!BB29+DV!BB30</f>
        <v>0</v>
      </c>
      <c r="BD38">
        <f>DV!BC29+DV!BC30</f>
        <v>0</v>
      </c>
      <c r="BE38">
        <f>DV!BD29+DV!BD30</f>
        <v>0</v>
      </c>
      <c r="BF38">
        <f>DV!BE29+DV!BE30</f>
        <v>0</v>
      </c>
      <c r="BG38">
        <f>DV!BF29+DV!BF30</f>
        <v>0</v>
      </c>
      <c r="BH38">
        <f>DV!BG29+DV!BG30</f>
        <v>0</v>
      </c>
      <c r="BI38">
        <f>DV!BH29+DV!BH30</f>
        <v>0</v>
      </c>
      <c r="BJ38">
        <f>DV!BI29+DV!BI30</f>
        <v>0</v>
      </c>
      <c r="BK38">
        <f>DV!BJ29+DV!BJ30</f>
        <v>0</v>
      </c>
      <c r="BL38">
        <f>DV!BK29+DV!BK30</f>
        <v>0</v>
      </c>
    </row>
    <row r="39" spans="1:64">
      <c r="A39">
        <v>12</v>
      </c>
      <c r="B39" s="5" t="str">
        <f>TEXT(VLOOKUP(A39,СВ[],2),"чч:мм")&amp;"-"&amp;TEXT(VLOOKUP(A39,СВ[],3),"чч:мм")</f>
        <v>10:30-11:15</v>
      </c>
      <c r="C39" s="6">
        <v>14</v>
      </c>
      <c r="D39" s="5" t="str">
        <f>TEXT(VLOOKUP(C39,СВ[],2),"чч:мм")&amp;"-"&amp;TEXT(VLOOKUP(C39,СВ[],3),"чч:мм")</f>
        <v>11:00-12:00</v>
      </c>
      <c r="E39">
        <f>DV!D29+DV!D31</f>
        <v>0</v>
      </c>
      <c r="F39">
        <f>DV!E29+DV!E31</f>
        <v>0</v>
      </c>
      <c r="G39">
        <f>DV!F29+DV!F31</f>
        <v>0</v>
      </c>
      <c r="H39">
        <f>DV!G29+DV!G31</f>
        <v>0</v>
      </c>
      <c r="I39">
        <f>DV!H29+DV!H31</f>
        <v>0</v>
      </c>
      <c r="J39">
        <f>DV!I29+DV!I31</f>
        <v>0</v>
      </c>
      <c r="K39">
        <f>DV!J29+DV!J31</f>
        <v>0</v>
      </c>
      <c r="L39">
        <f>DV!K29+DV!K31</f>
        <v>0</v>
      </c>
      <c r="M39">
        <f>DV!L29+DV!L31</f>
        <v>0</v>
      </c>
      <c r="N39">
        <f>DV!M29+DV!M31</f>
        <v>0</v>
      </c>
      <c r="O39">
        <f>DV!N29+DV!N31</f>
        <v>0</v>
      </c>
      <c r="P39">
        <f>DV!O29+DV!O31</f>
        <v>0</v>
      </c>
      <c r="Q39">
        <f>DV!P29+DV!P31</f>
        <v>0</v>
      </c>
      <c r="R39">
        <f>DV!Q29+DV!Q31</f>
        <v>0</v>
      </c>
      <c r="S39">
        <f>DV!R29+DV!R31</f>
        <v>0</v>
      </c>
      <c r="T39">
        <f>DV!S29+DV!S31</f>
        <v>0</v>
      </c>
      <c r="U39">
        <f>DV!T29+DV!T31</f>
        <v>0</v>
      </c>
      <c r="V39">
        <f>DV!U29+DV!U31</f>
        <v>0</v>
      </c>
      <c r="W39">
        <f>DV!V29+DV!V31</f>
        <v>0</v>
      </c>
      <c r="X39">
        <f>DV!W29+DV!W31</f>
        <v>0</v>
      </c>
      <c r="Y39">
        <f>DV!X29+DV!X31</f>
        <v>0</v>
      </c>
      <c r="Z39">
        <f>DV!Y29+DV!Y31</f>
        <v>0</v>
      </c>
      <c r="AA39">
        <f>DV!Z29+DV!Z31</f>
        <v>0</v>
      </c>
      <c r="AB39">
        <f>DV!AA29+DV!AA31</f>
        <v>0</v>
      </c>
      <c r="AC39">
        <f>DV!AB29+DV!AB31</f>
        <v>0</v>
      </c>
      <c r="AD39">
        <f>DV!AC29+DV!AC31</f>
        <v>0</v>
      </c>
      <c r="AE39">
        <f>DV!AD29+DV!AD31</f>
        <v>0</v>
      </c>
      <c r="AF39">
        <f>DV!AE29+DV!AE31</f>
        <v>0</v>
      </c>
      <c r="AG39">
        <f>DV!AF29+DV!AF31</f>
        <v>0</v>
      </c>
      <c r="AH39">
        <f>DV!AG29+DV!AG31</f>
        <v>0</v>
      </c>
      <c r="AI39">
        <f>DV!AH29+DV!AH31</f>
        <v>0</v>
      </c>
      <c r="AJ39">
        <f>DV!AI29+DV!AI31</f>
        <v>0</v>
      </c>
      <c r="AK39">
        <f>DV!AJ29+DV!AJ31</f>
        <v>0</v>
      </c>
      <c r="AL39">
        <f>DV!AK29+DV!AK31</f>
        <v>0</v>
      </c>
      <c r="AM39">
        <f>DV!AL29+DV!AL31</f>
        <v>0</v>
      </c>
      <c r="AN39">
        <f>DV!AM29+DV!AM31</f>
        <v>0</v>
      </c>
      <c r="AO39">
        <f>DV!AN29+DV!AN31</f>
        <v>0</v>
      </c>
      <c r="AP39">
        <f>DV!AO29+DV!AO31</f>
        <v>0</v>
      </c>
      <c r="AQ39">
        <f>DV!AP29+DV!AP31</f>
        <v>0</v>
      </c>
      <c r="AR39">
        <f>DV!AQ29+DV!AQ31</f>
        <v>0</v>
      </c>
      <c r="AS39">
        <f>DV!AR29+DV!AR31</f>
        <v>0</v>
      </c>
      <c r="AT39">
        <f>DV!AS29+DV!AS31</f>
        <v>0</v>
      </c>
      <c r="AU39">
        <f>DV!AT29+DV!AT31</f>
        <v>0</v>
      </c>
      <c r="AV39">
        <f>DV!AU29+DV!AU31</f>
        <v>0</v>
      </c>
      <c r="AW39">
        <f>DV!AV29+DV!AV31</f>
        <v>0</v>
      </c>
      <c r="AX39">
        <f>DV!AW29+DV!AW31</f>
        <v>0</v>
      </c>
      <c r="AY39">
        <f>DV!AX29+DV!AX31</f>
        <v>0</v>
      </c>
      <c r="AZ39">
        <f>DV!AY29+DV!AY31</f>
        <v>0</v>
      </c>
      <c r="BA39">
        <f>DV!AZ29+DV!AZ31</f>
        <v>0</v>
      </c>
      <c r="BB39">
        <f>DV!BA29+DV!BA31</f>
        <v>0</v>
      </c>
      <c r="BC39">
        <f>DV!BB29+DV!BB31</f>
        <v>0</v>
      </c>
      <c r="BD39">
        <f>DV!BC29+DV!BC31</f>
        <v>0</v>
      </c>
      <c r="BE39">
        <f>DV!BD29+DV!BD31</f>
        <v>0</v>
      </c>
      <c r="BF39">
        <f>DV!BE29+DV!BE31</f>
        <v>0</v>
      </c>
      <c r="BG39">
        <f>DV!BF29+DV!BF31</f>
        <v>0</v>
      </c>
      <c r="BH39">
        <f>DV!BG29+DV!BG31</f>
        <v>0</v>
      </c>
      <c r="BI39">
        <f>DV!BH29+DV!BH31</f>
        <v>0</v>
      </c>
      <c r="BJ39">
        <f>DV!BI29+DV!BI31</f>
        <v>0</v>
      </c>
      <c r="BK39">
        <f>DV!BJ29+DV!BJ31</f>
        <v>0</v>
      </c>
      <c r="BL39">
        <f>DV!BK29+DV!BK31</f>
        <v>0</v>
      </c>
    </row>
    <row r="40" spans="1:64">
      <c r="A40">
        <v>13</v>
      </c>
      <c r="B40" s="5" t="str">
        <f>TEXT(VLOOKUP(A40,СВ[],2),"чч:мм")&amp;"-"&amp;TEXT(VLOOKUP(A40,СВ[],3),"чч:мм")</f>
        <v>10:45-11:30</v>
      </c>
      <c r="C40" s="6">
        <v>14</v>
      </c>
      <c r="D40" s="5" t="str">
        <f>TEXT(VLOOKUP(C40,СВ[],2),"чч:мм")&amp;"-"&amp;TEXT(VLOOKUP(C40,СВ[],3),"чч:мм")</f>
        <v>11:00-12:00</v>
      </c>
      <c r="E40">
        <f>DV!D30+DV!D31</f>
        <v>0</v>
      </c>
      <c r="F40">
        <f>DV!E30+DV!E31</f>
        <v>0</v>
      </c>
      <c r="G40">
        <f>DV!F30+DV!F31</f>
        <v>0</v>
      </c>
      <c r="H40">
        <f>DV!G30+DV!G31</f>
        <v>0</v>
      </c>
      <c r="I40">
        <f>DV!H30+DV!H31</f>
        <v>0</v>
      </c>
      <c r="J40">
        <f>DV!I30+DV!I31</f>
        <v>0</v>
      </c>
      <c r="K40">
        <f>DV!J30+DV!J31</f>
        <v>0</v>
      </c>
      <c r="L40">
        <f>DV!K30+DV!K31</f>
        <v>0</v>
      </c>
      <c r="M40">
        <f>DV!L30+DV!L31</f>
        <v>0</v>
      </c>
      <c r="N40">
        <f>DV!M30+DV!M31</f>
        <v>0</v>
      </c>
      <c r="O40">
        <f>DV!N30+DV!N31</f>
        <v>0</v>
      </c>
      <c r="P40">
        <f>DV!O30+DV!O31</f>
        <v>0</v>
      </c>
      <c r="Q40">
        <f>DV!P30+DV!P31</f>
        <v>0</v>
      </c>
      <c r="R40">
        <f>DV!Q30+DV!Q31</f>
        <v>0</v>
      </c>
      <c r="S40">
        <f>DV!R30+DV!R31</f>
        <v>0</v>
      </c>
      <c r="T40">
        <f>DV!S30+DV!S31</f>
        <v>0</v>
      </c>
      <c r="U40">
        <f>DV!T30+DV!T31</f>
        <v>0</v>
      </c>
      <c r="V40">
        <f>DV!U30+DV!U31</f>
        <v>0</v>
      </c>
      <c r="W40">
        <f>DV!V30+DV!V31</f>
        <v>0</v>
      </c>
      <c r="X40">
        <f>DV!W30+DV!W31</f>
        <v>0</v>
      </c>
      <c r="Y40">
        <f>DV!X30+DV!X31</f>
        <v>0</v>
      </c>
      <c r="Z40">
        <f>DV!Y30+DV!Y31</f>
        <v>0</v>
      </c>
      <c r="AA40">
        <f>DV!Z30+DV!Z31</f>
        <v>0</v>
      </c>
      <c r="AB40">
        <f>DV!AA30+DV!AA31</f>
        <v>0</v>
      </c>
      <c r="AC40">
        <f>DV!AB30+DV!AB31</f>
        <v>0</v>
      </c>
      <c r="AD40">
        <f>DV!AC30+DV!AC31</f>
        <v>0</v>
      </c>
      <c r="AE40">
        <f>DV!AD30+DV!AD31</f>
        <v>0</v>
      </c>
      <c r="AF40">
        <f>DV!AE30+DV!AE31</f>
        <v>0</v>
      </c>
      <c r="AG40">
        <f>DV!AF30+DV!AF31</f>
        <v>0</v>
      </c>
      <c r="AH40">
        <f>DV!AG30+DV!AG31</f>
        <v>0</v>
      </c>
      <c r="AI40">
        <f>DV!AH30+DV!AH31</f>
        <v>0</v>
      </c>
      <c r="AJ40">
        <f>DV!AI30+DV!AI31</f>
        <v>0</v>
      </c>
      <c r="AK40">
        <f>DV!AJ30+DV!AJ31</f>
        <v>0</v>
      </c>
      <c r="AL40">
        <f>DV!AK30+DV!AK31</f>
        <v>0</v>
      </c>
      <c r="AM40">
        <f>DV!AL30+DV!AL31</f>
        <v>0</v>
      </c>
      <c r="AN40">
        <f>DV!AM30+DV!AM31</f>
        <v>0</v>
      </c>
      <c r="AO40">
        <f>DV!AN30+DV!AN31</f>
        <v>0</v>
      </c>
      <c r="AP40">
        <f>DV!AO30+DV!AO31</f>
        <v>0</v>
      </c>
      <c r="AQ40">
        <f>DV!AP30+DV!AP31</f>
        <v>0</v>
      </c>
      <c r="AR40">
        <f>DV!AQ30+DV!AQ31</f>
        <v>0</v>
      </c>
      <c r="AS40">
        <f>DV!AR30+DV!AR31</f>
        <v>0</v>
      </c>
      <c r="AT40">
        <f>DV!AS30+DV!AS31</f>
        <v>0</v>
      </c>
      <c r="AU40">
        <f>DV!AT30+DV!AT31</f>
        <v>0</v>
      </c>
      <c r="AV40">
        <f>DV!AU30+DV!AU31</f>
        <v>0</v>
      </c>
      <c r="AW40">
        <f>DV!AV30+DV!AV31</f>
        <v>0</v>
      </c>
      <c r="AX40">
        <f>DV!AW30+DV!AW31</f>
        <v>0</v>
      </c>
      <c r="AY40">
        <f>DV!AX30+DV!AX31</f>
        <v>0</v>
      </c>
      <c r="AZ40">
        <f>DV!AY30+DV!AY31</f>
        <v>0</v>
      </c>
      <c r="BA40">
        <f>DV!AZ30+DV!AZ31</f>
        <v>0</v>
      </c>
      <c r="BB40">
        <f>DV!BA30+DV!BA31</f>
        <v>0</v>
      </c>
      <c r="BC40">
        <f>DV!BB30+DV!BB31</f>
        <v>0</v>
      </c>
      <c r="BD40">
        <f>DV!BC30+DV!BC31</f>
        <v>0</v>
      </c>
      <c r="BE40">
        <f>DV!BD30+DV!BD31</f>
        <v>0</v>
      </c>
      <c r="BF40">
        <f>DV!BE30+DV!BE31</f>
        <v>0</v>
      </c>
      <c r="BG40">
        <f>DV!BF30+DV!BF31</f>
        <v>0</v>
      </c>
      <c r="BH40">
        <f>DV!BG30+DV!BG31</f>
        <v>0</v>
      </c>
      <c r="BI40">
        <f>DV!BH30+DV!BH31</f>
        <v>0</v>
      </c>
      <c r="BJ40">
        <f>DV!BI30+DV!BI31</f>
        <v>0</v>
      </c>
      <c r="BK40">
        <f>DV!BJ30+DV!BJ31</f>
        <v>0</v>
      </c>
      <c r="BL40">
        <f>DV!BK30+DV!BK31</f>
        <v>0</v>
      </c>
    </row>
    <row r="41" spans="1:64">
      <c r="A41">
        <v>13</v>
      </c>
      <c r="B41" s="5" t="str">
        <f>TEXT(VLOOKUP(A41,СВ[],2),"чч:мм")&amp;"-"&amp;TEXT(VLOOKUP(A41,СВ[],3),"чч:мм")</f>
        <v>10:45-11:30</v>
      </c>
      <c r="C41" s="6">
        <v>15</v>
      </c>
      <c r="D41" s="5" t="str">
        <f>TEXT(VLOOKUP(C41,СВ[],2),"чч:мм")&amp;"-"&amp;TEXT(VLOOKUP(C41,СВ[],3),"чч:мм")</f>
        <v>11:15-12:00</v>
      </c>
      <c r="E41">
        <f>DV!D30+DV!D32</f>
        <v>0</v>
      </c>
      <c r="F41">
        <f>DV!E30+DV!E32</f>
        <v>0</v>
      </c>
      <c r="G41">
        <f>DV!F30+DV!F32</f>
        <v>0</v>
      </c>
      <c r="H41">
        <f>DV!G30+DV!G32</f>
        <v>0</v>
      </c>
      <c r="I41">
        <f>DV!H30+DV!H32</f>
        <v>0</v>
      </c>
      <c r="J41">
        <f>DV!I30+DV!I32</f>
        <v>1</v>
      </c>
      <c r="K41">
        <f>DV!J30+DV!J32</f>
        <v>0</v>
      </c>
      <c r="L41">
        <f>DV!K30+DV!K32</f>
        <v>0</v>
      </c>
      <c r="M41">
        <f>DV!L30+DV!L32</f>
        <v>0</v>
      </c>
      <c r="N41">
        <f>DV!M30+DV!M32</f>
        <v>0</v>
      </c>
      <c r="O41">
        <f>DV!N30+DV!N32</f>
        <v>0</v>
      </c>
      <c r="P41">
        <f>DV!O30+DV!O32</f>
        <v>0</v>
      </c>
      <c r="Q41">
        <f>DV!P30+DV!P32</f>
        <v>0</v>
      </c>
      <c r="R41">
        <f>DV!Q30+DV!Q32</f>
        <v>0</v>
      </c>
      <c r="S41">
        <f>DV!R30+DV!R32</f>
        <v>0</v>
      </c>
      <c r="T41">
        <f>DV!S30+DV!S32</f>
        <v>0</v>
      </c>
      <c r="U41">
        <f>DV!T30+DV!T32</f>
        <v>0</v>
      </c>
      <c r="V41">
        <f>DV!U30+DV!U32</f>
        <v>0</v>
      </c>
      <c r="W41">
        <f>DV!V30+DV!V32</f>
        <v>0</v>
      </c>
      <c r="X41">
        <f>DV!W30+DV!W32</f>
        <v>0</v>
      </c>
      <c r="Y41">
        <f>DV!X30+DV!X32</f>
        <v>0</v>
      </c>
      <c r="Z41">
        <f>DV!Y30+DV!Y32</f>
        <v>0</v>
      </c>
      <c r="AA41">
        <f>DV!Z30+DV!Z32</f>
        <v>0</v>
      </c>
      <c r="AB41">
        <f>DV!AA30+DV!AA32</f>
        <v>0</v>
      </c>
      <c r="AC41">
        <f>DV!AB30+DV!AB32</f>
        <v>0</v>
      </c>
      <c r="AD41">
        <f>DV!AC30+DV!AC32</f>
        <v>0</v>
      </c>
      <c r="AE41">
        <f>DV!AD30+DV!AD32</f>
        <v>0</v>
      </c>
      <c r="AF41">
        <f>DV!AE30+DV!AE32</f>
        <v>0</v>
      </c>
      <c r="AG41">
        <f>DV!AF30+DV!AF32</f>
        <v>0</v>
      </c>
      <c r="AH41">
        <f>DV!AG30+DV!AG32</f>
        <v>0</v>
      </c>
      <c r="AI41">
        <f>DV!AH30+DV!AH32</f>
        <v>0</v>
      </c>
      <c r="AJ41">
        <f>DV!AI30+DV!AI32</f>
        <v>0</v>
      </c>
      <c r="AK41">
        <f>DV!AJ30+DV!AJ32</f>
        <v>0</v>
      </c>
      <c r="AL41">
        <f>DV!AK30+DV!AK32</f>
        <v>0</v>
      </c>
      <c r="AM41">
        <f>DV!AL30+DV!AL32</f>
        <v>0</v>
      </c>
      <c r="AN41">
        <f>DV!AM30+DV!AM32</f>
        <v>0</v>
      </c>
      <c r="AO41">
        <f>DV!AN30+DV!AN32</f>
        <v>0</v>
      </c>
      <c r="AP41">
        <f>DV!AO30+DV!AO32</f>
        <v>0</v>
      </c>
      <c r="AQ41">
        <f>DV!AP30+DV!AP32</f>
        <v>0</v>
      </c>
      <c r="AR41">
        <f>DV!AQ30+DV!AQ32</f>
        <v>0</v>
      </c>
      <c r="AS41">
        <f>DV!AR30+DV!AR32</f>
        <v>0</v>
      </c>
      <c r="AT41">
        <f>DV!AS30+DV!AS32</f>
        <v>0</v>
      </c>
      <c r="AU41">
        <f>DV!AT30+DV!AT32</f>
        <v>0</v>
      </c>
      <c r="AV41">
        <f>DV!AU30+DV!AU32</f>
        <v>0</v>
      </c>
      <c r="AW41">
        <f>DV!AV30+DV!AV32</f>
        <v>0</v>
      </c>
      <c r="AX41">
        <f>DV!AW30+DV!AW32</f>
        <v>0</v>
      </c>
      <c r="AY41">
        <f>DV!AX30+DV!AX32</f>
        <v>0</v>
      </c>
      <c r="AZ41">
        <f>DV!AY30+DV!AY32</f>
        <v>0</v>
      </c>
      <c r="BA41">
        <f>DV!AZ30+DV!AZ32</f>
        <v>0</v>
      </c>
      <c r="BB41">
        <f>DV!BA30+DV!BA32</f>
        <v>0</v>
      </c>
      <c r="BC41">
        <f>DV!BB30+DV!BB32</f>
        <v>0</v>
      </c>
      <c r="BD41">
        <f>DV!BC30+DV!BC32</f>
        <v>0</v>
      </c>
      <c r="BE41">
        <f>DV!BD30+DV!BD32</f>
        <v>0</v>
      </c>
      <c r="BF41">
        <f>DV!BE30+DV!BE32</f>
        <v>0</v>
      </c>
      <c r="BG41">
        <f>DV!BF30+DV!BF32</f>
        <v>0</v>
      </c>
      <c r="BH41">
        <f>DV!BG30+DV!BG32</f>
        <v>0</v>
      </c>
      <c r="BI41">
        <f>DV!BH30+DV!BH32</f>
        <v>0</v>
      </c>
      <c r="BJ41">
        <f>DV!BI30+DV!BI32</f>
        <v>0</v>
      </c>
      <c r="BK41">
        <f>DV!BJ30+DV!BJ32</f>
        <v>0</v>
      </c>
      <c r="BL41">
        <f>DV!BK30+DV!BK32</f>
        <v>0</v>
      </c>
    </row>
    <row r="42" spans="1:64">
      <c r="A42">
        <v>14</v>
      </c>
      <c r="B42" s="5" t="str">
        <f>TEXT(VLOOKUP(A42,СВ[],2),"чч:мм")&amp;"-"&amp;TEXT(VLOOKUP(A42,СВ[],3),"чч:мм")</f>
        <v>11:00-12:00</v>
      </c>
      <c r="C42" s="6">
        <v>15</v>
      </c>
      <c r="D42" s="5" t="str">
        <f>TEXT(VLOOKUP(C42,СВ[],2),"чч:мм")&amp;"-"&amp;TEXT(VLOOKUP(C42,СВ[],3),"чч:мм")</f>
        <v>11:15-12:00</v>
      </c>
      <c r="E42">
        <f>DV!D31+DV!D32</f>
        <v>0</v>
      </c>
      <c r="F42">
        <f>DV!E31+DV!E32</f>
        <v>0</v>
      </c>
      <c r="G42">
        <f>DV!F31+DV!F32</f>
        <v>0</v>
      </c>
      <c r="H42">
        <f>DV!G31+DV!G32</f>
        <v>0</v>
      </c>
      <c r="I42">
        <f>DV!H31+DV!H32</f>
        <v>0</v>
      </c>
      <c r="J42">
        <f>DV!I31+DV!I32</f>
        <v>1</v>
      </c>
      <c r="K42">
        <f>DV!J31+DV!J32</f>
        <v>0</v>
      </c>
      <c r="L42">
        <f>DV!K31+DV!K32</f>
        <v>0</v>
      </c>
      <c r="M42">
        <f>DV!L31+DV!L32</f>
        <v>0</v>
      </c>
      <c r="N42">
        <f>DV!M31+DV!M32</f>
        <v>0</v>
      </c>
      <c r="O42">
        <f>DV!N31+DV!N32</f>
        <v>0</v>
      </c>
      <c r="P42">
        <f>DV!O31+DV!O32</f>
        <v>0</v>
      </c>
      <c r="Q42">
        <f>DV!P31+DV!P32</f>
        <v>0</v>
      </c>
      <c r="R42">
        <f>DV!Q31+DV!Q32</f>
        <v>0</v>
      </c>
      <c r="S42">
        <f>DV!R31+DV!R32</f>
        <v>0</v>
      </c>
      <c r="T42">
        <f>DV!S31+DV!S32</f>
        <v>0</v>
      </c>
      <c r="U42">
        <f>DV!T31+DV!T32</f>
        <v>0</v>
      </c>
      <c r="V42">
        <f>DV!U31+DV!U32</f>
        <v>0</v>
      </c>
      <c r="W42">
        <f>DV!V31+DV!V32</f>
        <v>0</v>
      </c>
      <c r="X42">
        <f>DV!W31+DV!W32</f>
        <v>0</v>
      </c>
      <c r="Y42">
        <f>DV!X31+DV!X32</f>
        <v>0</v>
      </c>
      <c r="Z42">
        <f>DV!Y31+DV!Y32</f>
        <v>0</v>
      </c>
      <c r="AA42">
        <f>DV!Z31+DV!Z32</f>
        <v>0</v>
      </c>
      <c r="AB42">
        <f>DV!AA31+DV!AA32</f>
        <v>0</v>
      </c>
      <c r="AC42">
        <f>DV!AB31+DV!AB32</f>
        <v>0</v>
      </c>
      <c r="AD42">
        <f>DV!AC31+DV!AC32</f>
        <v>0</v>
      </c>
      <c r="AE42">
        <f>DV!AD31+DV!AD32</f>
        <v>0</v>
      </c>
      <c r="AF42">
        <f>DV!AE31+DV!AE32</f>
        <v>0</v>
      </c>
      <c r="AG42">
        <f>DV!AF31+DV!AF32</f>
        <v>0</v>
      </c>
      <c r="AH42">
        <f>DV!AG31+DV!AG32</f>
        <v>0</v>
      </c>
      <c r="AI42">
        <f>DV!AH31+DV!AH32</f>
        <v>0</v>
      </c>
      <c r="AJ42">
        <f>DV!AI31+DV!AI32</f>
        <v>0</v>
      </c>
      <c r="AK42">
        <f>DV!AJ31+DV!AJ32</f>
        <v>0</v>
      </c>
      <c r="AL42">
        <f>DV!AK31+DV!AK32</f>
        <v>0</v>
      </c>
      <c r="AM42">
        <f>DV!AL31+DV!AL32</f>
        <v>0</v>
      </c>
      <c r="AN42">
        <f>DV!AM31+DV!AM32</f>
        <v>0</v>
      </c>
      <c r="AO42">
        <f>DV!AN31+DV!AN32</f>
        <v>0</v>
      </c>
      <c r="AP42">
        <f>DV!AO31+DV!AO32</f>
        <v>0</v>
      </c>
      <c r="AQ42">
        <f>DV!AP31+DV!AP32</f>
        <v>0</v>
      </c>
      <c r="AR42">
        <f>DV!AQ31+DV!AQ32</f>
        <v>0</v>
      </c>
      <c r="AS42">
        <f>DV!AR31+DV!AR32</f>
        <v>0</v>
      </c>
      <c r="AT42">
        <f>DV!AS31+DV!AS32</f>
        <v>0</v>
      </c>
      <c r="AU42">
        <f>DV!AT31+DV!AT32</f>
        <v>0</v>
      </c>
      <c r="AV42">
        <f>DV!AU31+DV!AU32</f>
        <v>0</v>
      </c>
      <c r="AW42">
        <f>DV!AV31+DV!AV32</f>
        <v>0</v>
      </c>
      <c r="AX42">
        <f>DV!AW31+DV!AW32</f>
        <v>0</v>
      </c>
      <c r="AY42">
        <f>DV!AX31+DV!AX32</f>
        <v>0</v>
      </c>
      <c r="AZ42">
        <f>DV!AY31+DV!AY32</f>
        <v>0</v>
      </c>
      <c r="BA42">
        <f>DV!AZ31+DV!AZ32</f>
        <v>0</v>
      </c>
      <c r="BB42">
        <f>DV!BA31+DV!BA32</f>
        <v>0</v>
      </c>
      <c r="BC42">
        <f>DV!BB31+DV!BB32</f>
        <v>0</v>
      </c>
      <c r="BD42">
        <f>DV!BC31+DV!BC32</f>
        <v>0</v>
      </c>
      <c r="BE42">
        <f>DV!BD31+DV!BD32</f>
        <v>0</v>
      </c>
      <c r="BF42">
        <f>DV!BE31+DV!BE32</f>
        <v>0</v>
      </c>
      <c r="BG42">
        <f>DV!BF31+DV!BF32</f>
        <v>0</v>
      </c>
      <c r="BH42">
        <f>DV!BG31+DV!BG32</f>
        <v>0</v>
      </c>
      <c r="BI42">
        <f>DV!BH31+DV!BH32</f>
        <v>0</v>
      </c>
      <c r="BJ42">
        <f>DV!BI31+DV!BI32</f>
        <v>0</v>
      </c>
      <c r="BK42">
        <f>DV!BJ31+DV!BJ32</f>
        <v>0</v>
      </c>
      <c r="BL42">
        <f>DV!BK31+DV!BK32</f>
        <v>0</v>
      </c>
    </row>
    <row r="43" spans="1:64">
      <c r="A43">
        <v>14</v>
      </c>
      <c r="B43" s="5" t="str">
        <f>TEXT(VLOOKUP(A43,СВ[],2),"чч:мм")&amp;"-"&amp;TEXT(VLOOKUP(A43,СВ[],3),"чч:мм")</f>
        <v>11:00-12:00</v>
      </c>
      <c r="C43" s="6">
        <v>16</v>
      </c>
      <c r="D43" s="5" t="str">
        <f>TEXT(VLOOKUP(C43,СВ[],2),"чч:мм")&amp;"-"&amp;TEXT(VLOOKUP(C43,СВ[],3),"чч:мм")</f>
        <v>11:30-12:15</v>
      </c>
      <c r="E43">
        <f>DV!D31+DV!D33</f>
        <v>0</v>
      </c>
      <c r="F43">
        <f>DV!E31+DV!E33</f>
        <v>0</v>
      </c>
      <c r="G43">
        <f>DV!F31+DV!F33</f>
        <v>0</v>
      </c>
      <c r="H43">
        <f>DV!G31+DV!G33</f>
        <v>0</v>
      </c>
      <c r="I43">
        <f>DV!H31+DV!H33</f>
        <v>0</v>
      </c>
      <c r="J43">
        <f>DV!I31+DV!I33</f>
        <v>0</v>
      </c>
      <c r="K43">
        <f>DV!J31+DV!J33</f>
        <v>0</v>
      </c>
      <c r="L43">
        <f>DV!K31+DV!K33</f>
        <v>0</v>
      </c>
      <c r="M43">
        <f>DV!L31+DV!L33</f>
        <v>0</v>
      </c>
      <c r="N43">
        <f>DV!M31+DV!M33</f>
        <v>0</v>
      </c>
      <c r="O43">
        <f>DV!N31+DV!N33</f>
        <v>0</v>
      </c>
      <c r="P43">
        <f>DV!O31+DV!O33</f>
        <v>0</v>
      </c>
      <c r="Q43">
        <f>DV!P31+DV!P33</f>
        <v>0</v>
      </c>
      <c r="R43">
        <f>DV!Q31+DV!Q33</f>
        <v>0</v>
      </c>
      <c r="S43">
        <f>DV!R31+DV!R33</f>
        <v>0</v>
      </c>
      <c r="T43">
        <f>DV!S31+DV!S33</f>
        <v>0</v>
      </c>
      <c r="U43">
        <f>DV!T31+DV!T33</f>
        <v>0</v>
      </c>
      <c r="V43">
        <f>DV!U31+DV!U33</f>
        <v>0</v>
      </c>
      <c r="W43">
        <f>DV!V31+DV!V33</f>
        <v>0</v>
      </c>
      <c r="X43">
        <f>DV!W31+DV!W33</f>
        <v>0</v>
      </c>
      <c r="Y43">
        <f>DV!X31+DV!X33</f>
        <v>0</v>
      </c>
      <c r="Z43">
        <f>DV!Y31+DV!Y33</f>
        <v>0</v>
      </c>
      <c r="AA43">
        <f>DV!Z31+DV!Z33</f>
        <v>0</v>
      </c>
      <c r="AB43">
        <f>DV!AA31+DV!AA33</f>
        <v>0</v>
      </c>
      <c r="AC43">
        <f>DV!AB31+DV!AB33</f>
        <v>0</v>
      </c>
      <c r="AD43">
        <f>DV!AC31+DV!AC33</f>
        <v>0</v>
      </c>
      <c r="AE43">
        <f>DV!AD31+DV!AD33</f>
        <v>0</v>
      </c>
      <c r="AF43">
        <f>DV!AE31+DV!AE33</f>
        <v>0</v>
      </c>
      <c r="AG43">
        <f>DV!AF31+DV!AF33</f>
        <v>0</v>
      </c>
      <c r="AH43">
        <f>DV!AG31+DV!AG33</f>
        <v>0</v>
      </c>
      <c r="AI43">
        <f>DV!AH31+DV!AH33</f>
        <v>0</v>
      </c>
      <c r="AJ43">
        <f>DV!AI31+DV!AI33</f>
        <v>0</v>
      </c>
      <c r="AK43">
        <f>DV!AJ31+DV!AJ33</f>
        <v>0</v>
      </c>
      <c r="AL43">
        <f>DV!AK31+DV!AK33</f>
        <v>0</v>
      </c>
      <c r="AM43">
        <f>DV!AL31+DV!AL33</f>
        <v>0</v>
      </c>
      <c r="AN43">
        <f>DV!AM31+DV!AM33</f>
        <v>0</v>
      </c>
      <c r="AO43">
        <f>DV!AN31+DV!AN33</f>
        <v>0</v>
      </c>
      <c r="AP43">
        <f>DV!AO31+DV!AO33</f>
        <v>0</v>
      </c>
      <c r="AQ43">
        <f>DV!AP31+DV!AP33</f>
        <v>0</v>
      </c>
      <c r="AR43">
        <f>DV!AQ31+DV!AQ33</f>
        <v>0</v>
      </c>
      <c r="AS43">
        <f>DV!AR31+DV!AR33</f>
        <v>0</v>
      </c>
      <c r="AT43">
        <f>DV!AS31+DV!AS33</f>
        <v>0</v>
      </c>
      <c r="AU43">
        <f>DV!AT31+DV!AT33</f>
        <v>0</v>
      </c>
      <c r="AV43">
        <f>DV!AU31+DV!AU33</f>
        <v>0</v>
      </c>
      <c r="AW43">
        <f>DV!AV31+DV!AV33</f>
        <v>0</v>
      </c>
      <c r="AX43">
        <f>DV!AW31+DV!AW33</f>
        <v>0</v>
      </c>
      <c r="AY43">
        <f>DV!AX31+DV!AX33</f>
        <v>0</v>
      </c>
      <c r="AZ43">
        <f>DV!AY31+DV!AY33</f>
        <v>0</v>
      </c>
      <c r="BA43">
        <f>DV!AZ31+DV!AZ33</f>
        <v>0</v>
      </c>
      <c r="BB43">
        <f>DV!BA31+DV!BA33</f>
        <v>0</v>
      </c>
      <c r="BC43">
        <f>DV!BB31+DV!BB33</f>
        <v>0</v>
      </c>
      <c r="BD43">
        <f>DV!BC31+DV!BC33</f>
        <v>0</v>
      </c>
      <c r="BE43">
        <f>DV!BD31+DV!BD33</f>
        <v>0</v>
      </c>
      <c r="BF43">
        <f>DV!BE31+DV!BE33</f>
        <v>0</v>
      </c>
      <c r="BG43">
        <f>DV!BF31+DV!BF33</f>
        <v>0</v>
      </c>
      <c r="BH43">
        <f>DV!BG31+DV!BG33</f>
        <v>0</v>
      </c>
      <c r="BI43">
        <f>DV!BH31+DV!BH33</f>
        <v>0</v>
      </c>
      <c r="BJ43">
        <f>DV!BI31+DV!BI33</f>
        <v>0</v>
      </c>
      <c r="BK43">
        <f>DV!BJ31+DV!BJ33</f>
        <v>0</v>
      </c>
      <c r="BL43">
        <f>DV!BK31+DV!BK33</f>
        <v>0</v>
      </c>
    </row>
    <row r="44" spans="1:64">
      <c r="A44">
        <v>14</v>
      </c>
      <c r="B44" s="5" t="str">
        <f>TEXT(VLOOKUP(A44,СВ[],2),"чч:мм")&amp;"-"&amp;TEXT(VLOOKUP(A44,СВ[],3),"чч:мм")</f>
        <v>11:00-12:00</v>
      </c>
      <c r="C44" s="6">
        <v>17</v>
      </c>
      <c r="D44" s="5" t="str">
        <f>TEXT(VLOOKUP(C44,СВ[],2),"чч:мм")&amp;"-"&amp;TEXT(VLOOKUP(C44,СВ[],3),"чч:мм")</f>
        <v>11:45-12:30</v>
      </c>
      <c r="E44">
        <f>DV!D31+DV!D34</f>
        <v>0</v>
      </c>
      <c r="F44">
        <f>DV!E31+DV!E34</f>
        <v>0</v>
      </c>
      <c r="G44">
        <f>DV!F31+DV!F34</f>
        <v>0</v>
      </c>
      <c r="H44">
        <f>DV!G31+DV!G34</f>
        <v>0</v>
      </c>
      <c r="I44">
        <f>DV!H31+DV!H34</f>
        <v>0</v>
      </c>
      <c r="J44">
        <f>DV!I31+DV!I34</f>
        <v>0</v>
      </c>
      <c r="K44">
        <f>DV!J31+DV!J34</f>
        <v>0</v>
      </c>
      <c r="L44">
        <f>DV!K31+DV!K34</f>
        <v>0</v>
      </c>
      <c r="M44">
        <f>DV!L31+DV!L34</f>
        <v>0</v>
      </c>
      <c r="N44">
        <f>DV!M31+DV!M34</f>
        <v>0</v>
      </c>
      <c r="O44">
        <f>DV!N31+DV!N34</f>
        <v>0</v>
      </c>
      <c r="P44">
        <f>DV!O31+DV!O34</f>
        <v>0</v>
      </c>
      <c r="Q44">
        <f>DV!P31+DV!P34</f>
        <v>0</v>
      </c>
      <c r="R44">
        <f>DV!Q31+DV!Q34</f>
        <v>0</v>
      </c>
      <c r="S44">
        <f>DV!R31+DV!R34</f>
        <v>0</v>
      </c>
      <c r="T44">
        <f>DV!S31+DV!S34</f>
        <v>0</v>
      </c>
      <c r="U44">
        <f>DV!T31+DV!T34</f>
        <v>0</v>
      </c>
      <c r="V44">
        <f>DV!U31+DV!U34</f>
        <v>0</v>
      </c>
      <c r="W44">
        <f>DV!V31+DV!V34</f>
        <v>0</v>
      </c>
      <c r="X44">
        <f>DV!W31+DV!W34</f>
        <v>0</v>
      </c>
      <c r="Y44">
        <f>DV!X31+DV!X34</f>
        <v>0</v>
      </c>
      <c r="Z44">
        <f>DV!Y31+DV!Y34</f>
        <v>0</v>
      </c>
      <c r="AA44">
        <f>DV!Z31+DV!Z34</f>
        <v>0</v>
      </c>
      <c r="AB44">
        <f>DV!AA31+DV!AA34</f>
        <v>0</v>
      </c>
      <c r="AC44">
        <f>DV!AB31+DV!AB34</f>
        <v>0</v>
      </c>
      <c r="AD44">
        <f>DV!AC31+DV!AC34</f>
        <v>0</v>
      </c>
      <c r="AE44">
        <f>DV!AD31+DV!AD34</f>
        <v>0</v>
      </c>
      <c r="AF44">
        <f>DV!AE31+DV!AE34</f>
        <v>0</v>
      </c>
      <c r="AG44">
        <f>DV!AF31+DV!AF34</f>
        <v>0</v>
      </c>
      <c r="AH44">
        <f>DV!AG31+DV!AG34</f>
        <v>0</v>
      </c>
      <c r="AI44">
        <f>DV!AH31+DV!AH34</f>
        <v>0</v>
      </c>
      <c r="AJ44">
        <f>DV!AI31+DV!AI34</f>
        <v>0</v>
      </c>
      <c r="AK44">
        <f>DV!AJ31+DV!AJ34</f>
        <v>0</v>
      </c>
      <c r="AL44">
        <f>DV!AK31+DV!AK34</f>
        <v>0</v>
      </c>
      <c r="AM44">
        <f>DV!AL31+DV!AL34</f>
        <v>0</v>
      </c>
      <c r="AN44">
        <f>DV!AM31+DV!AM34</f>
        <v>0</v>
      </c>
      <c r="AO44">
        <f>DV!AN31+DV!AN34</f>
        <v>0</v>
      </c>
      <c r="AP44">
        <f>DV!AO31+DV!AO34</f>
        <v>0</v>
      </c>
      <c r="AQ44">
        <f>DV!AP31+DV!AP34</f>
        <v>0</v>
      </c>
      <c r="AR44">
        <f>DV!AQ31+DV!AQ34</f>
        <v>0</v>
      </c>
      <c r="AS44">
        <f>DV!AR31+DV!AR34</f>
        <v>0</v>
      </c>
      <c r="AT44">
        <f>DV!AS31+DV!AS34</f>
        <v>0</v>
      </c>
      <c r="AU44">
        <f>DV!AT31+DV!AT34</f>
        <v>0</v>
      </c>
      <c r="AV44">
        <f>DV!AU31+DV!AU34</f>
        <v>0</v>
      </c>
      <c r="AW44">
        <f>DV!AV31+DV!AV34</f>
        <v>0</v>
      </c>
      <c r="AX44">
        <f>DV!AW31+DV!AW34</f>
        <v>0</v>
      </c>
      <c r="AY44">
        <f>DV!AX31+DV!AX34</f>
        <v>0</v>
      </c>
      <c r="AZ44">
        <f>DV!AY31+DV!AY34</f>
        <v>0</v>
      </c>
      <c r="BA44">
        <f>DV!AZ31+DV!AZ34</f>
        <v>0</v>
      </c>
      <c r="BB44">
        <f>DV!BA31+DV!BA34</f>
        <v>0</v>
      </c>
      <c r="BC44">
        <f>DV!BB31+DV!BB34</f>
        <v>0</v>
      </c>
      <c r="BD44">
        <f>DV!BC31+DV!BC34</f>
        <v>0</v>
      </c>
      <c r="BE44">
        <f>DV!BD31+DV!BD34</f>
        <v>0</v>
      </c>
      <c r="BF44">
        <f>DV!BE31+DV!BE34</f>
        <v>0</v>
      </c>
      <c r="BG44">
        <f>DV!BF31+DV!BF34</f>
        <v>0</v>
      </c>
      <c r="BH44">
        <f>DV!BG31+DV!BG34</f>
        <v>0</v>
      </c>
      <c r="BI44">
        <f>DV!BH31+DV!BH34</f>
        <v>0</v>
      </c>
      <c r="BJ44">
        <f>DV!BI31+DV!BI34</f>
        <v>0</v>
      </c>
      <c r="BK44">
        <f>DV!BJ31+DV!BJ34</f>
        <v>0</v>
      </c>
      <c r="BL44">
        <f>DV!BK31+DV!BK34</f>
        <v>0</v>
      </c>
    </row>
    <row r="45" spans="1:64">
      <c r="A45">
        <v>15</v>
      </c>
      <c r="B45" s="5" t="str">
        <f>TEXT(VLOOKUP(A45,СВ[],2),"чч:мм")&amp;"-"&amp;TEXT(VLOOKUP(A45,СВ[],3),"чч:мм")</f>
        <v>11:15-12:00</v>
      </c>
      <c r="C45" s="6">
        <v>16</v>
      </c>
      <c r="D45" s="5" t="str">
        <f>TEXT(VLOOKUP(C45,СВ[],2),"чч:мм")&amp;"-"&amp;TEXT(VLOOKUP(C45,СВ[],3),"чч:мм")</f>
        <v>11:30-12:15</v>
      </c>
      <c r="E45">
        <f>DV!D32+DV!D33</f>
        <v>0</v>
      </c>
      <c r="F45">
        <f>DV!E32+DV!E33</f>
        <v>0</v>
      </c>
      <c r="G45">
        <f>DV!F32+DV!F33</f>
        <v>0</v>
      </c>
      <c r="H45">
        <f>DV!G32+DV!G33</f>
        <v>0</v>
      </c>
      <c r="I45">
        <f>DV!H32+DV!H33</f>
        <v>0</v>
      </c>
      <c r="J45">
        <f>DV!I32+DV!I33</f>
        <v>1</v>
      </c>
      <c r="K45">
        <f>DV!J32+DV!J33</f>
        <v>0</v>
      </c>
      <c r="L45">
        <f>DV!K32+DV!K33</f>
        <v>0</v>
      </c>
      <c r="M45">
        <f>DV!L32+DV!L33</f>
        <v>0</v>
      </c>
      <c r="N45">
        <f>DV!M32+DV!M33</f>
        <v>0</v>
      </c>
      <c r="O45">
        <f>DV!N32+DV!N33</f>
        <v>0</v>
      </c>
      <c r="P45">
        <f>DV!O32+DV!O33</f>
        <v>0</v>
      </c>
      <c r="Q45">
        <f>DV!P32+DV!P33</f>
        <v>0</v>
      </c>
      <c r="R45">
        <f>DV!Q32+DV!Q33</f>
        <v>0</v>
      </c>
      <c r="S45">
        <f>DV!R32+DV!R33</f>
        <v>0</v>
      </c>
      <c r="T45">
        <f>DV!S32+DV!S33</f>
        <v>0</v>
      </c>
      <c r="U45">
        <f>DV!T32+DV!T33</f>
        <v>0</v>
      </c>
      <c r="V45">
        <f>DV!U32+DV!U33</f>
        <v>0</v>
      </c>
      <c r="W45">
        <f>DV!V32+DV!V33</f>
        <v>0</v>
      </c>
      <c r="X45">
        <f>DV!W32+DV!W33</f>
        <v>0</v>
      </c>
      <c r="Y45">
        <f>DV!X32+DV!X33</f>
        <v>0</v>
      </c>
      <c r="Z45">
        <f>DV!Y32+DV!Y33</f>
        <v>0</v>
      </c>
      <c r="AA45">
        <f>DV!Z32+DV!Z33</f>
        <v>0</v>
      </c>
      <c r="AB45">
        <f>DV!AA32+DV!AA33</f>
        <v>0</v>
      </c>
      <c r="AC45">
        <f>DV!AB32+DV!AB33</f>
        <v>0</v>
      </c>
      <c r="AD45">
        <f>DV!AC32+DV!AC33</f>
        <v>0</v>
      </c>
      <c r="AE45">
        <f>DV!AD32+DV!AD33</f>
        <v>0</v>
      </c>
      <c r="AF45">
        <f>DV!AE32+DV!AE33</f>
        <v>0</v>
      </c>
      <c r="AG45">
        <f>DV!AF32+DV!AF33</f>
        <v>0</v>
      </c>
      <c r="AH45">
        <f>DV!AG32+DV!AG33</f>
        <v>0</v>
      </c>
      <c r="AI45">
        <f>DV!AH32+DV!AH33</f>
        <v>0</v>
      </c>
      <c r="AJ45">
        <f>DV!AI32+DV!AI33</f>
        <v>0</v>
      </c>
      <c r="AK45">
        <f>DV!AJ32+DV!AJ33</f>
        <v>0</v>
      </c>
      <c r="AL45">
        <f>DV!AK32+DV!AK33</f>
        <v>0</v>
      </c>
      <c r="AM45">
        <f>DV!AL32+DV!AL33</f>
        <v>0</v>
      </c>
      <c r="AN45">
        <f>DV!AM32+DV!AM33</f>
        <v>0</v>
      </c>
      <c r="AO45">
        <f>DV!AN32+DV!AN33</f>
        <v>0</v>
      </c>
      <c r="AP45">
        <f>DV!AO32+DV!AO33</f>
        <v>0</v>
      </c>
      <c r="AQ45">
        <f>DV!AP32+DV!AP33</f>
        <v>0</v>
      </c>
      <c r="AR45">
        <f>DV!AQ32+DV!AQ33</f>
        <v>0</v>
      </c>
      <c r="AS45">
        <f>DV!AR32+DV!AR33</f>
        <v>0</v>
      </c>
      <c r="AT45">
        <f>DV!AS32+DV!AS33</f>
        <v>0</v>
      </c>
      <c r="AU45">
        <f>DV!AT32+DV!AT33</f>
        <v>0</v>
      </c>
      <c r="AV45">
        <f>DV!AU32+DV!AU33</f>
        <v>0</v>
      </c>
      <c r="AW45">
        <f>DV!AV32+DV!AV33</f>
        <v>0</v>
      </c>
      <c r="AX45">
        <f>DV!AW32+DV!AW33</f>
        <v>0</v>
      </c>
      <c r="AY45">
        <f>DV!AX32+DV!AX33</f>
        <v>0</v>
      </c>
      <c r="AZ45">
        <f>DV!AY32+DV!AY33</f>
        <v>0</v>
      </c>
      <c r="BA45">
        <f>DV!AZ32+DV!AZ33</f>
        <v>0</v>
      </c>
      <c r="BB45">
        <f>DV!BA32+DV!BA33</f>
        <v>0</v>
      </c>
      <c r="BC45">
        <f>DV!BB32+DV!BB33</f>
        <v>0</v>
      </c>
      <c r="BD45">
        <f>DV!BC32+DV!BC33</f>
        <v>0</v>
      </c>
      <c r="BE45">
        <f>DV!BD32+DV!BD33</f>
        <v>0</v>
      </c>
      <c r="BF45">
        <f>DV!BE32+DV!BE33</f>
        <v>0</v>
      </c>
      <c r="BG45">
        <f>DV!BF32+DV!BF33</f>
        <v>0</v>
      </c>
      <c r="BH45">
        <f>DV!BG32+DV!BG33</f>
        <v>0</v>
      </c>
      <c r="BI45">
        <f>DV!BH32+DV!BH33</f>
        <v>0</v>
      </c>
      <c r="BJ45">
        <f>DV!BI32+DV!BI33</f>
        <v>0</v>
      </c>
      <c r="BK45">
        <f>DV!BJ32+DV!BJ33</f>
        <v>0</v>
      </c>
      <c r="BL45">
        <f>DV!BK32+DV!BK33</f>
        <v>0</v>
      </c>
    </row>
    <row r="46" spans="1:64">
      <c r="A46">
        <v>15</v>
      </c>
      <c r="B46" s="5" t="str">
        <f>TEXT(VLOOKUP(A46,СВ[],2),"чч:мм")&amp;"-"&amp;TEXT(VLOOKUP(A46,СВ[],3),"чч:мм")</f>
        <v>11:15-12:00</v>
      </c>
      <c r="C46" s="6">
        <v>17</v>
      </c>
      <c r="D46" s="5" t="str">
        <f>TEXT(VLOOKUP(C46,СВ[],2),"чч:мм")&amp;"-"&amp;TEXT(VLOOKUP(C46,СВ[],3),"чч:мм")</f>
        <v>11:45-12:30</v>
      </c>
      <c r="E46">
        <f>DV!D32+DV!D34</f>
        <v>0</v>
      </c>
      <c r="F46">
        <f>DV!E32+DV!E34</f>
        <v>0</v>
      </c>
      <c r="G46">
        <f>DV!F32+DV!F34</f>
        <v>0</v>
      </c>
      <c r="H46">
        <f>DV!G32+DV!G34</f>
        <v>0</v>
      </c>
      <c r="I46">
        <f>DV!H32+DV!H34</f>
        <v>0</v>
      </c>
      <c r="J46">
        <f>DV!I32+DV!I34</f>
        <v>1</v>
      </c>
      <c r="K46">
        <f>DV!J32+DV!J34</f>
        <v>0</v>
      </c>
      <c r="L46">
        <f>DV!K32+DV!K34</f>
        <v>0</v>
      </c>
      <c r="M46">
        <f>DV!L32+DV!L34</f>
        <v>0</v>
      </c>
      <c r="N46">
        <f>DV!M32+DV!M34</f>
        <v>0</v>
      </c>
      <c r="O46">
        <f>DV!N32+DV!N34</f>
        <v>0</v>
      </c>
      <c r="P46">
        <f>DV!O32+DV!O34</f>
        <v>0</v>
      </c>
      <c r="Q46">
        <f>DV!P32+DV!P34</f>
        <v>0</v>
      </c>
      <c r="R46">
        <f>DV!Q32+DV!Q34</f>
        <v>0</v>
      </c>
      <c r="S46">
        <f>DV!R32+DV!R34</f>
        <v>0</v>
      </c>
      <c r="T46">
        <f>DV!S32+DV!S34</f>
        <v>0</v>
      </c>
      <c r="U46">
        <f>DV!T32+DV!T34</f>
        <v>0</v>
      </c>
      <c r="V46">
        <f>DV!U32+DV!U34</f>
        <v>0</v>
      </c>
      <c r="W46">
        <f>DV!V32+DV!V34</f>
        <v>0</v>
      </c>
      <c r="X46">
        <f>DV!W32+DV!W34</f>
        <v>0</v>
      </c>
      <c r="Y46">
        <f>DV!X32+DV!X34</f>
        <v>0</v>
      </c>
      <c r="Z46">
        <f>DV!Y32+DV!Y34</f>
        <v>0</v>
      </c>
      <c r="AA46">
        <f>DV!Z32+DV!Z34</f>
        <v>0</v>
      </c>
      <c r="AB46">
        <f>DV!AA32+DV!AA34</f>
        <v>0</v>
      </c>
      <c r="AC46">
        <f>DV!AB32+DV!AB34</f>
        <v>0</v>
      </c>
      <c r="AD46">
        <f>DV!AC32+DV!AC34</f>
        <v>0</v>
      </c>
      <c r="AE46">
        <f>DV!AD32+DV!AD34</f>
        <v>0</v>
      </c>
      <c r="AF46">
        <f>DV!AE32+DV!AE34</f>
        <v>0</v>
      </c>
      <c r="AG46">
        <f>DV!AF32+DV!AF34</f>
        <v>0</v>
      </c>
      <c r="AH46">
        <f>DV!AG32+DV!AG34</f>
        <v>0</v>
      </c>
      <c r="AI46">
        <f>DV!AH32+DV!AH34</f>
        <v>0</v>
      </c>
      <c r="AJ46">
        <f>DV!AI32+DV!AI34</f>
        <v>0</v>
      </c>
      <c r="AK46">
        <f>DV!AJ32+DV!AJ34</f>
        <v>0</v>
      </c>
      <c r="AL46">
        <f>DV!AK32+DV!AK34</f>
        <v>0</v>
      </c>
      <c r="AM46">
        <f>DV!AL32+DV!AL34</f>
        <v>0</v>
      </c>
      <c r="AN46">
        <f>DV!AM32+DV!AM34</f>
        <v>0</v>
      </c>
      <c r="AO46">
        <f>DV!AN32+DV!AN34</f>
        <v>0</v>
      </c>
      <c r="AP46">
        <f>DV!AO32+DV!AO34</f>
        <v>0</v>
      </c>
      <c r="AQ46">
        <f>DV!AP32+DV!AP34</f>
        <v>0</v>
      </c>
      <c r="AR46">
        <f>DV!AQ32+DV!AQ34</f>
        <v>0</v>
      </c>
      <c r="AS46">
        <f>DV!AR32+DV!AR34</f>
        <v>0</v>
      </c>
      <c r="AT46">
        <f>DV!AS32+DV!AS34</f>
        <v>0</v>
      </c>
      <c r="AU46">
        <f>DV!AT32+DV!AT34</f>
        <v>0</v>
      </c>
      <c r="AV46">
        <f>DV!AU32+DV!AU34</f>
        <v>0</v>
      </c>
      <c r="AW46">
        <f>DV!AV32+DV!AV34</f>
        <v>0</v>
      </c>
      <c r="AX46">
        <f>DV!AW32+DV!AW34</f>
        <v>0</v>
      </c>
      <c r="AY46">
        <f>DV!AX32+DV!AX34</f>
        <v>0</v>
      </c>
      <c r="AZ46">
        <f>DV!AY32+DV!AY34</f>
        <v>0</v>
      </c>
      <c r="BA46">
        <f>DV!AZ32+DV!AZ34</f>
        <v>0</v>
      </c>
      <c r="BB46">
        <f>DV!BA32+DV!BA34</f>
        <v>0</v>
      </c>
      <c r="BC46">
        <f>DV!BB32+DV!BB34</f>
        <v>0</v>
      </c>
      <c r="BD46">
        <f>DV!BC32+DV!BC34</f>
        <v>0</v>
      </c>
      <c r="BE46">
        <f>DV!BD32+DV!BD34</f>
        <v>0</v>
      </c>
      <c r="BF46">
        <f>DV!BE32+DV!BE34</f>
        <v>0</v>
      </c>
      <c r="BG46">
        <f>DV!BF32+DV!BF34</f>
        <v>0</v>
      </c>
      <c r="BH46">
        <f>DV!BG32+DV!BG34</f>
        <v>0</v>
      </c>
      <c r="BI46">
        <f>DV!BH32+DV!BH34</f>
        <v>0</v>
      </c>
      <c r="BJ46">
        <f>DV!BI32+DV!BI34</f>
        <v>0</v>
      </c>
      <c r="BK46">
        <f>DV!BJ32+DV!BJ34</f>
        <v>0</v>
      </c>
      <c r="BL46">
        <f>DV!BK32+DV!BK34</f>
        <v>0</v>
      </c>
    </row>
    <row r="47" spans="1:64">
      <c r="A47">
        <v>16</v>
      </c>
      <c r="B47" s="5" t="str">
        <f>TEXT(VLOOKUP(A47,СВ[],2),"чч:мм")&amp;"-"&amp;TEXT(VLOOKUP(A47,СВ[],3),"чч:мм")</f>
        <v>11:30-12:15</v>
      </c>
      <c r="C47" s="6">
        <v>17</v>
      </c>
      <c r="D47" s="5" t="str">
        <f>TEXT(VLOOKUP(C47,СВ[],2),"чч:мм")&amp;"-"&amp;TEXT(VLOOKUP(C47,СВ[],3),"чч:мм")</f>
        <v>11:45-12:30</v>
      </c>
      <c r="E47">
        <f>DV!D33+DV!D34</f>
        <v>0</v>
      </c>
      <c r="F47">
        <f>DV!E33+DV!E34</f>
        <v>0</v>
      </c>
      <c r="G47">
        <f>DV!F33+DV!F34</f>
        <v>0</v>
      </c>
      <c r="H47">
        <f>DV!G33+DV!G34</f>
        <v>0</v>
      </c>
      <c r="I47">
        <f>DV!H33+DV!H34</f>
        <v>0</v>
      </c>
      <c r="J47">
        <f>DV!I33+DV!I34</f>
        <v>0</v>
      </c>
      <c r="K47">
        <f>DV!J33+DV!J34</f>
        <v>0</v>
      </c>
      <c r="L47">
        <f>DV!K33+DV!K34</f>
        <v>0</v>
      </c>
      <c r="M47">
        <f>DV!L33+DV!L34</f>
        <v>0</v>
      </c>
      <c r="N47">
        <f>DV!M33+DV!M34</f>
        <v>0</v>
      </c>
      <c r="O47">
        <f>DV!N33+DV!N34</f>
        <v>0</v>
      </c>
      <c r="P47">
        <f>DV!O33+DV!O34</f>
        <v>0</v>
      </c>
      <c r="Q47">
        <f>DV!P33+DV!P34</f>
        <v>0</v>
      </c>
      <c r="R47">
        <f>DV!Q33+DV!Q34</f>
        <v>0</v>
      </c>
      <c r="S47">
        <f>DV!R33+DV!R34</f>
        <v>0</v>
      </c>
      <c r="T47">
        <f>DV!S33+DV!S34</f>
        <v>0</v>
      </c>
      <c r="U47">
        <f>DV!T33+DV!T34</f>
        <v>0</v>
      </c>
      <c r="V47">
        <f>DV!U33+DV!U34</f>
        <v>0</v>
      </c>
      <c r="W47">
        <f>DV!V33+DV!V34</f>
        <v>0</v>
      </c>
      <c r="X47">
        <f>DV!W33+DV!W34</f>
        <v>0</v>
      </c>
      <c r="Y47">
        <f>DV!X33+DV!X34</f>
        <v>0</v>
      </c>
      <c r="Z47">
        <f>DV!Y33+DV!Y34</f>
        <v>0</v>
      </c>
      <c r="AA47">
        <f>DV!Z33+DV!Z34</f>
        <v>0</v>
      </c>
      <c r="AB47">
        <f>DV!AA33+DV!AA34</f>
        <v>0</v>
      </c>
      <c r="AC47">
        <f>DV!AB33+DV!AB34</f>
        <v>0</v>
      </c>
      <c r="AD47">
        <f>DV!AC33+DV!AC34</f>
        <v>0</v>
      </c>
      <c r="AE47">
        <f>DV!AD33+DV!AD34</f>
        <v>0</v>
      </c>
      <c r="AF47">
        <f>DV!AE33+DV!AE34</f>
        <v>0</v>
      </c>
      <c r="AG47">
        <f>DV!AF33+DV!AF34</f>
        <v>0</v>
      </c>
      <c r="AH47">
        <f>DV!AG33+DV!AG34</f>
        <v>0</v>
      </c>
      <c r="AI47">
        <f>DV!AH33+DV!AH34</f>
        <v>0</v>
      </c>
      <c r="AJ47">
        <f>DV!AI33+DV!AI34</f>
        <v>0</v>
      </c>
      <c r="AK47">
        <f>DV!AJ33+DV!AJ34</f>
        <v>0</v>
      </c>
      <c r="AL47">
        <f>DV!AK33+DV!AK34</f>
        <v>0</v>
      </c>
      <c r="AM47">
        <f>DV!AL33+DV!AL34</f>
        <v>0</v>
      </c>
      <c r="AN47">
        <f>DV!AM33+DV!AM34</f>
        <v>0</v>
      </c>
      <c r="AO47">
        <f>DV!AN33+DV!AN34</f>
        <v>0</v>
      </c>
      <c r="AP47">
        <f>DV!AO33+DV!AO34</f>
        <v>0</v>
      </c>
      <c r="AQ47">
        <f>DV!AP33+DV!AP34</f>
        <v>0</v>
      </c>
      <c r="AR47">
        <f>DV!AQ33+DV!AQ34</f>
        <v>0</v>
      </c>
      <c r="AS47">
        <f>DV!AR33+DV!AR34</f>
        <v>0</v>
      </c>
      <c r="AT47">
        <f>DV!AS33+DV!AS34</f>
        <v>0</v>
      </c>
      <c r="AU47">
        <f>DV!AT33+DV!AT34</f>
        <v>0</v>
      </c>
      <c r="AV47">
        <f>DV!AU33+DV!AU34</f>
        <v>0</v>
      </c>
      <c r="AW47">
        <f>DV!AV33+DV!AV34</f>
        <v>0</v>
      </c>
      <c r="AX47">
        <f>DV!AW33+DV!AW34</f>
        <v>0</v>
      </c>
      <c r="AY47">
        <f>DV!AX33+DV!AX34</f>
        <v>0</v>
      </c>
      <c r="AZ47">
        <f>DV!AY33+DV!AY34</f>
        <v>0</v>
      </c>
      <c r="BA47">
        <f>DV!AZ33+DV!AZ34</f>
        <v>0</v>
      </c>
      <c r="BB47">
        <f>DV!BA33+DV!BA34</f>
        <v>0</v>
      </c>
      <c r="BC47">
        <f>DV!BB33+DV!BB34</f>
        <v>0</v>
      </c>
      <c r="BD47">
        <f>DV!BC33+DV!BC34</f>
        <v>0</v>
      </c>
      <c r="BE47">
        <f>DV!BD33+DV!BD34</f>
        <v>0</v>
      </c>
      <c r="BF47">
        <f>DV!BE33+DV!BE34</f>
        <v>0</v>
      </c>
      <c r="BG47">
        <f>DV!BF33+DV!BF34</f>
        <v>0</v>
      </c>
      <c r="BH47">
        <f>DV!BG33+DV!BG34</f>
        <v>0</v>
      </c>
      <c r="BI47">
        <f>DV!BH33+DV!BH34</f>
        <v>0</v>
      </c>
      <c r="BJ47">
        <f>DV!BI33+DV!BI34</f>
        <v>0</v>
      </c>
      <c r="BK47">
        <f>DV!BJ33+DV!BJ34</f>
        <v>0</v>
      </c>
      <c r="BL47">
        <f>DV!BK33+DV!BK34</f>
        <v>0</v>
      </c>
    </row>
    <row r="48" spans="1:64">
      <c r="A48">
        <v>16</v>
      </c>
      <c r="B48" s="5" t="str">
        <f>TEXT(VLOOKUP(A48,СВ[],2),"чч:мм")&amp;"-"&amp;TEXT(VLOOKUP(A48,СВ[],3),"чч:мм")</f>
        <v>11:30-12:15</v>
      </c>
      <c r="C48" s="6">
        <v>18</v>
      </c>
      <c r="D48" s="5" t="str">
        <f>TEXT(VLOOKUP(C48,СВ[],2),"чч:мм")&amp;"-"&amp;TEXT(VLOOKUP(C48,СВ[],3),"чч:мм")</f>
        <v>12:00-13:00</v>
      </c>
      <c r="E48">
        <f>DV!D33+DV!D35</f>
        <v>0</v>
      </c>
      <c r="F48">
        <f>DV!E33+DV!E35</f>
        <v>0</v>
      </c>
      <c r="G48">
        <f>DV!F33+DV!F35</f>
        <v>0</v>
      </c>
      <c r="H48">
        <f>DV!G33+DV!G35</f>
        <v>0</v>
      </c>
      <c r="I48">
        <f>DV!H33+DV!H35</f>
        <v>0</v>
      </c>
      <c r="J48">
        <f>DV!I33+DV!I35</f>
        <v>0</v>
      </c>
      <c r="K48">
        <f>DV!J33+DV!J35</f>
        <v>0</v>
      </c>
      <c r="L48">
        <f>DV!K33+DV!K35</f>
        <v>0</v>
      </c>
      <c r="M48">
        <f>DV!L33+DV!L35</f>
        <v>0</v>
      </c>
      <c r="N48">
        <f>DV!M33+DV!M35</f>
        <v>0</v>
      </c>
      <c r="O48">
        <f>DV!N33+DV!N35</f>
        <v>0</v>
      </c>
      <c r="P48">
        <f>DV!O33+DV!O35</f>
        <v>0</v>
      </c>
      <c r="Q48">
        <f>DV!P33+DV!P35</f>
        <v>0</v>
      </c>
      <c r="R48">
        <f>DV!Q33+DV!Q35</f>
        <v>0</v>
      </c>
      <c r="S48">
        <f>DV!R33+DV!R35</f>
        <v>0</v>
      </c>
      <c r="T48">
        <f>DV!S33+DV!S35</f>
        <v>0</v>
      </c>
      <c r="U48">
        <f>DV!T33+DV!T35</f>
        <v>0</v>
      </c>
      <c r="V48">
        <f>DV!U33+DV!U35</f>
        <v>0</v>
      </c>
      <c r="W48">
        <f>DV!V33+DV!V35</f>
        <v>0</v>
      </c>
      <c r="X48">
        <f>DV!W33+DV!W35</f>
        <v>0</v>
      </c>
      <c r="Y48">
        <f>DV!X33+DV!X35</f>
        <v>0</v>
      </c>
      <c r="Z48">
        <f>DV!Y33+DV!Y35</f>
        <v>0</v>
      </c>
      <c r="AA48">
        <f>DV!Z33+DV!Z35</f>
        <v>0</v>
      </c>
      <c r="AB48">
        <f>DV!AA33+DV!AA35</f>
        <v>0</v>
      </c>
      <c r="AC48">
        <f>DV!AB33+DV!AB35</f>
        <v>0</v>
      </c>
      <c r="AD48">
        <f>DV!AC33+DV!AC35</f>
        <v>0</v>
      </c>
      <c r="AE48">
        <f>DV!AD33+DV!AD35</f>
        <v>0</v>
      </c>
      <c r="AF48">
        <f>DV!AE33+DV!AE35</f>
        <v>0</v>
      </c>
      <c r="AG48">
        <f>DV!AF33+DV!AF35</f>
        <v>0</v>
      </c>
      <c r="AH48">
        <f>DV!AG33+DV!AG35</f>
        <v>0</v>
      </c>
      <c r="AI48">
        <f>DV!AH33+DV!AH35</f>
        <v>0</v>
      </c>
      <c r="AJ48">
        <f>DV!AI33+DV!AI35</f>
        <v>0</v>
      </c>
      <c r="AK48">
        <f>DV!AJ33+DV!AJ35</f>
        <v>0</v>
      </c>
      <c r="AL48">
        <f>DV!AK33+DV!AK35</f>
        <v>0</v>
      </c>
      <c r="AM48">
        <f>DV!AL33+DV!AL35</f>
        <v>0</v>
      </c>
      <c r="AN48">
        <f>DV!AM33+DV!AM35</f>
        <v>0</v>
      </c>
      <c r="AO48">
        <f>DV!AN33+DV!AN35</f>
        <v>0</v>
      </c>
      <c r="AP48">
        <f>DV!AO33+DV!AO35</f>
        <v>0</v>
      </c>
      <c r="AQ48">
        <f>DV!AP33+DV!AP35</f>
        <v>0</v>
      </c>
      <c r="AR48">
        <f>DV!AQ33+DV!AQ35</f>
        <v>0</v>
      </c>
      <c r="AS48">
        <f>DV!AR33+DV!AR35</f>
        <v>0</v>
      </c>
      <c r="AT48">
        <f>DV!AS33+DV!AS35</f>
        <v>0</v>
      </c>
      <c r="AU48">
        <f>DV!AT33+DV!AT35</f>
        <v>0</v>
      </c>
      <c r="AV48">
        <f>DV!AU33+DV!AU35</f>
        <v>0</v>
      </c>
      <c r="AW48">
        <f>DV!AV33+DV!AV35</f>
        <v>0</v>
      </c>
      <c r="AX48">
        <f>DV!AW33+DV!AW35</f>
        <v>0</v>
      </c>
      <c r="AY48">
        <f>DV!AX33+DV!AX35</f>
        <v>0</v>
      </c>
      <c r="AZ48">
        <f>DV!AY33+DV!AY35</f>
        <v>0</v>
      </c>
      <c r="BA48">
        <f>DV!AZ33+DV!AZ35</f>
        <v>0</v>
      </c>
      <c r="BB48">
        <f>DV!BA33+DV!BA35</f>
        <v>0</v>
      </c>
      <c r="BC48">
        <f>DV!BB33+DV!BB35</f>
        <v>0</v>
      </c>
      <c r="BD48">
        <f>DV!BC33+DV!BC35</f>
        <v>0</v>
      </c>
      <c r="BE48">
        <f>DV!BD33+DV!BD35</f>
        <v>0</v>
      </c>
      <c r="BF48">
        <f>DV!BE33+DV!BE35</f>
        <v>0</v>
      </c>
      <c r="BG48">
        <f>DV!BF33+DV!BF35</f>
        <v>0</v>
      </c>
      <c r="BH48">
        <f>DV!BG33+DV!BG35</f>
        <v>0</v>
      </c>
      <c r="BI48">
        <f>DV!BH33+DV!BH35</f>
        <v>0</v>
      </c>
      <c r="BJ48">
        <f>DV!BI33+DV!BI35</f>
        <v>0</v>
      </c>
      <c r="BK48">
        <f>DV!BJ33+DV!BJ35</f>
        <v>0</v>
      </c>
      <c r="BL48">
        <f>DV!BK33+DV!BK35</f>
        <v>0</v>
      </c>
    </row>
    <row r="49" spans="1:64">
      <c r="A49">
        <v>17</v>
      </c>
      <c r="B49" s="5" t="str">
        <f>TEXT(VLOOKUP(A49,СВ[],2),"чч:мм")&amp;"-"&amp;TEXT(VLOOKUP(A49,СВ[],3),"чч:мм")</f>
        <v>11:45-12:30</v>
      </c>
      <c r="C49" s="6">
        <v>18</v>
      </c>
      <c r="D49" s="5" t="str">
        <f>TEXT(VLOOKUP(C49,СВ[],2),"чч:мм")&amp;"-"&amp;TEXT(VLOOKUP(C49,СВ[],3),"чч:мм")</f>
        <v>12:00-13:00</v>
      </c>
      <c r="E49">
        <f>DV!D34+DV!D35</f>
        <v>0</v>
      </c>
      <c r="F49">
        <f>DV!E34+DV!E35</f>
        <v>0</v>
      </c>
      <c r="G49">
        <f>DV!F34+DV!F35</f>
        <v>0</v>
      </c>
      <c r="H49">
        <f>DV!G34+DV!G35</f>
        <v>0</v>
      </c>
      <c r="I49">
        <f>DV!H34+DV!H35</f>
        <v>0</v>
      </c>
      <c r="J49">
        <f>DV!I34+DV!I35</f>
        <v>0</v>
      </c>
      <c r="K49">
        <f>DV!J34+DV!J35</f>
        <v>0</v>
      </c>
      <c r="L49">
        <f>DV!K34+DV!K35</f>
        <v>0</v>
      </c>
      <c r="M49">
        <f>DV!L34+DV!L35</f>
        <v>0</v>
      </c>
      <c r="N49">
        <f>DV!M34+DV!M35</f>
        <v>0</v>
      </c>
      <c r="O49">
        <f>DV!N34+DV!N35</f>
        <v>0</v>
      </c>
      <c r="P49">
        <f>DV!O34+DV!O35</f>
        <v>0</v>
      </c>
      <c r="Q49">
        <f>DV!P34+DV!P35</f>
        <v>0</v>
      </c>
      <c r="R49">
        <f>DV!Q34+DV!Q35</f>
        <v>0</v>
      </c>
      <c r="S49">
        <f>DV!R34+DV!R35</f>
        <v>0</v>
      </c>
      <c r="T49">
        <f>DV!S34+DV!S35</f>
        <v>0</v>
      </c>
      <c r="U49">
        <f>DV!T34+DV!T35</f>
        <v>0</v>
      </c>
      <c r="V49">
        <f>DV!U34+DV!U35</f>
        <v>0</v>
      </c>
      <c r="W49">
        <f>DV!V34+DV!V35</f>
        <v>0</v>
      </c>
      <c r="X49">
        <f>DV!W34+DV!W35</f>
        <v>0</v>
      </c>
      <c r="Y49">
        <f>DV!X34+DV!X35</f>
        <v>0</v>
      </c>
      <c r="Z49">
        <f>DV!Y34+DV!Y35</f>
        <v>0</v>
      </c>
      <c r="AA49">
        <f>DV!Z34+DV!Z35</f>
        <v>0</v>
      </c>
      <c r="AB49">
        <f>DV!AA34+DV!AA35</f>
        <v>0</v>
      </c>
      <c r="AC49">
        <f>DV!AB34+DV!AB35</f>
        <v>0</v>
      </c>
      <c r="AD49">
        <f>DV!AC34+DV!AC35</f>
        <v>0</v>
      </c>
      <c r="AE49">
        <f>DV!AD34+DV!AD35</f>
        <v>0</v>
      </c>
      <c r="AF49">
        <f>DV!AE34+DV!AE35</f>
        <v>0</v>
      </c>
      <c r="AG49">
        <f>DV!AF34+DV!AF35</f>
        <v>0</v>
      </c>
      <c r="AH49">
        <f>DV!AG34+DV!AG35</f>
        <v>0</v>
      </c>
      <c r="AI49">
        <f>DV!AH34+DV!AH35</f>
        <v>0</v>
      </c>
      <c r="AJ49">
        <f>DV!AI34+DV!AI35</f>
        <v>0</v>
      </c>
      <c r="AK49">
        <f>DV!AJ34+DV!AJ35</f>
        <v>0</v>
      </c>
      <c r="AL49">
        <f>DV!AK34+DV!AK35</f>
        <v>0</v>
      </c>
      <c r="AM49">
        <f>DV!AL34+DV!AL35</f>
        <v>0</v>
      </c>
      <c r="AN49">
        <f>DV!AM34+DV!AM35</f>
        <v>0</v>
      </c>
      <c r="AO49">
        <f>DV!AN34+DV!AN35</f>
        <v>0</v>
      </c>
      <c r="AP49">
        <f>DV!AO34+DV!AO35</f>
        <v>0</v>
      </c>
      <c r="AQ49">
        <f>DV!AP34+DV!AP35</f>
        <v>0</v>
      </c>
      <c r="AR49">
        <f>DV!AQ34+DV!AQ35</f>
        <v>0</v>
      </c>
      <c r="AS49">
        <f>DV!AR34+DV!AR35</f>
        <v>0</v>
      </c>
      <c r="AT49">
        <f>DV!AS34+DV!AS35</f>
        <v>0</v>
      </c>
      <c r="AU49">
        <f>DV!AT34+DV!AT35</f>
        <v>0</v>
      </c>
      <c r="AV49">
        <f>DV!AU34+DV!AU35</f>
        <v>0</v>
      </c>
      <c r="AW49">
        <f>DV!AV34+DV!AV35</f>
        <v>0</v>
      </c>
      <c r="AX49">
        <f>DV!AW34+DV!AW35</f>
        <v>0</v>
      </c>
      <c r="AY49">
        <f>DV!AX34+DV!AX35</f>
        <v>0</v>
      </c>
      <c r="AZ49">
        <f>DV!AY34+DV!AY35</f>
        <v>0</v>
      </c>
      <c r="BA49">
        <f>DV!AZ34+DV!AZ35</f>
        <v>0</v>
      </c>
      <c r="BB49">
        <f>DV!BA34+DV!BA35</f>
        <v>0</v>
      </c>
      <c r="BC49">
        <f>DV!BB34+DV!BB35</f>
        <v>0</v>
      </c>
      <c r="BD49">
        <f>DV!BC34+DV!BC35</f>
        <v>0</v>
      </c>
      <c r="BE49">
        <f>DV!BD34+DV!BD35</f>
        <v>0</v>
      </c>
      <c r="BF49">
        <f>DV!BE34+DV!BE35</f>
        <v>0</v>
      </c>
      <c r="BG49">
        <f>DV!BF34+DV!BF35</f>
        <v>0</v>
      </c>
      <c r="BH49">
        <f>DV!BG34+DV!BG35</f>
        <v>0</v>
      </c>
      <c r="BI49">
        <f>DV!BH34+DV!BH35</f>
        <v>0</v>
      </c>
      <c r="BJ49">
        <f>DV!BI34+DV!BI35</f>
        <v>0</v>
      </c>
      <c r="BK49">
        <f>DV!BJ34+DV!BJ35</f>
        <v>0</v>
      </c>
      <c r="BL49">
        <f>DV!BK34+DV!BK35</f>
        <v>0</v>
      </c>
    </row>
    <row r="50" spans="1:64">
      <c r="A50">
        <v>17</v>
      </c>
      <c r="B50" s="5" t="str">
        <f>TEXT(VLOOKUP(A50,СВ[],2),"чч:мм")&amp;"-"&amp;TEXT(VLOOKUP(A50,СВ[],3),"чч:мм")</f>
        <v>11:45-12:30</v>
      </c>
      <c r="C50" s="6">
        <v>19</v>
      </c>
      <c r="D50" s="5" t="str">
        <f>TEXT(VLOOKUP(C50,СВ[],2),"чч:мм")&amp;"-"&amp;TEXT(VLOOKUP(C50,СВ[],3),"чч:мм")</f>
        <v>12:15-13:00</v>
      </c>
      <c r="E50">
        <f>DV!D34+DV!D36</f>
        <v>0</v>
      </c>
      <c r="F50">
        <f>DV!E34+DV!E36</f>
        <v>0</v>
      </c>
      <c r="G50">
        <f>DV!F34+DV!F36</f>
        <v>0</v>
      </c>
      <c r="H50">
        <f>DV!G34+DV!G36</f>
        <v>0</v>
      </c>
      <c r="I50">
        <f>DV!H34+DV!H36</f>
        <v>0</v>
      </c>
      <c r="J50">
        <f>DV!I34+DV!I36</f>
        <v>0</v>
      </c>
      <c r="K50">
        <f>DV!J34+DV!J36</f>
        <v>0</v>
      </c>
      <c r="L50">
        <f>DV!K34+DV!K36</f>
        <v>0</v>
      </c>
      <c r="M50">
        <f>DV!L34+DV!L36</f>
        <v>0</v>
      </c>
      <c r="N50">
        <f>DV!M34+DV!M36</f>
        <v>0</v>
      </c>
      <c r="O50">
        <f>DV!N34+DV!N36</f>
        <v>0</v>
      </c>
      <c r="P50">
        <f>DV!O34+DV!O36</f>
        <v>0</v>
      </c>
      <c r="Q50">
        <f>DV!P34+DV!P36</f>
        <v>0</v>
      </c>
      <c r="R50">
        <f>DV!Q34+DV!Q36</f>
        <v>0</v>
      </c>
      <c r="S50">
        <f>DV!R34+DV!R36</f>
        <v>0</v>
      </c>
      <c r="T50">
        <f>DV!S34+DV!S36</f>
        <v>0</v>
      </c>
      <c r="U50">
        <f>DV!T34+DV!T36</f>
        <v>0</v>
      </c>
      <c r="V50">
        <f>DV!U34+DV!U36</f>
        <v>0</v>
      </c>
      <c r="W50">
        <f>DV!V34+DV!V36</f>
        <v>0</v>
      </c>
      <c r="X50">
        <f>DV!W34+DV!W36</f>
        <v>0</v>
      </c>
      <c r="Y50">
        <f>DV!X34+DV!X36</f>
        <v>0</v>
      </c>
      <c r="Z50">
        <f>DV!Y34+DV!Y36</f>
        <v>0</v>
      </c>
      <c r="AA50">
        <f>DV!Z34+DV!Z36</f>
        <v>0</v>
      </c>
      <c r="AB50">
        <f>DV!AA34+DV!AA36</f>
        <v>0</v>
      </c>
      <c r="AC50">
        <f>DV!AB34+DV!AB36</f>
        <v>0</v>
      </c>
      <c r="AD50">
        <f>DV!AC34+DV!AC36</f>
        <v>0</v>
      </c>
      <c r="AE50">
        <f>DV!AD34+DV!AD36</f>
        <v>0</v>
      </c>
      <c r="AF50">
        <f>DV!AE34+DV!AE36</f>
        <v>0</v>
      </c>
      <c r="AG50">
        <f>DV!AF34+DV!AF36</f>
        <v>0</v>
      </c>
      <c r="AH50">
        <f>DV!AG34+DV!AG36</f>
        <v>0</v>
      </c>
      <c r="AI50">
        <f>DV!AH34+DV!AH36</f>
        <v>0</v>
      </c>
      <c r="AJ50">
        <f>DV!AI34+DV!AI36</f>
        <v>0</v>
      </c>
      <c r="AK50">
        <f>DV!AJ34+DV!AJ36</f>
        <v>0</v>
      </c>
      <c r="AL50">
        <f>DV!AK34+DV!AK36</f>
        <v>0</v>
      </c>
      <c r="AM50">
        <f>DV!AL34+DV!AL36</f>
        <v>0</v>
      </c>
      <c r="AN50">
        <f>DV!AM34+DV!AM36</f>
        <v>0</v>
      </c>
      <c r="AO50">
        <f>DV!AN34+DV!AN36</f>
        <v>0</v>
      </c>
      <c r="AP50">
        <f>DV!AO34+DV!AO36</f>
        <v>0</v>
      </c>
      <c r="AQ50">
        <f>DV!AP34+DV!AP36</f>
        <v>0</v>
      </c>
      <c r="AR50">
        <f>DV!AQ34+DV!AQ36</f>
        <v>0</v>
      </c>
      <c r="AS50">
        <f>DV!AR34+DV!AR36</f>
        <v>0</v>
      </c>
      <c r="AT50">
        <f>DV!AS34+DV!AS36</f>
        <v>0</v>
      </c>
      <c r="AU50">
        <f>DV!AT34+DV!AT36</f>
        <v>0</v>
      </c>
      <c r="AV50">
        <f>DV!AU34+DV!AU36</f>
        <v>0</v>
      </c>
      <c r="AW50">
        <f>DV!AV34+DV!AV36</f>
        <v>0</v>
      </c>
      <c r="AX50">
        <f>DV!AW34+DV!AW36</f>
        <v>0</v>
      </c>
      <c r="AY50">
        <f>DV!AX34+DV!AX36</f>
        <v>0</v>
      </c>
      <c r="AZ50">
        <f>DV!AY34+DV!AY36</f>
        <v>0</v>
      </c>
      <c r="BA50">
        <f>DV!AZ34+DV!AZ36</f>
        <v>0</v>
      </c>
      <c r="BB50">
        <f>DV!BA34+DV!BA36</f>
        <v>0</v>
      </c>
      <c r="BC50">
        <f>DV!BB34+DV!BB36</f>
        <v>0</v>
      </c>
      <c r="BD50">
        <f>DV!BC34+DV!BC36</f>
        <v>0</v>
      </c>
      <c r="BE50">
        <f>DV!BD34+DV!BD36</f>
        <v>0</v>
      </c>
      <c r="BF50">
        <f>DV!BE34+DV!BE36</f>
        <v>0</v>
      </c>
      <c r="BG50">
        <f>DV!BF34+DV!BF36</f>
        <v>0</v>
      </c>
      <c r="BH50">
        <f>DV!BG34+DV!BG36</f>
        <v>0</v>
      </c>
      <c r="BI50">
        <f>DV!BH34+DV!BH36</f>
        <v>0</v>
      </c>
      <c r="BJ50">
        <f>DV!BI34+DV!BI36</f>
        <v>0</v>
      </c>
      <c r="BK50">
        <f>DV!BJ34+DV!BJ36</f>
        <v>0</v>
      </c>
      <c r="BL50">
        <f>DV!BK34+DV!BK36</f>
        <v>0</v>
      </c>
    </row>
    <row r="51" spans="1:64">
      <c r="A51">
        <v>18</v>
      </c>
      <c r="B51" s="5" t="str">
        <f>TEXT(VLOOKUP(A51,СВ[],2),"чч:мм")&amp;"-"&amp;TEXT(VLOOKUP(A51,СВ[],3),"чч:мм")</f>
        <v>12:00-13:00</v>
      </c>
      <c r="C51" s="6">
        <v>19</v>
      </c>
      <c r="D51" s="5" t="str">
        <f>TEXT(VLOOKUP(C51,СВ[],2),"чч:мм")&amp;"-"&amp;TEXT(VLOOKUP(C51,СВ[],3),"чч:мм")</f>
        <v>12:15-13:00</v>
      </c>
      <c r="E51">
        <f>DV!D35+DV!D36</f>
        <v>0</v>
      </c>
      <c r="F51">
        <f>DV!E35+DV!E36</f>
        <v>0</v>
      </c>
      <c r="G51">
        <f>DV!F35+DV!F36</f>
        <v>0</v>
      </c>
      <c r="H51">
        <f>DV!G35+DV!G36</f>
        <v>0</v>
      </c>
      <c r="I51">
        <f>DV!H35+DV!H36</f>
        <v>0</v>
      </c>
      <c r="J51">
        <f>DV!I35+DV!I36</f>
        <v>0</v>
      </c>
      <c r="K51">
        <f>DV!J35+DV!J36</f>
        <v>0</v>
      </c>
      <c r="L51">
        <f>DV!K35+DV!K36</f>
        <v>0</v>
      </c>
      <c r="M51">
        <f>DV!L35+DV!L36</f>
        <v>0</v>
      </c>
      <c r="N51">
        <f>DV!M35+DV!M36</f>
        <v>0</v>
      </c>
      <c r="O51">
        <f>DV!N35+DV!N36</f>
        <v>0</v>
      </c>
      <c r="P51">
        <f>DV!O35+DV!O36</f>
        <v>0</v>
      </c>
      <c r="Q51">
        <f>DV!P35+DV!P36</f>
        <v>0</v>
      </c>
      <c r="R51">
        <f>DV!Q35+DV!Q36</f>
        <v>0</v>
      </c>
      <c r="S51">
        <f>DV!R35+DV!R36</f>
        <v>0</v>
      </c>
      <c r="T51">
        <f>DV!S35+DV!S36</f>
        <v>0</v>
      </c>
      <c r="U51">
        <f>DV!T35+DV!T36</f>
        <v>0</v>
      </c>
      <c r="V51">
        <f>DV!U35+DV!U36</f>
        <v>0</v>
      </c>
      <c r="W51">
        <f>DV!V35+DV!V36</f>
        <v>0</v>
      </c>
      <c r="X51">
        <f>DV!W35+DV!W36</f>
        <v>0</v>
      </c>
      <c r="Y51">
        <f>DV!X35+DV!X36</f>
        <v>0</v>
      </c>
      <c r="Z51">
        <f>DV!Y35+DV!Y36</f>
        <v>0</v>
      </c>
      <c r="AA51">
        <f>DV!Z35+DV!Z36</f>
        <v>0</v>
      </c>
      <c r="AB51">
        <f>DV!AA35+DV!AA36</f>
        <v>0</v>
      </c>
      <c r="AC51">
        <f>DV!AB35+DV!AB36</f>
        <v>0</v>
      </c>
      <c r="AD51">
        <f>DV!AC35+DV!AC36</f>
        <v>0</v>
      </c>
      <c r="AE51">
        <f>DV!AD35+DV!AD36</f>
        <v>0</v>
      </c>
      <c r="AF51">
        <f>DV!AE35+DV!AE36</f>
        <v>0</v>
      </c>
      <c r="AG51">
        <f>DV!AF35+DV!AF36</f>
        <v>0</v>
      </c>
      <c r="AH51">
        <f>DV!AG35+DV!AG36</f>
        <v>0</v>
      </c>
      <c r="AI51">
        <f>DV!AH35+DV!AH36</f>
        <v>0</v>
      </c>
      <c r="AJ51">
        <f>DV!AI35+DV!AI36</f>
        <v>0</v>
      </c>
      <c r="AK51">
        <f>DV!AJ35+DV!AJ36</f>
        <v>0</v>
      </c>
      <c r="AL51">
        <f>DV!AK35+DV!AK36</f>
        <v>0</v>
      </c>
      <c r="AM51">
        <f>DV!AL35+DV!AL36</f>
        <v>0</v>
      </c>
      <c r="AN51">
        <f>DV!AM35+DV!AM36</f>
        <v>0</v>
      </c>
      <c r="AO51">
        <f>DV!AN35+DV!AN36</f>
        <v>0</v>
      </c>
      <c r="AP51">
        <f>DV!AO35+DV!AO36</f>
        <v>0</v>
      </c>
      <c r="AQ51">
        <f>DV!AP35+DV!AP36</f>
        <v>0</v>
      </c>
      <c r="AR51">
        <f>DV!AQ35+DV!AQ36</f>
        <v>0</v>
      </c>
      <c r="AS51">
        <f>DV!AR35+DV!AR36</f>
        <v>0</v>
      </c>
      <c r="AT51">
        <f>DV!AS35+DV!AS36</f>
        <v>0</v>
      </c>
      <c r="AU51">
        <f>DV!AT35+DV!AT36</f>
        <v>0</v>
      </c>
      <c r="AV51">
        <f>DV!AU35+DV!AU36</f>
        <v>0</v>
      </c>
      <c r="AW51">
        <f>DV!AV35+DV!AV36</f>
        <v>0</v>
      </c>
      <c r="AX51">
        <f>DV!AW35+DV!AW36</f>
        <v>0</v>
      </c>
      <c r="AY51">
        <f>DV!AX35+DV!AX36</f>
        <v>0</v>
      </c>
      <c r="AZ51">
        <f>DV!AY35+DV!AY36</f>
        <v>0</v>
      </c>
      <c r="BA51">
        <f>DV!AZ35+DV!AZ36</f>
        <v>0</v>
      </c>
      <c r="BB51">
        <f>DV!BA35+DV!BA36</f>
        <v>0</v>
      </c>
      <c r="BC51">
        <f>DV!BB35+DV!BB36</f>
        <v>0</v>
      </c>
      <c r="BD51">
        <f>DV!BC35+DV!BC36</f>
        <v>0</v>
      </c>
      <c r="BE51">
        <f>DV!BD35+DV!BD36</f>
        <v>0</v>
      </c>
      <c r="BF51">
        <f>DV!BE35+DV!BE36</f>
        <v>0</v>
      </c>
      <c r="BG51">
        <f>DV!BF35+DV!BF36</f>
        <v>0</v>
      </c>
      <c r="BH51">
        <f>DV!BG35+DV!BG36</f>
        <v>0</v>
      </c>
      <c r="BI51">
        <f>DV!BH35+DV!BH36</f>
        <v>0</v>
      </c>
      <c r="BJ51">
        <f>DV!BI35+DV!BI36</f>
        <v>0</v>
      </c>
      <c r="BK51">
        <f>DV!BJ35+DV!BJ36</f>
        <v>0</v>
      </c>
      <c r="BL51">
        <f>DV!BK35+DV!BK36</f>
        <v>0</v>
      </c>
    </row>
    <row r="52" spans="1:64">
      <c r="A52">
        <v>18</v>
      </c>
      <c r="B52" s="5" t="str">
        <f>TEXT(VLOOKUP(A52,СВ[],2),"чч:мм")&amp;"-"&amp;TEXT(VLOOKUP(A52,СВ[],3),"чч:мм")</f>
        <v>12:00-13:00</v>
      </c>
      <c r="C52" s="6">
        <v>20</v>
      </c>
      <c r="D52" s="5" t="str">
        <f>TEXT(VLOOKUP(C52,СВ[],2),"чч:мм")&amp;"-"&amp;TEXT(VLOOKUP(C52,СВ[],3),"чч:мм")</f>
        <v>12:30-13:15</v>
      </c>
      <c r="E52">
        <f>DV!D35+DV!D37</f>
        <v>0</v>
      </c>
      <c r="F52">
        <f>DV!E35+DV!E37</f>
        <v>0</v>
      </c>
      <c r="G52">
        <f>DV!F35+DV!F37</f>
        <v>0</v>
      </c>
      <c r="H52">
        <f>DV!G35+DV!G37</f>
        <v>0</v>
      </c>
      <c r="I52">
        <f>DV!H35+DV!H37</f>
        <v>0</v>
      </c>
      <c r="J52">
        <f>DV!I35+DV!I37</f>
        <v>0</v>
      </c>
      <c r="K52">
        <f>DV!J35+DV!J37</f>
        <v>0</v>
      </c>
      <c r="L52">
        <f>DV!K35+DV!K37</f>
        <v>0</v>
      </c>
      <c r="M52">
        <f>DV!L35+DV!L37</f>
        <v>0</v>
      </c>
      <c r="N52">
        <f>DV!M35+DV!M37</f>
        <v>0</v>
      </c>
      <c r="O52">
        <f>DV!N35+DV!N37</f>
        <v>0</v>
      </c>
      <c r="P52">
        <f>DV!O35+DV!O37</f>
        <v>0</v>
      </c>
      <c r="Q52">
        <f>DV!P35+DV!P37</f>
        <v>0</v>
      </c>
      <c r="R52">
        <f>DV!Q35+DV!Q37</f>
        <v>0</v>
      </c>
      <c r="S52">
        <f>DV!R35+DV!R37</f>
        <v>0</v>
      </c>
      <c r="T52">
        <f>DV!S35+DV!S37</f>
        <v>0</v>
      </c>
      <c r="U52">
        <f>DV!T35+DV!T37</f>
        <v>0</v>
      </c>
      <c r="V52">
        <f>DV!U35+DV!U37</f>
        <v>0</v>
      </c>
      <c r="W52">
        <f>DV!V35+DV!V37</f>
        <v>0</v>
      </c>
      <c r="X52">
        <f>DV!W35+DV!W37</f>
        <v>0</v>
      </c>
      <c r="Y52">
        <f>DV!X35+DV!X37</f>
        <v>0</v>
      </c>
      <c r="Z52">
        <f>DV!Y35+DV!Y37</f>
        <v>0</v>
      </c>
      <c r="AA52">
        <f>DV!Z35+DV!Z37</f>
        <v>0</v>
      </c>
      <c r="AB52">
        <f>DV!AA35+DV!AA37</f>
        <v>0</v>
      </c>
      <c r="AC52">
        <f>DV!AB35+DV!AB37</f>
        <v>0</v>
      </c>
      <c r="AD52">
        <f>DV!AC35+DV!AC37</f>
        <v>0</v>
      </c>
      <c r="AE52">
        <f>DV!AD35+DV!AD37</f>
        <v>0</v>
      </c>
      <c r="AF52">
        <f>DV!AE35+DV!AE37</f>
        <v>0</v>
      </c>
      <c r="AG52">
        <f>DV!AF35+DV!AF37</f>
        <v>0</v>
      </c>
      <c r="AH52">
        <f>DV!AG35+DV!AG37</f>
        <v>0</v>
      </c>
      <c r="AI52">
        <f>DV!AH35+DV!AH37</f>
        <v>0</v>
      </c>
      <c r="AJ52">
        <f>DV!AI35+DV!AI37</f>
        <v>0</v>
      </c>
      <c r="AK52">
        <f>DV!AJ35+DV!AJ37</f>
        <v>0</v>
      </c>
      <c r="AL52">
        <f>DV!AK35+DV!AK37</f>
        <v>0</v>
      </c>
      <c r="AM52">
        <f>DV!AL35+DV!AL37</f>
        <v>0</v>
      </c>
      <c r="AN52">
        <f>DV!AM35+DV!AM37</f>
        <v>0</v>
      </c>
      <c r="AO52">
        <f>DV!AN35+DV!AN37</f>
        <v>0</v>
      </c>
      <c r="AP52">
        <f>DV!AO35+DV!AO37</f>
        <v>0</v>
      </c>
      <c r="AQ52">
        <f>DV!AP35+DV!AP37</f>
        <v>0</v>
      </c>
      <c r="AR52">
        <f>DV!AQ35+DV!AQ37</f>
        <v>0</v>
      </c>
      <c r="AS52">
        <f>DV!AR35+DV!AR37</f>
        <v>0</v>
      </c>
      <c r="AT52">
        <f>DV!AS35+DV!AS37</f>
        <v>0</v>
      </c>
      <c r="AU52">
        <f>DV!AT35+DV!AT37</f>
        <v>0</v>
      </c>
      <c r="AV52">
        <f>DV!AU35+DV!AU37</f>
        <v>0</v>
      </c>
      <c r="AW52">
        <f>DV!AV35+DV!AV37</f>
        <v>0</v>
      </c>
      <c r="AX52">
        <f>DV!AW35+DV!AW37</f>
        <v>0</v>
      </c>
      <c r="AY52">
        <f>DV!AX35+DV!AX37</f>
        <v>0</v>
      </c>
      <c r="AZ52">
        <f>DV!AY35+DV!AY37</f>
        <v>0</v>
      </c>
      <c r="BA52">
        <f>DV!AZ35+DV!AZ37</f>
        <v>0</v>
      </c>
      <c r="BB52">
        <f>DV!BA35+DV!BA37</f>
        <v>0</v>
      </c>
      <c r="BC52">
        <f>DV!BB35+DV!BB37</f>
        <v>0</v>
      </c>
      <c r="BD52">
        <f>DV!BC35+DV!BC37</f>
        <v>0</v>
      </c>
      <c r="BE52">
        <f>DV!BD35+DV!BD37</f>
        <v>0</v>
      </c>
      <c r="BF52">
        <f>DV!BE35+DV!BE37</f>
        <v>0</v>
      </c>
      <c r="BG52">
        <f>DV!BF35+DV!BF37</f>
        <v>0</v>
      </c>
      <c r="BH52">
        <f>DV!BG35+DV!BG37</f>
        <v>0</v>
      </c>
      <c r="BI52">
        <f>DV!BH35+DV!BH37</f>
        <v>0</v>
      </c>
      <c r="BJ52">
        <f>DV!BI35+DV!BI37</f>
        <v>0</v>
      </c>
      <c r="BK52">
        <f>DV!BJ35+DV!BJ37</f>
        <v>0</v>
      </c>
      <c r="BL52">
        <f>DV!BK35+DV!BK37</f>
        <v>0</v>
      </c>
    </row>
    <row r="53" spans="1:64">
      <c r="A53">
        <v>18</v>
      </c>
      <c r="B53" s="5" t="str">
        <f>TEXT(VLOOKUP(A53,СВ[],2),"чч:мм")&amp;"-"&amp;TEXT(VLOOKUP(A53,СВ[],3),"чч:мм")</f>
        <v>12:00-13:00</v>
      </c>
      <c r="C53" s="6">
        <v>21</v>
      </c>
      <c r="D53" s="5" t="str">
        <f>TEXT(VLOOKUP(C53,СВ[],2),"чч:мм")&amp;"-"&amp;TEXT(VLOOKUP(C53,СВ[],3),"чч:мм")</f>
        <v>12:45-13:30</v>
      </c>
      <c r="E53">
        <f>DV!D35+DV!D38</f>
        <v>0</v>
      </c>
      <c r="F53">
        <f>DV!E35+DV!E38</f>
        <v>0</v>
      </c>
      <c r="G53">
        <f>DV!F35+DV!F38</f>
        <v>0</v>
      </c>
      <c r="H53">
        <f>DV!G35+DV!G38</f>
        <v>0</v>
      </c>
      <c r="I53">
        <f>DV!H35+DV!H38</f>
        <v>0</v>
      </c>
      <c r="J53">
        <f>DV!I35+DV!I38</f>
        <v>0</v>
      </c>
      <c r="K53">
        <f>DV!J35+DV!J38</f>
        <v>0</v>
      </c>
      <c r="L53">
        <f>DV!K35+DV!K38</f>
        <v>0</v>
      </c>
      <c r="M53">
        <f>DV!L35+DV!L38</f>
        <v>0</v>
      </c>
      <c r="N53">
        <f>DV!M35+DV!M38</f>
        <v>0</v>
      </c>
      <c r="O53">
        <f>DV!N35+DV!N38</f>
        <v>0</v>
      </c>
      <c r="P53">
        <f>DV!O35+DV!O38</f>
        <v>0</v>
      </c>
      <c r="Q53">
        <f>DV!P35+DV!P38</f>
        <v>0</v>
      </c>
      <c r="R53">
        <f>DV!Q35+DV!Q38</f>
        <v>0</v>
      </c>
      <c r="S53">
        <f>DV!R35+DV!R38</f>
        <v>0</v>
      </c>
      <c r="T53">
        <f>DV!S35+DV!S38</f>
        <v>0</v>
      </c>
      <c r="U53">
        <f>DV!T35+DV!T38</f>
        <v>0</v>
      </c>
      <c r="V53">
        <f>DV!U35+DV!U38</f>
        <v>0</v>
      </c>
      <c r="W53">
        <f>DV!V35+DV!V38</f>
        <v>0</v>
      </c>
      <c r="X53">
        <f>DV!W35+DV!W38</f>
        <v>0</v>
      </c>
      <c r="Y53">
        <f>DV!X35+DV!X38</f>
        <v>0</v>
      </c>
      <c r="Z53">
        <f>DV!Y35+DV!Y38</f>
        <v>0</v>
      </c>
      <c r="AA53">
        <f>DV!Z35+DV!Z38</f>
        <v>0</v>
      </c>
      <c r="AB53">
        <f>DV!AA35+DV!AA38</f>
        <v>0</v>
      </c>
      <c r="AC53">
        <f>DV!AB35+DV!AB38</f>
        <v>0</v>
      </c>
      <c r="AD53">
        <f>DV!AC35+DV!AC38</f>
        <v>0</v>
      </c>
      <c r="AE53">
        <f>DV!AD35+DV!AD38</f>
        <v>0</v>
      </c>
      <c r="AF53">
        <f>DV!AE35+DV!AE38</f>
        <v>0</v>
      </c>
      <c r="AG53">
        <f>DV!AF35+DV!AF38</f>
        <v>0</v>
      </c>
      <c r="AH53">
        <f>DV!AG35+DV!AG38</f>
        <v>0</v>
      </c>
      <c r="AI53">
        <f>DV!AH35+DV!AH38</f>
        <v>0</v>
      </c>
      <c r="AJ53">
        <f>DV!AI35+DV!AI38</f>
        <v>0</v>
      </c>
      <c r="AK53">
        <f>DV!AJ35+DV!AJ38</f>
        <v>0</v>
      </c>
      <c r="AL53">
        <f>DV!AK35+DV!AK38</f>
        <v>0</v>
      </c>
      <c r="AM53">
        <f>DV!AL35+DV!AL38</f>
        <v>0</v>
      </c>
      <c r="AN53">
        <f>DV!AM35+DV!AM38</f>
        <v>0</v>
      </c>
      <c r="AO53">
        <f>DV!AN35+DV!AN38</f>
        <v>0</v>
      </c>
      <c r="AP53">
        <f>DV!AO35+DV!AO38</f>
        <v>0</v>
      </c>
      <c r="AQ53">
        <f>DV!AP35+DV!AP38</f>
        <v>0</v>
      </c>
      <c r="AR53">
        <f>DV!AQ35+DV!AQ38</f>
        <v>0</v>
      </c>
      <c r="AS53">
        <f>DV!AR35+DV!AR38</f>
        <v>0</v>
      </c>
      <c r="AT53">
        <f>DV!AS35+DV!AS38</f>
        <v>0</v>
      </c>
      <c r="AU53">
        <f>DV!AT35+DV!AT38</f>
        <v>0</v>
      </c>
      <c r="AV53">
        <f>DV!AU35+DV!AU38</f>
        <v>0</v>
      </c>
      <c r="AW53">
        <f>DV!AV35+DV!AV38</f>
        <v>0</v>
      </c>
      <c r="AX53">
        <f>DV!AW35+DV!AW38</f>
        <v>0</v>
      </c>
      <c r="AY53">
        <f>DV!AX35+DV!AX38</f>
        <v>0</v>
      </c>
      <c r="AZ53">
        <f>DV!AY35+DV!AY38</f>
        <v>0</v>
      </c>
      <c r="BA53">
        <f>DV!AZ35+DV!AZ38</f>
        <v>0</v>
      </c>
      <c r="BB53">
        <f>DV!BA35+DV!BA38</f>
        <v>0</v>
      </c>
      <c r="BC53">
        <f>DV!BB35+DV!BB38</f>
        <v>0</v>
      </c>
      <c r="BD53">
        <f>DV!BC35+DV!BC38</f>
        <v>0</v>
      </c>
      <c r="BE53">
        <f>DV!BD35+DV!BD38</f>
        <v>0</v>
      </c>
      <c r="BF53">
        <f>DV!BE35+DV!BE38</f>
        <v>0</v>
      </c>
      <c r="BG53">
        <f>DV!BF35+DV!BF38</f>
        <v>0</v>
      </c>
      <c r="BH53">
        <f>DV!BG35+DV!BG38</f>
        <v>0</v>
      </c>
      <c r="BI53">
        <f>DV!BH35+DV!BH38</f>
        <v>0</v>
      </c>
      <c r="BJ53">
        <f>DV!BI35+DV!BI38</f>
        <v>0</v>
      </c>
      <c r="BK53">
        <f>DV!BJ35+DV!BJ38</f>
        <v>0</v>
      </c>
      <c r="BL53">
        <f>DV!BK35+DV!BK38</f>
        <v>0</v>
      </c>
    </row>
    <row r="54" spans="1:64">
      <c r="A54">
        <v>19</v>
      </c>
      <c r="B54" s="5" t="str">
        <f>TEXT(VLOOKUP(A54,СВ[],2),"чч:мм")&amp;"-"&amp;TEXT(VLOOKUP(A54,СВ[],3),"чч:мм")</f>
        <v>12:15-13:00</v>
      </c>
      <c r="C54" s="6">
        <v>20</v>
      </c>
      <c r="D54" s="5" t="str">
        <f>TEXT(VLOOKUP(C54,СВ[],2),"чч:мм")&amp;"-"&amp;TEXT(VLOOKUP(C54,СВ[],3),"чч:мм")</f>
        <v>12:30-13:15</v>
      </c>
      <c r="E54">
        <f>DV!D36+DV!D37</f>
        <v>0</v>
      </c>
      <c r="F54">
        <f>DV!E36+DV!E37</f>
        <v>0</v>
      </c>
      <c r="G54">
        <f>DV!F36+DV!F37</f>
        <v>0</v>
      </c>
      <c r="H54">
        <f>DV!G36+DV!G37</f>
        <v>0</v>
      </c>
      <c r="I54">
        <f>DV!H36+DV!H37</f>
        <v>0</v>
      </c>
      <c r="J54">
        <f>DV!I36+DV!I37</f>
        <v>0</v>
      </c>
      <c r="K54">
        <f>DV!J36+DV!J37</f>
        <v>0</v>
      </c>
      <c r="L54">
        <f>DV!K36+DV!K37</f>
        <v>0</v>
      </c>
      <c r="M54">
        <f>DV!L36+DV!L37</f>
        <v>0</v>
      </c>
      <c r="N54">
        <f>DV!M36+DV!M37</f>
        <v>0</v>
      </c>
      <c r="O54">
        <f>DV!N36+DV!N37</f>
        <v>0</v>
      </c>
      <c r="P54">
        <f>DV!O36+DV!O37</f>
        <v>0</v>
      </c>
      <c r="Q54">
        <f>DV!P36+DV!P37</f>
        <v>0</v>
      </c>
      <c r="R54">
        <f>DV!Q36+DV!Q37</f>
        <v>0</v>
      </c>
      <c r="S54">
        <f>DV!R36+DV!R37</f>
        <v>0</v>
      </c>
      <c r="T54">
        <f>DV!S36+DV!S37</f>
        <v>0</v>
      </c>
      <c r="U54">
        <f>DV!T36+DV!T37</f>
        <v>0</v>
      </c>
      <c r="V54">
        <f>DV!U36+DV!U37</f>
        <v>0</v>
      </c>
      <c r="W54">
        <f>DV!V36+DV!V37</f>
        <v>0</v>
      </c>
      <c r="X54">
        <f>DV!W36+DV!W37</f>
        <v>0</v>
      </c>
      <c r="Y54">
        <f>DV!X36+DV!X37</f>
        <v>0</v>
      </c>
      <c r="Z54">
        <f>DV!Y36+DV!Y37</f>
        <v>0</v>
      </c>
      <c r="AA54">
        <f>DV!Z36+DV!Z37</f>
        <v>0</v>
      </c>
      <c r="AB54">
        <f>DV!AA36+DV!AA37</f>
        <v>0</v>
      </c>
      <c r="AC54">
        <f>DV!AB36+DV!AB37</f>
        <v>0</v>
      </c>
      <c r="AD54">
        <f>DV!AC36+DV!AC37</f>
        <v>0</v>
      </c>
      <c r="AE54">
        <f>DV!AD36+DV!AD37</f>
        <v>0</v>
      </c>
      <c r="AF54">
        <f>DV!AE36+DV!AE37</f>
        <v>0</v>
      </c>
      <c r="AG54">
        <f>DV!AF36+DV!AF37</f>
        <v>0</v>
      </c>
      <c r="AH54">
        <f>DV!AG36+DV!AG37</f>
        <v>0</v>
      </c>
      <c r="AI54">
        <f>DV!AH36+DV!AH37</f>
        <v>0</v>
      </c>
      <c r="AJ54">
        <f>DV!AI36+DV!AI37</f>
        <v>0</v>
      </c>
      <c r="AK54">
        <f>DV!AJ36+DV!AJ37</f>
        <v>0</v>
      </c>
      <c r="AL54">
        <f>DV!AK36+DV!AK37</f>
        <v>0</v>
      </c>
      <c r="AM54">
        <f>DV!AL36+DV!AL37</f>
        <v>0</v>
      </c>
      <c r="AN54">
        <f>DV!AM36+DV!AM37</f>
        <v>0</v>
      </c>
      <c r="AO54">
        <f>DV!AN36+DV!AN37</f>
        <v>0</v>
      </c>
      <c r="AP54">
        <f>DV!AO36+DV!AO37</f>
        <v>0</v>
      </c>
      <c r="AQ54">
        <f>DV!AP36+DV!AP37</f>
        <v>0</v>
      </c>
      <c r="AR54">
        <f>DV!AQ36+DV!AQ37</f>
        <v>0</v>
      </c>
      <c r="AS54">
        <f>DV!AR36+DV!AR37</f>
        <v>0</v>
      </c>
      <c r="AT54">
        <f>DV!AS36+DV!AS37</f>
        <v>0</v>
      </c>
      <c r="AU54">
        <f>DV!AT36+DV!AT37</f>
        <v>0</v>
      </c>
      <c r="AV54">
        <f>DV!AU36+DV!AU37</f>
        <v>0</v>
      </c>
      <c r="AW54">
        <f>DV!AV36+DV!AV37</f>
        <v>0</v>
      </c>
      <c r="AX54">
        <f>DV!AW36+DV!AW37</f>
        <v>0</v>
      </c>
      <c r="AY54">
        <f>DV!AX36+DV!AX37</f>
        <v>0</v>
      </c>
      <c r="AZ54">
        <f>DV!AY36+DV!AY37</f>
        <v>0</v>
      </c>
      <c r="BA54">
        <f>DV!AZ36+DV!AZ37</f>
        <v>0</v>
      </c>
      <c r="BB54">
        <f>DV!BA36+DV!BA37</f>
        <v>0</v>
      </c>
      <c r="BC54">
        <f>DV!BB36+DV!BB37</f>
        <v>0</v>
      </c>
      <c r="BD54">
        <f>DV!BC36+DV!BC37</f>
        <v>0</v>
      </c>
      <c r="BE54">
        <f>DV!BD36+DV!BD37</f>
        <v>0</v>
      </c>
      <c r="BF54">
        <f>DV!BE36+DV!BE37</f>
        <v>0</v>
      </c>
      <c r="BG54">
        <f>DV!BF36+DV!BF37</f>
        <v>0</v>
      </c>
      <c r="BH54">
        <f>DV!BG36+DV!BG37</f>
        <v>0</v>
      </c>
      <c r="BI54">
        <f>DV!BH36+DV!BH37</f>
        <v>0</v>
      </c>
      <c r="BJ54">
        <f>DV!BI36+DV!BI37</f>
        <v>0</v>
      </c>
      <c r="BK54">
        <f>DV!BJ36+DV!BJ37</f>
        <v>0</v>
      </c>
      <c r="BL54">
        <f>DV!BK36+DV!BK37</f>
        <v>0</v>
      </c>
    </row>
    <row r="55" spans="1:64">
      <c r="A55">
        <v>19</v>
      </c>
      <c r="B55" s="5" t="str">
        <f>TEXT(VLOOKUP(A55,СВ[],2),"чч:мм")&amp;"-"&amp;TEXT(VLOOKUP(A55,СВ[],3),"чч:мм")</f>
        <v>12:15-13:00</v>
      </c>
      <c r="C55" s="6">
        <v>21</v>
      </c>
      <c r="D55" s="5" t="str">
        <f>TEXT(VLOOKUP(C55,СВ[],2),"чч:мм")&amp;"-"&amp;TEXT(VLOOKUP(C55,СВ[],3),"чч:мм")</f>
        <v>12:45-13:30</v>
      </c>
      <c r="E55">
        <f>DV!D36+DV!D38</f>
        <v>0</v>
      </c>
      <c r="F55">
        <f>DV!E36+DV!E38</f>
        <v>0</v>
      </c>
      <c r="G55">
        <f>DV!F36+DV!F38</f>
        <v>0</v>
      </c>
      <c r="H55">
        <f>DV!G36+DV!G38</f>
        <v>0</v>
      </c>
      <c r="I55">
        <f>DV!H36+DV!H38</f>
        <v>0</v>
      </c>
      <c r="J55">
        <f>DV!I36+DV!I38</f>
        <v>0</v>
      </c>
      <c r="K55">
        <f>DV!J36+DV!J38</f>
        <v>0</v>
      </c>
      <c r="L55">
        <f>DV!K36+DV!K38</f>
        <v>0</v>
      </c>
      <c r="M55">
        <f>DV!L36+DV!L38</f>
        <v>0</v>
      </c>
      <c r="N55">
        <f>DV!M36+DV!M38</f>
        <v>0</v>
      </c>
      <c r="O55">
        <f>DV!N36+DV!N38</f>
        <v>0</v>
      </c>
      <c r="P55">
        <f>DV!O36+DV!O38</f>
        <v>0</v>
      </c>
      <c r="Q55">
        <f>DV!P36+DV!P38</f>
        <v>0</v>
      </c>
      <c r="R55">
        <f>DV!Q36+DV!Q38</f>
        <v>0</v>
      </c>
      <c r="S55">
        <f>DV!R36+DV!R38</f>
        <v>0</v>
      </c>
      <c r="T55">
        <f>DV!S36+DV!S38</f>
        <v>0</v>
      </c>
      <c r="U55">
        <f>DV!T36+DV!T38</f>
        <v>0</v>
      </c>
      <c r="V55">
        <f>DV!U36+DV!U38</f>
        <v>0</v>
      </c>
      <c r="W55">
        <f>DV!V36+DV!V38</f>
        <v>0</v>
      </c>
      <c r="X55">
        <f>DV!W36+DV!W38</f>
        <v>0</v>
      </c>
      <c r="Y55">
        <f>DV!X36+DV!X38</f>
        <v>0</v>
      </c>
      <c r="Z55">
        <f>DV!Y36+DV!Y38</f>
        <v>0</v>
      </c>
      <c r="AA55">
        <f>DV!Z36+DV!Z38</f>
        <v>0</v>
      </c>
      <c r="AB55">
        <f>DV!AA36+DV!AA38</f>
        <v>0</v>
      </c>
      <c r="AC55">
        <f>DV!AB36+DV!AB38</f>
        <v>0</v>
      </c>
      <c r="AD55">
        <f>DV!AC36+DV!AC38</f>
        <v>0</v>
      </c>
      <c r="AE55">
        <f>DV!AD36+DV!AD38</f>
        <v>0</v>
      </c>
      <c r="AF55">
        <f>DV!AE36+DV!AE38</f>
        <v>0</v>
      </c>
      <c r="AG55">
        <f>DV!AF36+DV!AF38</f>
        <v>0</v>
      </c>
      <c r="AH55">
        <f>DV!AG36+DV!AG38</f>
        <v>0</v>
      </c>
      <c r="AI55">
        <f>DV!AH36+DV!AH38</f>
        <v>0</v>
      </c>
      <c r="AJ55">
        <f>DV!AI36+DV!AI38</f>
        <v>0</v>
      </c>
      <c r="AK55">
        <f>DV!AJ36+DV!AJ38</f>
        <v>0</v>
      </c>
      <c r="AL55">
        <f>DV!AK36+DV!AK38</f>
        <v>0</v>
      </c>
      <c r="AM55">
        <f>DV!AL36+DV!AL38</f>
        <v>0</v>
      </c>
      <c r="AN55">
        <f>DV!AM36+DV!AM38</f>
        <v>0</v>
      </c>
      <c r="AO55">
        <f>DV!AN36+DV!AN38</f>
        <v>0</v>
      </c>
      <c r="AP55">
        <f>DV!AO36+DV!AO38</f>
        <v>0</v>
      </c>
      <c r="AQ55">
        <f>DV!AP36+DV!AP38</f>
        <v>0</v>
      </c>
      <c r="AR55">
        <f>DV!AQ36+DV!AQ38</f>
        <v>0</v>
      </c>
      <c r="AS55">
        <f>DV!AR36+DV!AR38</f>
        <v>0</v>
      </c>
      <c r="AT55">
        <f>DV!AS36+DV!AS38</f>
        <v>0</v>
      </c>
      <c r="AU55">
        <f>DV!AT36+DV!AT38</f>
        <v>0</v>
      </c>
      <c r="AV55">
        <f>DV!AU36+DV!AU38</f>
        <v>0</v>
      </c>
      <c r="AW55">
        <f>DV!AV36+DV!AV38</f>
        <v>0</v>
      </c>
      <c r="AX55">
        <f>DV!AW36+DV!AW38</f>
        <v>0</v>
      </c>
      <c r="AY55">
        <f>DV!AX36+DV!AX38</f>
        <v>0</v>
      </c>
      <c r="AZ55">
        <f>DV!AY36+DV!AY38</f>
        <v>0</v>
      </c>
      <c r="BA55">
        <f>DV!AZ36+DV!AZ38</f>
        <v>0</v>
      </c>
      <c r="BB55">
        <f>DV!BA36+DV!BA38</f>
        <v>0</v>
      </c>
      <c r="BC55">
        <f>DV!BB36+DV!BB38</f>
        <v>0</v>
      </c>
      <c r="BD55">
        <f>DV!BC36+DV!BC38</f>
        <v>0</v>
      </c>
      <c r="BE55">
        <f>DV!BD36+DV!BD38</f>
        <v>0</v>
      </c>
      <c r="BF55">
        <f>DV!BE36+DV!BE38</f>
        <v>0</v>
      </c>
      <c r="BG55">
        <f>DV!BF36+DV!BF38</f>
        <v>0</v>
      </c>
      <c r="BH55">
        <f>DV!BG36+DV!BG38</f>
        <v>0</v>
      </c>
      <c r="BI55">
        <f>DV!BH36+DV!BH38</f>
        <v>0</v>
      </c>
      <c r="BJ55">
        <f>DV!BI36+DV!BI38</f>
        <v>0</v>
      </c>
      <c r="BK55">
        <f>DV!BJ36+DV!BJ38</f>
        <v>0</v>
      </c>
      <c r="BL55">
        <f>DV!BK36+DV!BK38</f>
        <v>0</v>
      </c>
    </row>
    <row r="56" spans="1:64">
      <c r="A56">
        <v>20</v>
      </c>
      <c r="B56" s="5" t="str">
        <f>TEXT(VLOOKUP(A56,СВ[],2),"чч:мм")&amp;"-"&amp;TEXT(VLOOKUP(A56,СВ[],3),"чч:мм")</f>
        <v>12:30-13:15</v>
      </c>
      <c r="C56" s="6">
        <v>21</v>
      </c>
      <c r="D56" s="5" t="str">
        <f>TEXT(VLOOKUP(C56,СВ[],2),"чч:мм")&amp;"-"&amp;TEXT(VLOOKUP(C56,СВ[],3),"чч:мм")</f>
        <v>12:45-13:30</v>
      </c>
      <c r="E56">
        <f>DV!D37+DV!D38</f>
        <v>0</v>
      </c>
      <c r="F56">
        <f>DV!E37+DV!E38</f>
        <v>0</v>
      </c>
      <c r="G56">
        <f>DV!F37+DV!F38</f>
        <v>0</v>
      </c>
      <c r="H56">
        <f>DV!G37+DV!G38</f>
        <v>0</v>
      </c>
      <c r="I56">
        <f>DV!H37+DV!H38</f>
        <v>0</v>
      </c>
      <c r="J56">
        <f>DV!I37+DV!I38</f>
        <v>0</v>
      </c>
      <c r="K56">
        <f>DV!J37+DV!J38</f>
        <v>0</v>
      </c>
      <c r="L56">
        <f>DV!K37+DV!K38</f>
        <v>0</v>
      </c>
      <c r="M56">
        <f>DV!L37+DV!L38</f>
        <v>0</v>
      </c>
      <c r="N56">
        <f>DV!M37+DV!M38</f>
        <v>0</v>
      </c>
      <c r="O56">
        <f>DV!N37+DV!N38</f>
        <v>0</v>
      </c>
      <c r="P56">
        <f>DV!O37+DV!O38</f>
        <v>0</v>
      </c>
      <c r="Q56">
        <f>DV!P37+DV!P38</f>
        <v>0</v>
      </c>
      <c r="R56">
        <f>DV!Q37+DV!Q38</f>
        <v>0</v>
      </c>
      <c r="S56">
        <f>DV!R37+DV!R38</f>
        <v>0</v>
      </c>
      <c r="T56">
        <f>DV!S37+DV!S38</f>
        <v>0</v>
      </c>
      <c r="U56">
        <f>DV!T37+DV!T38</f>
        <v>0</v>
      </c>
      <c r="V56">
        <f>DV!U37+DV!U38</f>
        <v>0</v>
      </c>
      <c r="W56">
        <f>DV!V37+DV!V38</f>
        <v>0</v>
      </c>
      <c r="X56">
        <f>DV!W37+DV!W38</f>
        <v>0</v>
      </c>
      <c r="Y56">
        <f>DV!X37+DV!X38</f>
        <v>0</v>
      </c>
      <c r="Z56">
        <f>DV!Y37+DV!Y38</f>
        <v>0</v>
      </c>
      <c r="AA56">
        <f>DV!Z37+DV!Z38</f>
        <v>0</v>
      </c>
      <c r="AB56">
        <f>DV!AA37+DV!AA38</f>
        <v>0</v>
      </c>
      <c r="AC56">
        <f>DV!AB37+DV!AB38</f>
        <v>0</v>
      </c>
      <c r="AD56">
        <f>DV!AC37+DV!AC38</f>
        <v>0</v>
      </c>
      <c r="AE56">
        <f>DV!AD37+DV!AD38</f>
        <v>0</v>
      </c>
      <c r="AF56">
        <f>DV!AE37+DV!AE38</f>
        <v>0</v>
      </c>
      <c r="AG56">
        <f>DV!AF37+DV!AF38</f>
        <v>0</v>
      </c>
      <c r="AH56">
        <f>DV!AG37+DV!AG38</f>
        <v>0</v>
      </c>
      <c r="AI56">
        <f>DV!AH37+DV!AH38</f>
        <v>0</v>
      </c>
      <c r="AJ56">
        <f>DV!AI37+DV!AI38</f>
        <v>0</v>
      </c>
      <c r="AK56">
        <f>DV!AJ37+DV!AJ38</f>
        <v>0</v>
      </c>
      <c r="AL56">
        <f>DV!AK37+DV!AK38</f>
        <v>0</v>
      </c>
      <c r="AM56">
        <f>DV!AL37+DV!AL38</f>
        <v>0</v>
      </c>
      <c r="AN56">
        <f>DV!AM37+DV!AM38</f>
        <v>0</v>
      </c>
      <c r="AO56">
        <f>DV!AN37+DV!AN38</f>
        <v>0</v>
      </c>
      <c r="AP56">
        <f>DV!AO37+DV!AO38</f>
        <v>0</v>
      </c>
      <c r="AQ56">
        <f>DV!AP37+DV!AP38</f>
        <v>0</v>
      </c>
      <c r="AR56">
        <f>DV!AQ37+DV!AQ38</f>
        <v>0</v>
      </c>
      <c r="AS56">
        <f>DV!AR37+DV!AR38</f>
        <v>0</v>
      </c>
      <c r="AT56">
        <f>DV!AS37+DV!AS38</f>
        <v>0</v>
      </c>
      <c r="AU56">
        <f>DV!AT37+DV!AT38</f>
        <v>0</v>
      </c>
      <c r="AV56">
        <f>DV!AU37+DV!AU38</f>
        <v>0</v>
      </c>
      <c r="AW56">
        <f>DV!AV37+DV!AV38</f>
        <v>0</v>
      </c>
      <c r="AX56">
        <f>DV!AW37+DV!AW38</f>
        <v>0</v>
      </c>
      <c r="AY56">
        <f>DV!AX37+DV!AX38</f>
        <v>0</v>
      </c>
      <c r="AZ56">
        <f>DV!AY37+DV!AY38</f>
        <v>0</v>
      </c>
      <c r="BA56">
        <f>DV!AZ37+DV!AZ38</f>
        <v>0</v>
      </c>
      <c r="BB56">
        <f>DV!BA37+DV!BA38</f>
        <v>0</v>
      </c>
      <c r="BC56">
        <f>DV!BB37+DV!BB38</f>
        <v>0</v>
      </c>
      <c r="BD56">
        <f>DV!BC37+DV!BC38</f>
        <v>0</v>
      </c>
      <c r="BE56">
        <f>DV!BD37+DV!BD38</f>
        <v>0</v>
      </c>
      <c r="BF56">
        <f>DV!BE37+DV!BE38</f>
        <v>0</v>
      </c>
      <c r="BG56">
        <f>DV!BF37+DV!BF38</f>
        <v>0</v>
      </c>
      <c r="BH56">
        <f>DV!BG37+DV!BG38</f>
        <v>0</v>
      </c>
      <c r="BI56">
        <f>DV!BH37+DV!BH38</f>
        <v>0</v>
      </c>
      <c r="BJ56">
        <f>DV!BI37+DV!BI38</f>
        <v>0</v>
      </c>
      <c r="BK56">
        <f>DV!BJ37+DV!BJ38</f>
        <v>0</v>
      </c>
      <c r="BL56">
        <f>DV!BK37+DV!BK38</f>
        <v>0</v>
      </c>
    </row>
    <row r="57" spans="1:64">
      <c r="A57">
        <v>20</v>
      </c>
      <c r="B57" s="5" t="str">
        <f>TEXT(VLOOKUP(A57,СВ[],2),"чч:мм")&amp;"-"&amp;TEXT(VLOOKUP(A57,СВ[],3),"чч:мм")</f>
        <v>12:30-13:15</v>
      </c>
      <c r="C57" s="6">
        <v>22</v>
      </c>
      <c r="D57" s="5" t="str">
        <f>TEXT(VLOOKUP(C57,СВ[],2),"чч:мм")&amp;"-"&amp;TEXT(VLOOKUP(C57,СВ[],3),"чч:мм")</f>
        <v>13:00-14:00</v>
      </c>
      <c r="E57">
        <f>DV!D37+DV!D39</f>
        <v>0</v>
      </c>
      <c r="F57">
        <f>DV!E37+DV!E39</f>
        <v>0</v>
      </c>
      <c r="G57">
        <f>DV!F37+DV!F39</f>
        <v>0</v>
      </c>
      <c r="H57">
        <f>DV!G37+DV!G39</f>
        <v>0</v>
      </c>
      <c r="I57">
        <f>DV!H37+DV!H39</f>
        <v>0</v>
      </c>
      <c r="J57">
        <f>DV!I37+DV!I39</f>
        <v>0</v>
      </c>
      <c r="K57">
        <f>DV!J37+DV!J39</f>
        <v>0</v>
      </c>
      <c r="L57">
        <f>DV!K37+DV!K39</f>
        <v>0</v>
      </c>
      <c r="M57">
        <f>DV!L37+DV!L39</f>
        <v>0</v>
      </c>
      <c r="N57">
        <f>DV!M37+DV!M39</f>
        <v>0</v>
      </c>
      <c r="O57">
        <f>DV!N37+DV!N39</f>
        <v>0</v>
      </c>
      <c r="P57">
        <f>DV!O37+DV!O39</f>
        <v>0</v>
      </c>
      <c r="Q57">
        <f>DV!P37+DV!P39</f>
        <v>0</v>
      </c>
      <c r="R57">
        <f>DV!Q37+DV!Q39</f>
        <v>0</v>
      </c>
      <c r="S57">
        <f>DV!R37+DV!R39</f>
        <v>0</v>
      </c>
      <c r="T57">
        <f>DV!S37+DV!S39</f>
        <v>0</v>
      </c>
      <c r="U57">
        <f>DV!T37+DV!T39</f>
        <v>0</v>
      </c>
      <c r="V57">
        <f>DV!U37+DV!U39</f>
        <v>0</v>
      </c>
      <c r="W57">
        <f>DV!V37+DV!V39</f>
        <v>0</v>
      </c>
      <c r="X57">
        <f>DV!W37+DV!W39</f>
        <v>0</v>
      </c>
      <c r="Y57">
        <f>DV!X37+DV!X39</f>
        <v>0</v>
      </c>
      <c r="Z57">
        <f>DV!Y37+DV!Y39</f>
        <v>0</v>
      </c>
      <c r="AA57">
        <f>DV!Z37+DV!Z39</f>
        <v>0</v>
      </c>
      <c r="AB57">
        <f>DV!AA37+DV!AA39</f>
        <v>0</v>
      </c>
      <c r="AC57">
        <f>DV!AB37+DV!AB39</f>
        <v>0</v>
      </c>
      <c r="AD57">
        <f>DV!AC37+DV!AC39</f>
        <v>0</v>
      </c>
      <c r="AE57">
        <f>DV!AD37+DV!AD39</f>
        <v>0</v>
      </c>
      <c r="AF57">
        <f>DV!AE37+DV!AE39</f>
        <v>0</v>
      </c>
      <c r="AG57">
        <f>DV!AF37+DV!AF39</f>
        <v>0</v>
      </c>
      <c r="AH57">
        <f>DV!AG37+DV!AG39</f>
        <v>0</v>
      </c>
      <c r="AI57">
        <f>DV!AH37+DV!AH39</f>
        <v>0</v>
      </c>
      <c r="AJ57">
        <f>DV!AI37+DV!AI39</f>
        <v>0</v>
      </c>
      <c r="AK57">
        <f>DV!AJ37+DV!AJ39</f>
        <v>0</v>
      </c>
      <c r="AL57">
        <f>DV!AK37+DV!AK39</f>
        <v>0</v>
      </c>
      <c r="AM57">
        <f>DV!AL37+DV!AL39</f>
        <v>0</v>
      </c>
      <c r="AN57">
        <f>DV!AM37+DV!AM39</f>
        <v>0</v>
      </c>
      <c r="AO57">
        <f>DV!AN37+DV!AN39</f>
        <v>0</v>
      </c>
      <c r="AP57">
        <f>DV!AO37+DV!AO39</f>
        <v>0</v>
      </c>
      <c r="AQ57">
        <f>DV!AP37+DV!AP39</f>
        <v>0</v>
      </c>
      <c r="AR57">
        <f>DV!AQ37+DV!AQ39</f>
        <v>0</v>
      </c>
      <c r="AS57">
        <f>DV!AR37+DV!AR39</f>
        <v>0</v>
      </c>
      <c r="AT57">
        <f>DV!AS37+DV!AS39</f>
        <v>0</v>
      </c>
      <c r="AU57">
        <f>DV!AT37+DV!AT39</f>
        <v>0</v>
      </c>
      <c r="AV57">
        <f>DV!AU37+DV!AU39</f>
        <v>0</v>
      </c>
      <c r="AW57">
        <f>DV!AV37+DV!AV39</f>
        <v>0</v>
      </c>
      <c r="AX57">
        <f>DV!AW37+DV!AW39</f>
        <v>0</v>
      </c>
      <c r="AY57">
        <f>DV!AX37+DV!AX39</f>
        <v>0</v>
      </c>
      <c r="AZ57">
        <f>DV!AY37+DV!AY39</f>
        <v>0</v>
      </c>
      <c r="BA57">
        <f>DV!AZ37+DV!AZ39</f>
        <v>0</v>
      </c>
      <c r="BB57">
        <f>DV!BA37+DV!BA39</f>
        <v>0</v>
      </c>
      <c r="BC57">
        <f>DV!BB37+DV!BB39</f>
        <v>0</v>
      </c>
      <c r="BD57">
        <f>DV!BC37+DV!BC39</f>
        <v>0</v>
      </c>
      <c r="BE57">
        <f>DV!BD37+DV!BD39</f>
        <v>0</v>
      </c>
      <c r="BF57">
        <f>DV!BE37+DV!BE39</f>
        <v>0</v>
      </c>
      <c r="BG57">
        <f>DV!BF37+DV!BF39</f>
        <v>0</v>
      </c>
      <c r="BH57">
        <f>DV!BG37+DV!BG39</f>
        <v>0</v>
      </c>
      <c r="BI57">
        <f>DV!BH37+DV!BH39</f>
        <v>0</v>
      </c>
      <c r="BJ57">
        <f>DV!BI37+DV!BI39</f>
        <v>0</v>
      </c>
      <c r="BK57">
        <f>DV!BJ37+DV!BJ39</f>
        <v>0</v>
      </c>
      <c r="BL57">
        <f>DV!BK37+DV!BK39</f>
        <v>0</v>
      </c>
    </row>
    <row r="58" spans="1:64">
      <c r="A58">
        <v>21</v>
      </c>
      <c r="B58" s="5" t="str">
        <f>TEXT(VLOOKUP(A58,СВ[],2),"чч:мм")&amp;"-"&amp;TEXT(VLOOKUP(A58,СВ[],3),"чч:мм")</f>
        <v>12:45-13:30</v>
      </c>
      <c r="C58" s="6">
        <v>22</v>
      </c>
      <c r="D58" s="5" t="str">
        <f>TEXT(VLOOKUP(C58,СВ[],2),"чч:мм")&amp;"-"&amp;TEXT(VLOOKUP(C58,СВ[],3),"чч:мм")</f>
        <v>13:00-14:00</v>
      </c>
      <c r="E58">
        <f>DV!D38+DV!D39</f>
        <v>0</v>
      </c>
      <c r="F58">
        <f>DV!E38+DV!E39</f>
        <v>0</v>
      </c>
      <c r="G58">
        <f>DV!F38+DV!F39</f>
        <v>0</v>
      </c>
      <c r="H58">
        <f>DV!G38+DV!G39</f>
        <v>0</v>
      </c>
      <c r="I58">
        <f>DV!H38+DV!H39</f>
        <v>0</v>
      </c>
      <c r="J58">
        <f>DV!I38+DV!I39</f>
        <v>0</v>
      </c>
      <c r="K58">
        <f>DV!J38+DV!J39</f>
        <v>0</v>
      </c>
      <c r="L58">
        <f>DV!K38+DV!K39</f>
        <v>0</v>
      </c>
      <c r="M58">
        <f>DV!L38+DV!L39</f>
        <v>0</v>
      </c>
      <c r="N58">
        <f>DV!M38+DV!M39</f>
        <v>0</v>
      </c>
      <c r="O58">
        <f>DV!N38+DV!N39</f>
        <v>0</v>
      </c>
      <c r="P58">
        <f>DV!O38+DV!O39</f>
        <v>0</v>
      </c>
      <c r="Q58">
        <f>DV!P38+DV!P39</f>
        <v>0</v>
      </c>
      <c r="R58">
        <f>DV!Q38+DV!Q39</f>
        <v>0</v>
      </c>
      <c r="S58">
        <f>DV!R38+DV!R39</f>
        <v>0</v>
      </c>
      <c r="T58">
        <f>DV!S38+DV!S39</f>
        <v>0</v>
      </c>
      <c r="U58">
        <f>DV!T38+DV!T39</f>
        <v>0</v>
      </c>
      <c r="V58">
        <f>DV!U38+DV!U39</f>
        <v>0</v>
      </c>
      <c r="W58">
        <f>DV!V38+DV!V39</f>
        <v>0</v>
      </c>
      <c r="X58">
        <f>DV!W38+DV!W39</f>
        <v>0</v>
      </c>
      <c r="Y58">
        <f>DV!X38+DV!X39</f>
        <v>0</v>
      </c>
      <c r="Z58">
        <f>DV!Y38+DV!Y39</f>
        <v>0</v>
      </c>
      <c r="AA58">
        <f>DV!Z38+DV!Z39</f>
        <v>0</v>
      </c>
      <c r="AB58">
        <f>DV!AA38+DV!AA39</f>
        <v>0</v>
      </c>
      <c r="AC58">
        <f>DV!AB38+DV!AB39</f>
        <v>0</v>
      </c>
      <c r="AD58">
        <f>DV!AC38+DV!AC39</f>
        <v>0</v>
      </c>
      <c r="AE58">
        <f>DV!AD38+DV!AD39</f>
        <v>0</v>
      </c>
      <c r="AF58">
        <f>DV!AE38+DV!AE39</f>
        <v>0</v>
      </c>
      <c r="AG58">
        <f>DV!AF38+DV!AF39</f>
        <v>0</v>
      </c>
      <c r="AH58">
        <f>DV!AG38+DV!AG39</f>
        <v>0</v>
      </c>
      <c r="AI58">
        <f>DV!AH38+DV!AH39</f>
        <v>0</v>
      </c>
      <c r="AJ58">
        <f>DV!AI38+DV!AI39</f>
        <v>0</v>
      </c>
      <c r="AK58">
        <f>DV!AJ38+DV!AJ39</f>
        <v>0</v>
      </c>
      <c r="AL58">
        <f>DV!AK38+DV!AK39</f>
        <v>0</v>
      </c>
      <c r="AM58">
        <f>DV!AL38+DV!AL39</f>
        <v>0</v>
      </c>
      <c r="AN58">
        <f>DV!AM38+DV!AM39</f>
        <v>0</v>
      </c>
      <c r="AO58">
        <f>DV!AN38+DV!AN39</f>
        <v>0</v>
      </c>
      <c r="AP58">
        <f>DV!AO38+DV!AO39</f>
        <v>0</v>
      </c>
      <c r="AQ58">
        <f>DV!AP38+DV!AP39</f>
        <v>0</v>
      </c>
      <c r="AR58">
        <f>DV!AQ38+DV!AQ39</f>
        <v>0</v>
      </c>
      <c r="AS58">
        <f>DV!AR38+DV!AR39</f>
        <v>0</v>
      </c>
      <c r="AT58">
        <f>DV!AS38+DV!AS39</f>
        <v>0</v>
      </c>
      <c r="AU58">
        <f>DV!AT38+DV!AT39</f>
        <v>0</v>
      </c>
      <c r="AV58">
        <f>DV!AU38+DV!AU39</f>
        <v>0</v>
      </c>
      <c r="AW58">
        <f>DV!AV38+DV!AV39</f>
        <v>0</v>
      </c>
      <c r="AX58">
        <f>DV!AW38+DV!AW39</f>
        <v>0</v>
      </c>
      <c r="AY58">
        <f>DV!AX38+DV!AX39</f>
        <v>0</v>
      </c>
      <c r="AZ58">
        <f>DV!AY38+DV!AY39</f>
        <v>0</v>
      </c>
      <c r="BA58">
        <f>DV!AZ38+DV!AZ39</f>
        <v>0</v>
      </c>
      <c r="BB58">
        <f>DV!BA38+DV!BA39</f>
        <v>0</v>
      </c>
      <c r="BC58">
        <f>DV!BB38+DV!BB39</f>
        <v>0</v>
      </c>
      <c r="BD58">
        <f>DV!BC38+DV!BC39</f>
        <v>0</v>
      </c>
      <c r="BE58">
        <f>DV!BD38+DV!BD39</f>
        <v>0</v>
      </c>
      <c r="BF58">
        <f>DV!BE38+DV!BE39</f>
        <v>0</v>
      </c>
      <c r="BG58">
        <f>DV!BF38+DV!BF39</f>
        <v>0</v>
      </c>
      <c r="BH58">
        <f>DV!BG38+DV!BG39</f>
        <v>0</v>
      </c>
      <c r="BI58">
        <f>DV!BH38+DV!BH39</f>
        <v>0</v>
      </c>
      <c r="BJ58">
        <f>DV!BI38+DV!BI39</f>
        <v>0</v>
      </c>
      <c r="BK58">
        <f>DV!BJ38+DV!BJ39</f>
        <v>0</v>
      </c>
      <c r="BL58">
        <f>DV!BK38+DV!BK39</f>
        <v>0</v>
      </c>
    </row>
    <row r="59" spans="1:64">
      <c r="A59">
        <v>21</v>
      </c>
      <c r="B59" s="5" t="str">
        <f>TEXT(VLOOKUP(A59,СВ[],2),"чч:мм")&amp;"-"&amp;TEXT(VLOOKUP(A59,СВ[],3),"чч:мм")</f>
        <v>12:45-13:30</v>
      </c>
      <c r="C59" s="6">
        <v>23</v>
      </c>
      <c r="D59" s="5" t="str">
        <f>TEXT(VLOOKUP(C59,СВ[],2),"чч:мм")&amp;"-"&amp;TEXT(VLOOKUP(C59,СВ[],3),"чч:мм")</f>
        <v>13:15-14:00</v>
      </c>
      <c r="E59">
        <f>DV!D38+DV!D40</f>
        <v>0</v>
      </c>
      <c r="F59">
        <f>DV!E38+DV!E40</f>
        <v>0</v>
      </c>
      <c r="G59">
        <f>DV!F38+DV!F40</f>
        <v>0</v>
      </c>
      <c r="H59">
        <f>DV!G38+DV!G40</f>
        <v>0</v>
      </c>
      <c r="I59">
        <f>DV!H38+DV!H40</f>
        <v>0</v>
      </c>
      <c r="J59">
        <f>DV!I38+DV!I40</f>
        <v>0</v>
      </c>
      <c r="K59">
        <f>DV!J38+DV!J40</f>
        <v>0</v>
      </c>
      <c r="L59">
        <f>DV!K38+DV!K40</f>
        <v>0</v>
      </c>
      <c r="M59">
        <f>DV!L38+DV!L40</f>
        <v>0</v>
      </c>
      <c r="N59">
        <f>DV!M38+DV!M40</f>
        <v>0</v>
      </c>
      <c r="O59">
        <f>DV!N38+DV!N40</f>
        <v>0</v>
      </c>
      <c r="P59">
        <f>DV!O38+DV!O40</f>
        <v>0</v>
      </c>
      <c r="Q59">
        <f>DV!P38+DV!P40</f>
        <v>0</v>
      </c>
      <c r="R59">
        <f>DV!Q38+DV!Q40</f>
        <v>0</v>
      </c>
      <c r="S59">
        <f>DV!R38+DV!R40</f>
        <v>0</v>
      </c>
      <c r="T59">
        <f>DV!S38+DV!S40</f>
        <v>0</v>
      </c>
      <c r="U59">
        <f>DV!T38+DV!T40</f>
        <v>0</v>
      </c>
      <c r="V59">
        <f>DV!U38+DV!U40</f>
        <v>0</v>
      </c>
      <c r="W59">
        <f>DV!V38+DV!V40</f>
        <v>0</v>
      </c>
      <c r="X59">
        <f>DV!W38+DV!W40</f>
        <v>0</v>
      </c>
      <c r="Y59">
        <f>DV!X38+DV!X40</f>
        <v>0</v>
      </c>
      <c r="Z59">
        <f>DV!Y38+DV!Y40</f>
        <v>0</v>
      </c>
      <c r="AA59">
        <f>DV!Z38+DV!Z40</f>
        <v>0</v>
      </c>
      <c r="AB59">
        <f>DV!AA38+DV!AA40</f>
        <v>0</v>
      </c>
      <c r="AC59">
        <f>DV!AB38+DV!AB40</f>
        <v>0</v>
      </c>
      <c r="AD59">
        <f>DV!AC38+DV!AC40</f>
        <v>0</v>
      </c>
      <c r="AE59">
        <f>DV!AD38+DV!AD40</f>
        <v>0</v>
      </c>
      <c r="AF59">
        <f>DV!AE38+DV!AE40</f>
        <v>0</v>
      </c>
      <c r="AG59">
        <f>DV!AF38+DV!AF40</f>
        <v>0</v>
      </c>
      <c r="AH59">
        <f>DV!AG38+DV!AG40</f>
        <v>0</v>
      </c>
      <c r="AI59">
        <f>DV!AH38+DV!AH40</f>
        <v>0</v>
      </c>
      <c r="AJ59">
        <f>DV!AI38+DV!AI40</f>
        <v>0</v>
      </c>
      <c r="AK59">
        <f>DV!AJ38+DV!AJ40</f>
        <v>0</v>
      </c>
      <c r="AL59">
        <f>DV!AK38+DV!AK40</f>
        <v>0</v>
      </c>
      <c r="AM59">
        <f>DV!AL38+DV!AL40</f>
        <v>0</v>
      </c>
      <c r="AN59">
        <f>DV!AM38+DV!AM40</f>
        <v>0</v>
      </c>
      <c r="AO59">
        <f>DV!AN38+DV!AN40</f>
        <v>0</v>
      </c>
      <c r="AP59">
        <f>DV!AO38+DV!AO40</f>
        <v>0</v>
      </c>
      <c r="AQ59">
        <f>DV!AP38+DV!AP40</f>
        <v>0</v>
      </c>
      <c r="AR59">
        <f>DV!AQ38+DV!AQ40</f>
        <v>0</v>
      </c>
      <c r="AS59">
        <f>DV!AR38+DV!AR40</f>
        <v>0</v>
      </c>
      <c r="AT59">
        <f>DV!AS38+DV!AS40</f>
        <v>0</v>
      </c>
      <c r="AU59">
        <f>DV!AT38+DV!AT40</f>
        <v>0</v>
      </c>
      <c r="AV59">
        <f>DV!AU38+DV!AU40</f>
        <v>0</v>
      </c>
      <c r="AW59">
        <f>DV!AV38+DV!AV40</f>
        <v>0</v>
      </c>
      <c r="AX59">
        <f>DV!AW38+DV!AW40</f>
        <v>0</v>
      </c>
      <c r="AY59">
        <f>DV!AX38+DV!AX40</f>
        <v>0</v>
      </c>
      <c r="AZ59">
        <f>DV!AY38+DV!AY40</f>
        <v>0</v>
      </c>
      <c r="BA59">
        <f>DV!AZ38+DV!AZ40</f>
        <v>0</v>
      </c>
      <c r="BB59">
        <f>DV!BA38+DV!BA40</f>
        <v>0</v>
      </c>
      <c r="BC59">
        <f>DV!BB38+DV!BB40</f>
        <v>0</v>
      </c>
      <c r="BD59">
        <f>DV!BC38+DV!BC40</f>
        <v>0</v>
      </c>
      <c r="BE59">
        <f>DV!BD38+DV!BD40</f>
        <v>0</v>
      </c>
      <c r="BF59">
        <f>DV!BE38+DV!BE40</f>
        <v>0</v>
      </c>
      <c r="BG59">
        <f>DV!BF38+DV!BF40</f>
        <v>0</v>
      </c>
      <c r="BH59">
        <f>DV!BG38+DV!BG40</f>
        <v>0</v>
      </c>
      <c r="BI59">
        <f>DV!BH38+DV!BH40</f>
        <v>0</v>
      </c>
      <c r="BJ59">
        <f>DV!BI38+DV!BI40</f>
        <v>0</v>
      </c>
      <c r="BK59">
        <f>DV!BJ38+DV!BJ40</f>
        <v>0</v>
      </c>
      <c r="BL59">
        <f>DV!BK38+DV!BK40</f>
        <v>0</v>
      </c>
    </row>
    <row r="60" spans="1:64">
      <c r="A60">
        <v>22</v>
      </c>
      <c r="B60" s="5" t="str">
        <f>TEXT(VLOOKUP(A60,СВ[],2),"чч:мм")&amp;"-"&amp;TEXT(VLOOKUP(A60,СВ[],3),"чч:мм")</f>
        <v>13:00-14:00</v>
      </c>
      <c r="C60" s="6">
        <v>23</v>
      </c>
      <c r="D60" s="5" t="str">
        <f>TEXT(VLOOKUP(C60,СВ[],2),"чч:мм")&amp;"-"&amp;TEXT(VLOOKUP(C60,СВ[],3),"чч:мм")</f>
        <v>13:15-14:00</v>
      </c>
      <c r="E60">
        <f>DV!D39+DV!D40</f>
        <v>0</v>
      </c>
      <c r="F60">
        <f>DV!E39+DV!E40</f>
        <v>0</v>
      </c>
      <c r="G60">
        <f>DV!F39+DV!F40</f>
        <v>0</v>
      </c>
      <c r="H60">
        <f>DV!G39+DV!G40</f>
        <v>0</v>
      </c>
      <c r="I60">
        <f>DV!H39+DV!H40</f>
        <v>0</v>
      </c>
      <c r="J60">
        <f>DV!I39+DV!I40</f>
        <v>0</v>
      </c>
      <c r="K60">
        <f>DV!J39+DV!J40</f>
        <v>0</v>
      </c>
      <c r="L60">
        <f>DV!K39+DV!K40</f>
        <v>0</v>
      </c>
      <c r="M60">
        <f>DV!L39+DV!L40</f>
        <v>0</v>
      </c>
      <c r="N60">
        <f>DV!M39+DV!M40</f>
        <v>0</v>
      </c>
      <c r="O60">
        <f>DV!N39+DV!N40</f>
        <v>0</v>
      </c>
      <c r="P60">
        <f>DV!O39+DV!O40</f>
        <v>0</v>
      </c>
      <c r="Q60">
        <f>DV!P39+DV!P40</f>
        <v>0</v>
      </c>
      <c r="R60">
        <f>DV!Q39+DV!Q40</f>
        <v>0</v>
      </c>
      <c r="S60">
        <f>DV!R39+DV!R40</f>
        <v>0</v>
      </c>
      <c r="T60">
        <f>DV!S39+DV!S40</f>
        <v>0</v>
      </c>
      <c r="U60">
        <f>DV!T39+DV!T40</f>
        <v>0</v>
      </c>
      <c r="V60">
        <f>DV!U39+DV!U40</f>
        <v>0</v>
      </c>
      <c r="W60">
        <f>DV!V39+DV!V40</f>
        <v>0</v>
      </c>
      <c r="X60">
        <f>DV!W39+DV!W40</f>
        <v>0</v>
      </c>
      <c r="Y60">
        <f>DV!X39+DV!X40</f>
        <v>0</v>
      </c>
      <c r="Z60">
        <f>DV!Y39+DV!Y40</f>
        <v>0</v>
      </c>
      <c r="AA60">
        <f>DV!Z39+DV!Z40</f>
        <v>0</v>
      </c>
      <c r="AB60">
        <f>DV!AA39+DV!AA40</f>
        <v>0</v>
      </c>
      <c r="AC60">
        <f>DV!AB39+DV!AB40</f>
        <v>0</v>
      </c>
      <c r="AD60">
        <f>DV!AC39+DV!AC40</f>
        <v>0</v>
      </c>
      <c r="AE60">
        <f>DV!AD39+DV!AD40</f>
        <v>0</v>
      </c>
      <c r="AF60">
        <f>DV!AE39+DV!AE40</f>
        <v>0</v>
      </c>
      <c r="AG60">
        <f>DV!AF39+DV!AF40</f>
        <v>0</v>
      </c>
      <c r="AH60">
        <f>DV!AG39+DV!AG40</f>
        <v>0</v>
      </c>
      <c r="AI60">
        <f>DV!AH39+DV!AH40</f>
        <v>0</v>
      </c>
      <c r="AJ60">
        <f>DV!AI39+DV!AI40</f>
        <v>0</v>
      </c>
      <c r="AK60">
        <f>DV!AJ39+DV!AJ40</f>
        <v>0</v>
      </c>
      <c r="AL60">
        <f>DV!AK39+DV!AK40</f>
        <v>0</v>
      </c>
      <c r="AM60">
        <f>DV!AL39+DV!AL40</f>
        <v>0</v>
      </c>
      <c r="AN60">
        <f>DV!AM39+DV!AM40</f>
        <v>0</v>
      </c>
      <c r="AO60">
        <f>DV!AN39+DV!AN40</f>
        <v>0</v>
      </c>
      <c r="AP60">
        <f>DV!AO39+DV!AO40</f>
        <v>0</v>
      </c>
      <c r="AQ60">
        <f>DV!AP39+DV!AP40</f>
        <v>0</v>
      </c>
      <c r="AR60">
        <f>DV!AQ39+DV!AQ40</f>
        <v>0</v>
      </c>
      <c r="AS60">
        <f>DV!AR39+DV!AR40</f>
        <v>0</v>
      </c>
      <c r="AT60">
        <f>DV!AS39+DV!AS40</f>
        <v>0</v>
      </c>
      <c r="AU60">
        <f>DV!AT39+DV!AT40</f>
        <v>0</v>
      </c>
      <c r="AV60">
        <f>DV!AU39+DV!AU40</f>
        <v>0</v>
      </c>
      <c r="AW60">
        <f>DV!AV39+DV!AV40</f>
        <v>0</v>
      </c>
      <c r="AX60">
        <f>DV!AW39+DV!AW40</f>
        <v>0</v>
      </c>
      <c r="AY60">
        <f>DV!AX39+DV!AX40</f>
        <v>0</v>
      </c>
      <c r="AZ60">
        <f>DV!AY39+DV!AY40</f>
        <v>0</v>
      </c>
      <c r="BA60">
        <f>DV!AZ39+DV!AZ40</f>
        <v>0</v>
      </c>
      <c r="BB60">
        <f>DV!BA39+DV!BA40</f>
        <v>0</v>
      </c>
      <c r="BC60">
        <f>DV!BB39+DV!BB40</f>
        <v>0</v>
      </c>
      <c r="BD60">
        <f>DV!BC39+DV!BC40</f>
        <v>0</v>
      </c>
      <c r="BE60">
        <f>DV!BD39+DV!BD40</f>
        <v>0</v>
      </c>
      <c r="BF60">
        <f>DV!BE39+DV!BE40</f>
        <v>0</v>
      </c>
      <c r="BG60">
        <f>DV!BF39+DV!BF40</f>
        <v>0</v>
      </c>
      <c r="BH60">
        <f>DV!BG39+DV!BG40</f>
        <v>0</v>
      </c>
      <c r="BI60">
        <f>DV!BH39+DV!BH40</f>
        <v>0</v>
      </c>
      <c r="BJ60">
        <f>DV!BI39+DV!BI40</f>
        <v>0</v>
      </c>
      <c r="BK60">
        <f>DV!BJ39+DV!BJ40</f>
        <v>0</v>
      </c>
      <c r="BL60">
        <f>DV!BK39+DV!BK40</f>
        <v>0</v>
      </c>
    </row>
    <row r="61" spans="1:64">
      <c r="A61">
        <v>22</v>
      </c>
      <c r="B61" s="5" t="str">
        <f>TEXT(VLOOKUP(A61,СВ[],2),"чч:мм")&amp;"-"&amp;TEXT(VLOOKUP(A61,СВ[],3),"чч:мм")</f>
        <v>13:00-14:00</v>
      </c>
      <c r="C61" s="6">
        <v>24</v>
      </c>
      <c r="D61" s="5" t="str">
        <f>TEXT(VLOOKUP(C61,СВ[],2),"чч:мм")&amp;"-"&amp;TEXT(VLOOKUP(C61,СВ[],3),"чч:мм")</f>
        <v>13:30-14:15</v>
      </c>
      <c r="E61">
        <f>DV!D39+DV!D41</f>
        <v>0</v>
      </c>
      <c r="F61">
        <f>DV!E39+DV!E41</f>
        <v>0</v>
      </c>
      <c r="G61">
        <f>DV!F39+DV!F41</f>
        <v>0</v>
      </c>
      <c r="H61">
        <f>DV!G39+DV!G41</f>
        <v>0</v>
      </c>
      <c r="I61">
        <f>DV!H39+DV!H41</f>
        <v>0</v>
      </c>
      <c r="J61">
        <f>DV!I39+DV!I41</f>
        <v>0</v>
      </c>
      <c r="K61">
        <f>DV!J39+DV!J41</f>
        <v>0</v>
      </c>
      <c r="L61">
        <f>DV!K39+DV!K41</f>
        <v>0</v>
      </c>
      <c r="M61">
        <f>DV!L39+DV!L41</f>
        <v>0</v>
      </c>
      <c r="N61">
        <f>DV!M39+DV!M41</f>
        <v>0</v>
      </c>
      <c r="O61">
        <f>DV!N39+DV!N41</f>
        <v>0</v>
      </c>
      <c r="P61">
        <f>DV!O39+DV!O41</f>
        <v>0</v>
      </c>
      <c r="Q61">
        <f>DV!P39+DV!P41</f>
        <v>0</v>
      </c>
      <c r="R61">
        <f>DV!Q39+DV!Q41</f>
        <v>0</v>
      </c>
      <c r="S61">
        <f>DV!R39+DV!R41</f>
        <v>0</v>
      </c>
      <c r="T61">
        <f>DV!S39+DV!S41</f>
        <v>0</v>
      </c>
      <c r="U61">
        <f>DV!T39+DV!T41</f>
        <v>0</v>
      </c>
      <c r="V61">
        <f>DV!U39+DV!U41</f>
        <v>0</v>
      </c>
      <c r="W61">
        <f>DV!V39+DV!V41</f>
        <v>0</v>
      </c>
      <c r="X61">
        <f>DV!W39+DV!W41</f>
        <v>0</v>
      </c>
      <c r="Y61">
        <f>DV!X39+DV!X41</f>
        <v>0</v>
      </c>
      <c r="Z61">
        <f>DV!Y39+DV!Y41</f>
        <v>0</v>
      </c>
      <c r="AA61">
        <f>DV!Z39+DV!Z41</f>
        <v>0</v>
      </c>
      <c r="AB61">
        <f>DV!AA39+DV!AA41</f>
        <v>0</v>
      </c>
      <c r="AC61">
        <f>DV!AB39+DV!AB41</f>
        <v>0</v>
      </c>
      <c r="AD61">
        <f>DV!AC39+DV!AC41</f>
        <v>0</v>
      </c>
      <c r="AE61">
        <f>DV!AD39+DV!AD41</f>
        <v>0</v>
      </c>
      <c r="AF61">
        <f>DV!AE39+DV!AE41</f>
        <v>0</v>
      </c>
      <c r="AG61">
        <f>DV!AF39+DV!AF41</f>
        <v>0</v>
      </c>
      <c r="AH61">
        <f>DV!AG39+DV!AG41</f>
        <v>0</v>
      </c>
      <c r="AI61">
        <f>DV!AH39+DV!AH41</f>
        <v>0</v>
      </c>
      <c r="AJ61">
        <f>DV!AI39+DV!AI41</f>
        <v>0</v>
      </c>
      <c r="AK61">
        <f>DV!AJ39+DV!AJ41</f>
        <v>0</v>
      </c>
      <c r="AL61">
        <f>DV!AK39+DV!AK41</f>
        <v>0</v>
      </c>
      <c r="AM61">
        <f>DV!AL39+DV!AL41</f>
        <v>0</v>
      </c>
      <c r="AN61">
        <f>DV!AM39+DV!AM41</f>
        <v>0</v>
      </c>
      <c r="AO61">
        <f>DV!AN39+DV!AN41</f>
        <v>0</v>
      </c>
      <c r="AP61">
        <f>DV!AO39+DV!AO41</f>
        <v>0</v>
      </c>
      <c r="AQ61">
        <f>DV!AP39+DV!AP41</f>
        <v>0</v>
      </c>
      <c r="AR61">
        <f>DV!AQ39+DV!AQ41</f>
        <v>0</v>
      </c>
      <c r="AS61">
        <f>DV!AR39+DV!AR41</f>
        <v>0</v>
      </c>
      <c r="AT61">
        <f>DV!AS39+DV!AS41</f>
        <v>0</v>
      </c>
      <c r="AU61">
        <f>DV!AT39+DV!AT41</f>
        <v>0</v>
      </c>
      <c r="AV61">
        <f>DV!AU39+DV!AU41</f>
        <v>0</v>
      </c>
      <c r="AW61">
        <f>DV!AV39+DV!AV41</f>
        <v>0</v>
      </c>
      <c r="AX61">
        <f>DV!AW39+DV!AW41</f>
        <v>0</v>
      </c>
      <c r="AY61">
        <f>DV!AX39+DV!AX41</f>
        <v>0</v>
      </c>
      <c r="AZ61">
        <f>DV!AY39+DV!AY41</f>
        <v>0</v>
      </c>
      <c r="BA61">
        <f>DV!AZ39+DV!AZ41</f>
        <v>0</v>
      </c>
      <c r="BB61">
        <f>DV!BA39+DV!BA41</f>
        <v>0</v>
      </c>
      <c r="BC61">
        <f>DV!BB39+DV!BB41</f>
        <v>0</v>
      </c>
      <c r="BD61">
        <f>DV!BC39+DV!BC41</f>
        <v>0</v>
      </c>
      <c r="BE61">
        <f>DV!BD39+DV!BD41</f>
        <v>0</v>
      </c>
      <c r="BF61">
        <f>DV!BE39+DV!BE41</f>
        <v>0</v>
      </c>
      <c r="BG61">
        <f>DV!BF39+DV!BF41</f>
        <v>0</v>
      </c>
      <c r="BH61">
        <f>DV!BG39+DV!BG41</f>
        <v>0</v>
      </c>
      <c r="BI61">
        <f>DV!BH39+DV!BH41</f>
        <v>0</v>
      </c>
      <c r="BJ61">
        <f>DV!BI39+DV!BI41</f>
        <v>0</v>
      </c>
      <c r="BK61">
        <f>DV!BJ39+DV!BJ41</f>
        <v>0</v>
      </c>
      <c r="BL61">
        <f>DV!BK39+DV!BK41</f>
        <v>0</v>
      </c>
    </row>
    <row r="62" spans="1:64">
      <c r="A62">
        <v>22</v>
      </c>
      <c r="B62" s="5" t="str">
        <f>TEXT(VLOOKUP(A62,СВ[],2),"чч:мм")&amp;"-"&amp;TEXT(VLOOKUP(A62,СВ[],3),"чч:мм")</f>
        <v>13:00-14:00</v>
      </c>
      <c r="C62" s="6">
        <v>25</v>
      </c>
      <c r="D62" s="5" t="str">
        <f>TEXT(VLOOKUP(C62,СВ[],2),"чч:мм")&amp;"-"&amp;TEXT(VLOOKUP(C62,СВ[],3),"чч:мм")</f>
        <v>13:45-14:30</v>
      </c>
      <c r="E62">
        <f>DV!D39+DV!D42</f>
        <v>0</v>
      </c>
      <c r="F62">
        <f>DV!E39+DV!E42</f>
        <v>0</v>
      </c>
      <c r="G62">
        <f>DV!F39+DV!F42</f>
        <v>0</v>
      </c>
      <c r="H62">
        <f>DV!G39+DV!G42</f>
        <v>0</v>
      </c>
      <c r="I62">
        <f>DV!H39+DV!H42</f>
        <v>0</v>
      </c>
      <c r="J62">
        <f>DV!I39+DV!I42</f>
        <v>0</v>
      </c>
      <c r="K62">
        <f>DV!J39+DV!J42</f>
        <v>0</v>
      </c>
      <c r="L62">
        <f>DV!K39+DV!K42</f>
        <v>0</v>
      </c>
      <c r="M62">
        <f>DV!L39+DV!L42</f>
        <v>0</v>
      </c>
      <c r="N62">
        <f>DV!M39+DV!M42</f>
        <v>0</v>
      </c>
      <c r="O62">
        <f>DV!N39+DV!N42</f>
        <v>0</v>
      </c>
      <c r="P62">
        <f>DV!O39+DV!O42</f>
        <v>0</v>
      </c>
      <c r="Q62">
        <f>DV!P39+DV!P42</f>
        <v>0</v>
      </c>
      <c r="R62">
        <f>DV!Q39+DV!Q42</f>
        <v>0</v>
      </c>
      <c r="S62">
        <f>DV!R39+DV!R42</f>
        <v>0</v>
      </c>
      <c r="T62">
        <f>DV!S39+DV!S42</f>
        <v>0</v>
      </c>
      <c r="U62">
        <f>DV!T39+DV!T42</f>
        <v>0</v>
      </c>
      <c r="V62">
        <f>DV!U39+DV!U42</f>
        <v>0</v>
      </c>
      <c r="W62">
        <f>DV!V39+DV!V42</f>
        <v>0</v>
      </c>
      <c r="X62">
        <f>DV!W39+DV!W42</f>
        <v>0</v>
      </c>
      <c r="Y62">
        <f>DV!X39+DV!X42</f>
        <v>0</v>
      </c>
      <c r="Z62">
        <f>DV!Y39+DV!Y42</f>
        <v>0</v>
      </c>
      <c r="AA62">
        <f>DV!Z39+DV!Z42</f>
        <v>0</v>
      </c>
      <c r="AB62">
        <f>DV!AA39+DV!AA42</f>
        <v>0</v>
      </c>
      <c r="AC62">
        <f>DV!AB39+DV!AB42</f>
        <v>0</v>
      </c>
      <c r="AD62">
        <f>DV!AC39+DV!AC42</f>
        <v>0</v>
      </c>
      <c r="AE62">
        <f>DV!AD39+DV!AD42</f>
        <v>0</v>
      </c>
      <c r="AF62">
        <f>DV!AE39+DV!AE42</f>
        <v>0</v>
      </c>
      <c r="AG62">
        <f>DV!AF39+DV!AF42</f>
        <v>0</v>
      </c>
      <c r="AH62">
        <f>DV!AG39+DV!AG42</f>
        <v>0</v>
      </c>
      <c r="AI62">
        <f>DV!AH39+DV!AH42</f>
        <v>0</v>
      </c>
      <c r="AJ62">
        <f>DV!AI39+DV!AI42</f>
        <v>0</v>
      </c>
      <c r="AK62">
        <f>DV!AJ39+DV!AJ42</f>
        <v>0</v>
      </c>
      <c r="AL62">
        <f>DV!AK39+DV!AK42</f>
        <v>0</v>
      </c>
      <c r="AM62">
        <f>DV!AL39+DV!AL42</f>
        <v>0</v>
      </c>
      <c r="AN62">
        <f>DV!AM39+DV!AM42</f>
        <v>0</v>
      </c>
      <c r="AO62">
        <f>DV!AN39+DV!AN42</f>
        <v>0</v>
      </c>
      <c r="AP62">
        <f>DV!AO39+DV!AO42</f>
        <v>0</v>
      </c>
      <c r="AQ62">
        <f>DV!AP39+DV!AP42</f>
        <v>0</v>
      </c>
      <c r="AR62">
        <f>DV!AQ39+DV!AQ42</f>
        <v>0</v>
      </c>
      <c r="AS62">
        <f>DV!AR39+DV!AR42</f>
        <v>0</v>
      </c>
      <c r="AT62">
        <f>DV!AS39+DV!AS42</f>
        <v>0</v>
      </c>
      <c r="AU62">
        <f>DV!AT39+DV!AT42</f>
        <v>0</v>
      </c>
      <c r="AV62">
        <f>DV!AU39+DV!AU42</f>
        <v>0</v>
      </c>
      <c r="AW62">
        <f>DV!AV39+DV!AV42</f>
        <v>0</v>
      </c>
      <c r="AX62">
        <f>DV!AW39+DV!AW42</f>
        <v>0</v>
      </c>
      <c r="AY62">
        <f>DV!AX39+DV!AX42</f>
        <v>0</v>
      </c>
      <c r="AZ62">
        <f>DV!AY39+DV!AY42</f>
        <v>0</v>
      </c>
      <c r="BA62">
        <f>DV!AZ39+DV!AZ42</f>
        <v>0</v>
      </c>
      <c r="BB62">
        <f>DV!BA39+DV!BA42</f>
        <v>0</v>
      </c>
      <c r="BC62">
        <f>DV!BB39+DV!BB42</f>
        <v>0</v>
      </c>
      <c r="BD62">
        <f>DV!BC39+DV!BC42</f>
        <v>0</v>
      </c>
      <c r="BE62">
        <f>DV!BD39+DV!BD42</f>
        <v>0</v>
      </c>
      <c r="BF62">
        <f>DV!BE39+DV!BE42</f>
        <v>0</v>
      </c>
      <c r="BG62">
        <f>DV!BF39+DV!BF42</f>
        <v>0</v>
      </c>
      <c r="BH62">
        <f>DV!BG39+DV!BG42</f>
        <v>0</v>
      </c>
      <c r="BI62">
        <f>DV!BH39+DV!BH42</f>
        <v>0</v>
      </c>
      <c r="BJ62">
        <f>DV!BI39+DV!BI42</f>
        <v>0</v>
      </c>
      <c r="BK62">
        <f>DV!BJ39+DV!BJ42</f>
        <v>0</v>
      </c>
      <c r="BL62">
        <f>DV!BK39+DV!BK42</f>
        <v>0</v>
      </c>
    </row>
    <row r="63" spans="1:64">
      <c r="A63">
        <v>23</v>
      </c>
      <c r="B63" s="5" t="str">
        <f>TEXT(VLOOKUP(A63,СВ[],2),"чч:мм")&amp;"-"&amp;TEXT(VLOOKUP(A63,СВ[],3),"чч:мм")</f>
        <v>13:15-14:00</v>
      </c>
      <c r="C63" s="6">
        <v>24</v>
      </c>
      <c r="D63" s="5" t="str">
        <f>TEXT(VLOOKUP(C63,СВ[],2),"чч:мм")&amp;"-"&amp;TEXT(VLOOKUP(C63,СВ[],3),"чч:мм")</f>
        <v>13:30-14:15</v>
      </c>
      <c r="E63">
        <f>DV!D40+DV!D41</f>
        <v>0</v>
      </c>
      <c r="F63">
        <f>DV!E40+DV!E41</f>
        <v>0</v>
      </c>
      <c r="G63">
        <f>DV!F40+DV!F41</f>
        <v>0</v>
      </c>
      <c r="H63">
        <f>DV!G40+DV!G41</f>
        <v>0</v>
      </c>
      <c r="I63">
        <f>DV!H40+DV!H41</f>
        <v>0</v>
      </c>
      <c r="J63">
        <f>DV!I40+DV!I41</f>
        <v>0</v>
      </c>
      <c r="K63">
        <f>DV!J40+DV!J41</f>
        <v>0</v>
      </c>
      <c r="L63">
        <f>DV!K40+DV!K41</f>
        <v>0</v>
      </c>
      <c r="M63">
        <f>DV!L40+DV!L41</f>
        <v>0</v>
      </c>
      <c r="N63">
        <f>DV!M40+DV!M41</f>
        <v>0</v>
      </c>
      <c r="O63">
        <f>DV!N40+DV!N41</f>
        <v>0</v>
      </c>
      <c r="P63">
        <f>DV!O40+DV!O41</f>
        <v>0</v>
      </c>
      <c r="Q63">
        <f>DV!P40+DV!P41</f>
        <v>0</v>
      </c>
      <c r="R63">
        <f>DV!Q40+DV!Q41</f>
        <v>0</v>
      </c>
      <c r="S63">
        <f>DV!R40+DV!R41</f>
        <v>0</v>
      </c>
      <c r="T63">
        <f>DV!S40+DV!S41</f>
        <v>0</v>
      </c>
      <c r="U63">
        <f>DV!T40+DV!T41</f>
        <v>0</v>
      </c>
      <c r="V63">
        <f>DV!U40+DV!U41</f>
        <v>0</v>
      </c>
      <c r="W63">
        <f>DV!V40+DV!V41</f>
        <v>0</v>
      </c>
      <c r="X63">
        <f>DV!W40+DV!W41</f>
        <v>0</v>
      </c>
      <c r="Y63">
        <f>DV!X40+DV!X41</f>
        <v>0</v>
      </c>
      <c r="Z63">
        <f>DV!Y40+DV!Y41</f>
        <v>0</v>
      </c>
      <c r="AA63">
        <f>DV!Z40+DV!Z41</f>
        <v>0</v>
      </c>
      <c r="AB63">
        <f>DV!AA40+DV!AA41</f>
        <v>0</v>
      </c>
      <c r="AC63">
        <f>DV!AB40+DV!AB41</f>
        <v>0</v>
      </c>
      <c r="AD63">
        <f>DV!AC40+DV!AC41</f>
        <v>0</v>
      </c>
      <c r="AE63">
        <f>DV!AD40+DV!AD41</f>
        <v>0</v>
      </c>
      <c r="AF63">
        <f>DV!AE40+DV!AE41</f>
        <v>0</v>
      </c>
      <c r="AG63">
        <f>DV!AF40+DV!AF41</f>
        <v>0</v>
      </c>
      <c r="AH63">
        <f>DV!AG40+DV!AG41</f>
        <v>0</v>
      </c>
      <c r="AI63">
        <f>DV!AH40+DV!AH41</f>
        <v>0</v>
      </c>
      <c r="AJ63">
        <f>DV!AI40+DV!AI41</f>
        <v>0</v>
      </c>
      <c r="AK63">
        <f>DV!AJ40+DV!AJ41</f>
        <v>0</v>
      </c>
      <c r="AL63">
        <f>DV!AK40+DV!AK41</f>
        <v>0</v>
      </c>
      <c r="AM63">
        <f>DV!AL40+DV!AL41</f>
        <v>0</v>
      </c>
      <c r="AN63">
        <f>DV!AM40+DV!AM41</f>
        <v>0</v>
      </c>
      <c r="AO63">
        <f>DV!AN40+DV!AN41</f>
        <v>0</v>
      </c>
      <c r="AP63">
        <f>DV!AO40+DV!AO41</f>
        <v>0</v>
      </c>
      <c r="AQ63">
        <f>DV!AP40+DV!AP41</f>
        <v>0</v>
      </c>
      <c r="AR63">
        <f>DV!AQ40+DV!AQ41</f>
        <v>0</v>
      </c>
      <c r="AS63">
        <f>DV!AR40+DV!AR41</f>
        <v>0</v>
      </c>
      <c r="AT63">
        <f>DV!AS40+DV!AS41</f>
        <v>0</v>
      </c>
      <c r="AU63">
        <f>DV!AT40+DV!AT41</f>
        <v>0</v>
      </c>
      <c r="AV63">
        <f>DV!AU40+DV!AU41</f>
        <v>0</v>
      </c>
      <c r="AW63">
        <f>DV!AV40+DV!AV41</f>
        <v>0</v>
      </c>
      <c r="AX63">
        <f>DV!AW40+DV!AW41</f>
        <v>0</v>
      </c>
      <c r="AY63">
        <f>DV!AX40+DV!AX41</f>
        <v>0</v>
      </c>
      <c r="AZ63">
        <f>DV!AY40+DV!AY41</f>
        <v>0</v>
      </c>
      <c r="BA63">
        <f>DV!AZ40+DV!AZ41</f>
        <v>0</v>
      </c>
      <c r="BB63">
        <f>DV!BA40+DV!BA41</f>
        <v>0</v>
      </c>
      <c r="BC63">
        <f>DV!BB40+DV!BB41</f>
        <v>0</v>
      </c>
      <c r="BD63">
        <f>DV!BC40+DV!BC41</f>
        <v>0</v>
      </c>
      <c r="BE63">
        <f>DV!BD40+DV!BD41</f>
        <v>0</v>
      </c>
      <c r="BF63">
        <f>DV!BE40+DV!BE41</f>
        <v>0</v>
      </c>
      <c r="BG63">
        <f>DV!BF40+DV!BF41</f>
        <v>0</v>
      </c>
      <c r="BH63">
        <f>DV!BG40+DV!BG41</f>
        <v>0</v>
      </c>
      <c r="BI63">
        <f>DV!BH40+DV!BH41</f>
        <v>0</v>
      </c>
      <c r="BJ63">
        <f>DV!BI40+DV!BI41</f>
        <v>0</v>
      </c>
      <c r="BK63">
        <f>DV!BJ40+DV!BJ41</f>
        <v>0</v>
      </c>
      <c r="BL63">
        <f>DV!BK40+DV!BK41</f>
        <v>0</v>
      </c>
    </row>
    <row r="64" spans="1:64">
      <c r="A64">
        <v>23</v>
      </c>
      <c r="B64" s="5" t="str">
        <f>TEXT(VLOOKUP(A64,СВ[],2),"чч:мм")&amp;"-"&amp;TEXT(VLOOKUP(A64,СВ[],3),"чч:мм")</f>
        <v>13:15-14:00</v>
      </c>
      <c r="C64" s="6">
        <v>25</v>
      </c>
      <c r="D64" s="5" t="str">
        <f>TEXT(VLOOKUP(C64,СВ[],2),"чч:мм")&amp;"-"&amp;TEXT(VLOOKUP(C64,СВ[],3),"чч:мм")</f>
        <v>13:45-14:30</v>
      </c>
      <c r="E64">
        <f>DV!D40+DV!D42</f>
        <v>0</v>
      </c>
      <c r="F64">
        <f>DV!E40+DV!E42</f>
        <v>0</v>
      </c>
      <c r="G64">
        <f>DV!F40+DV!F42</f>
        <v>0</v>
      </c>
      <c r="H64">
        <f>DV!G40+DV!G42</f>
        <v>0</v>
      </c>
      <c r="I64">
        <f>DV!H40+DV!H42</f>
        <v>0</v>
      </c>
      <c r="J64">
        <f>DV!I40+DV!I42</f>
        <v>0</v>
      </c>
      <c r="K64">
        <f>DV!J40+DV!J42</f>
        <v>0</v>
      </c>
      <c r="L64">
        <f>DV!K40+DV!K42</f>
        <v>0</v>
      </c>
      <c r="M64">
        <f>DV!L40+DV!L42</f>
        <v>0</v>
      </c>
      <c r="N64">
        <f>DV!M40+DV!M42</f>
        <v>0</v>
      </c>
      <c r="O64">
        <f>DV!N40+DV!N42</f>
        <v>0</v>
      </c>
      <c r="P64">
        <f>DV!O40+DV!O42</f>
        <v>0</v>
      </c>
      <c r="Q64">
        <f>DV!P40+DV!P42</f>
        <v>0</v>
      </c>
      <c r="R64">
        <f>DV!Q40+DV!Q42</f>
        <v>0</v>
      </c>
      <c r="S64">
        <f>DV!R40+DV!R42</f>
        <v>0</v>
      </c>
      <c r="T64">
        <f>DV!S40+DV!S42</f>
        <v>0</v>
      </c>
      <c r="U64">
        <f>DV!T40+DV!T42</f>
        <v>0</v>
      </c>
      <c r="V64">
        <f>DV!U40+DV!U42</f>
        <v>0</v>
      </c>
      <c r="W64">
        <f>DV!V40+DV!V42</f>
        <v>0</v>
      </c>
      <c r="X64">
        <f>DV!W40+DV!W42</f>
        <v>0</v>
      </c>
      <c r="Y64">
        <f>DV!X40+DV!X42</f>
        <v>0</v>
      </c>
      <c r="Z64">
        <f>DV!Y40+DV!Y42</f>
        <v>0</v>
      </c>
      <c r="AA64">
        <f>DV!Z40+DV!Z42</f>
        <v>0</v>
      </c>
      <c r="AB64">
        <f>DV!AA40+DV!AA42</f>
        <v>0</v>
      </c>
      <c r="AC64">
        <f>DV!AB40+DV!AB42</f>
        <v>0</v>
      </c>
      <c r="AD64">
        <f>DV!AC40+DV!AC42</f>
        <v>0</v>
      </c>
      <c r="AE64">
        <f>DV!AD40+DV!AD42</f>
        <v>0</v>
      </c>
      <c r="AF64">
        <f>DV!AE40+DV!AE42</f>
        <v>0</v>
      </c>
      <c r="AG64">
        <f>DV!AF40+DV!AF42</f>
        <v>0</v>
      </c>
      <c r="AH64">
        <f>DV!AG40+DV!AG42</f>
        <v>0</v>
      </c>
      <c r="AI64">
        <f>DV!AH40+DV!AH42</f>
        <v>0</v>
      </c>
      <c r="AJ64">
        <f>DV!AI40+DV!AI42</f>
        <v>0</v>
      </c>
      <c r="AK64">
        <f>DV!AJ40+DV!AJ42</f>
        <v>0</v>
      </c>
      <c r="AL64">
        <f>DV!AK40+DV!AK42</f>
        <v>0</v>
      </c>
      <c r="AM64">
        <f>DV!AL40+DV!AL42</f>
        <v>0</v>
      </c>
      <c r="AN64">
        <f>DV!AM40+DV!AM42</f>
        <v>0</v>
      </c>
      <c r="AO64">
        <f>DV!AN40+DV!AN42</f>
        <v>0</v>
      </c>
      <c r="AP64">
        <f>DV!AO40+DV!AO42</f>
        <v>0</v>
      </c>
      <c r="AQ64">
        <f>DV!AP40+DV!AP42</f>
        <v>0</v>
      </c>
      <c r="AR64">
        <f>DV!AQ40+DV!AQ42</f>
        <v>0</v>
      </c>
      <c r="AS64">
        <f>DV!AR40+DV!AR42</f>
        <v>0</v>
      </c>
      <c r="AT64">
        <f>DV!AS40+DV!AS42</f>
        <v>0</v>
      </c>
      <c r="AU64">
        <f>DV!AT40+DV!AT42</f>
        <v>0</v>
      </c>
      <c r="AV64">
        <f>DV!AU40+DV!AU42</f>
        <v>0</v>
      </c>
      <c r="AW64">
        <f>DV!AV40+DV!AV42</f>
        <v>0</v>
      </c>
      <c r="AX64">
        <f>DV!AW40+DV!AW42</f>
        <v>0</v>
      </c>
      <c r="AY64">
        <f>DV!AX40+DV!AX42</f>
        <v>0</v>
      </c>
      <c r="AZ64">
        <f>DV!AY40+DV!AY42</f>
        <v>0</v>
      </c>
      <c r="BA64">
        <f>DV!AZ40+DV!AZ42</f>
        <v>0</v>
      </c>
      <c r="BB64">
        <f>DV!BA40+DV!BA42</f>
        <v>0</v>
      </c>
      <c r="BC64">
        <f>DV!BB40+DV!BB42</f>
        <v>0</v>
      </c>
      <c r="BD64">
        <f>DV!BC40+DV!BC42</f>
        <v>0</v>
      </c>
      <c r="BE64">
        <f>DV!BD40+DV!BD42</f>
        <v>0</v>
      </c>
      <c r="BF64">
        <f>DV!BE40+DV!BE42</f>
        <v>0</v>
      </c>
      <c r="BG64">
        <f>DV!BF40+DV!BF42</f>
        <v>0</v>
      </c>
      <c r="BH64">
        <f>DV!BG40+DV!BG42</f>
        <v>0</v>
      </c>
      <c r="BI64">
        <f>DV!BH40+DV!BH42</f>
        <v>0</v>
      </c>
      <c r="BJ64">
        <f>DV!BI40+DV!BI42</f>
        <v>0</v>
      </c>
      <c r="BK64">
        <f>DV!BJ40+DV!BJ42</f>
        <v>0</v>
      </c>
      <c r="BL64">
        <f>DV!BK40+DV!BK42</f>
        <v>0</v>
      </c>
    </row>
    <row r="65" spans="1:64">
      <c r="A65">
        <v>24</v>
      </c>
      <c r="B65" s="5" t="str">
        <f>TEXT(VLOOKUP(A65,СВ[],2),"чч:мм")&amp;"-"&amp;TEXT(VLOOKUP(A65,СВ[],3),"чч:мм")</f>
        <v>13:30-14:15</v>
      </c>
      <c r="C65" s="6">
        <v>25</v>
      </c>
      <c r="D65" s="5" t="str">
        <f>TEXT(VLOOKUP(C65,СВ[],2),"чч:мм")&amp;"-"&amp;TEXT(VLOOKUP(C65,СВ[],3),"чч:мм")</f>
        <v>13:45-14:30</v>
      </c>
      <c r="E65">
        <f>DV!D41+DV!D42</f>
        <v>0</v>
      </c>
      <c r="F65">
        <f>DV!E41+DV!E42</f>
        <v>0</v>
      </c>
      <c r="G65">
        <f>DV!F41+DV!F42</f>
        <v>0</v>
      </c>
      <c r="H65">
        <f>DV!G41+DV!G42</f>
        <v>0</v>
      </c>
      <c r="I65">
        <f>DV!H41+DV!H42</f>
        <v>0</v>
      </c>
      <c r="J65">
        <f>DV!I41+DV!I42</f>
        <v>0</v>
      </c>
      <c r="K65">
        <f>DV!J41+DV!J42</f>
        <v>0</v>
      </c>
      <c r="L65">
        <f>DV!K41+DV!K42</f>
        <v>0</v>
      </c>
      <c r="M65">
        <f>DV!L41+DV!L42</f>
        <v>0</v>
      </c>
      <c r="N65">
        <f>DV!M41+DV!M42</f>
        <v>0</v>
      </c>
      <c r="O65">
        <f>DV!N41+DV!N42</f>
        <v>0</v>
      </c>
      <c r="P65">
        <f>DV!O41+DV!O42</f>
        <v>0</v>
      </c>
      <c r="Q65">
        <f>DV!P41+DV!P42</f>
        <v>0</v>
      </c>
      <c r="R65">
        <f>DV!Q41+DV!Q42</f>
        <v>0</v>
      </c>
      <c r="S65">
        <f>DV!R41+DV!R42</f>
        <v>0</v>
      </c>
      <c r="T65">
        <f>DV!S41+DV!S42</f>
        <v>0</v>
      </c>
      <c r="U65">
        <f>DV!T41+DV!T42</f>
        <v>0</v>
      </c>
      <c r="V65">
        <f>DV!U41+DV!U42</f>
        <v>0</v>
      </c>
      <c r="W65">
        <f>DV!V41+DV!V42</f>
        <v>0</v>
      </c>
      <c r="X65">
        <f>DV!W41+DV!W42</f>
        <v>0</v>
      </c>
      <c r="Y65">
        <f>DV!X41+DV!X42</f>
        <v>0</v>
      </c>
      <c r="Z65">
        <f>DV!Y41+DV!Y42</f>
        <v>0</v>
      </c>
      <c r="AA65">
        <f>DV!Z41+DV!Z42</f>
        <v>0</v>
      </c>
      <c r="AB65">
        <f>DV!AA41+DV!AA42</f>
        <v>0</v>
      </c>
      <c r="AC65">
        <f>DV!AB41+DV!AB42</f>
        <v>0</v>
      </c>
      <c r="AD65">
        <f>DV!AC41+DV!AC42</f>
        <v>0</v>
      </c>
      <c r="AE65">
        <f>DV!AD41+DV!AD42</f>
        <v>0</v>
      </c>
      <c r="AF65">
        <f>DV!AE41+DV!AE42</f>
        <v>0</v>
      </c>
      <c r="AG65">
        <f>DV!AF41+DV!AF42</f>
        <v>0</v>
      </c>
      <c r="AH65">
        <f>DV!AG41+DV!AG42</f>
        <v>0</v>
      </c>
      <c r="AI65">
        <f>DV!AH41+DV!AH42</f>
        <v>0</v>
      </c>
      <c r="AJ65">
        <f>DV!AI41+DV!AI42</f>
        <v>0</v>
      </c>
      <c r="AK65">
        <f>DV!AJ41+DV!AJ42</f>
        <v>0</v>
      </c>
      <c r="AL65">
        <f>DV!AK41+DV!AK42</f>
        <v>0</v>
      </c>
      <c r="AM65">
        <f>DV!AL41+DV!AL42</f>
        <v>0</v>
      </c>
      <c r="AN65">
        <f>DV!AM41+DV!AM42</f>
        <v>0</v>
      </c>
      <c r="AO65">
        <f>DV!AN41+DV!AN42</f>
        <v>0</v>
      </c>
      <c r="AP65">
        <f>DV!AO41+DV!AO42</f>
        <v>0</v>
      </c>
      <c r="AQ65">
        <f>DV!AP41+DV!AP42</f>
        <v>0</v>
      </c>
      <c r="AR65">
        <f>DV!AQ41+DV!AQ42</f>
        <v>0</v>
      </c>
      <c r="AS65">
        <f>DV!AR41+DV!AR42</f>
        <v>0</v>
      </c>
      <c r="AT65">
        <f>DV!AS41+DV!AS42</f>
        <v>0</v>
      </c>
      <c r="AU65">
        <f>DV!AT41+DV!AT42</f>
        <v>0</v>
      </c>
      <c r="AV65">
        <f>DV!AU41+DV!AU42</f>
        <v>0</v>
      </c>
      <c r="AW65">
        <f>DV!AV41+DV!AV42</f>
        <v>0</v>
      </c>
      <c r="AX65">
        <f>DV!AW41+DV!AW42</f>
        <v>0</v>
      </c>
      <c r="AY65">
        <f>DV!AX41+DV!AX42</f>
        <v>0</v>
      </c>
      <c r="AZ65">
        <f>DV!AY41+DV!AY42</f>
        <v>0</v>
      </c>
      <c r="BA65">
        <f>DV!AZ41+DV!AZ42</f>
        <v>0</v>
      </c>
      <c r="BB65">
        <f>DV!BA41+DV!BA42</f>
        <v>0</v>
      </c>
      <c r="BC65">
        <f>DV!BB41+DV!BB42</f>
        <v>0</v>
      </c>
      <c r="BD65">
        <f>DV!BC41+DV!BC42</f>
        <v>0</v>
      </c>
      <c r="BE65">
        <f>DV!BD41+DV!BD42</f>
        <v>0</v>
      </c>
      <c r="BF65">
        <f>DV!BE41+DV!BE42</f>
        <v>0</v>
      </c>
      <c r="BG65">
        <f>DV!BF41+DV!BF42</f>
        <v>0</v>
      </c>
      <c r="BH65">
        <f>DV!BG41+DV!BG42</f>
        <v>0</v>
      </c>
      <c r="BI65">
        <f>DV!BH41+DV!BH42</f>
        <v>0</v>
      </c>
      <c r="BJ65">
        <f>DV!BI41+DV!BI42</f>
        <v>0</v>
      </c>
      <c r="BK65">
        <f>DV!BJ41+DV!BJ42</f>
        <v>0</v>
      </c>
      <c r="BL65">
        <f>DV!BK41+DV!BK42</f>
        <v>0</v>
      </c>
    </row>
    <row r="66" spans="1:64">
      <c r="A66">
        <v>24</v>
      </c>
      <c r="B66" s="5" t="str">
        <f>TEXT(VLOOKUP(A66,СВ[],2),"чч:мм")&amp;"-"&amp;TEXT(VLOOKUP(A66,СВ[],3),"чч:мм")</f>
        <v>13:30-14:15</v>
      </c>
      <c r="C66" s="6">
        <v>26</v>
      </c>
      <c r="D66" s="5" t="str">
        <f>TEXT(VLOOKUP(C66,СВ[],2),"чч:мм")&amp;"-"&amp;TEXT(VLOOKUP(C66,СВ[],3),"чч:мм")</f>
        <v>14:00-15:00</v>
      </c>
      <c r="E66">
        <f>DV!D41+DV!D43</f>
        <v>1</v>
      </c>
      <c r="F66">
        <f>DV!E41+DV!E43</f>
        <v>0</v>
      </c>
      <c r="G66">
        <f>DV!F41+DV!F43</f>
        <v>0</v>
      </c>
      <c r="H66">
        <f>DV!G41+DV!G43</f>
        <v>0</v>
      </c>
      <c r="I66">
        <f>DV!H41+DV!H43</f>
        <v>0</v>
      </c>
      <c r="J66">
        <f>DV!I41+DV!I43</f>
        <v>0</v>
      </c>
      <c r="K66">
        <f>DV!J41+DV!J43</f>
        <v>0</v>
      </c>
      <c r="L66">
        <f>DV!K41+DV!K43</f>
        <v>0</v>
      </c>
      <c r="M66">
        <f>DV!L41+DV!L43</f>
        <v>0</v>
      </c>
      <c r="N66">
        <f>DV!M41+DV!M43</f>
        <v>0</v>
      </c>
      <c r="O66">
        <f>DV!N41+DV!N43</f>
        <v>0</v>
      </c>
      <c r="P66">
        <f>DV!O41+DV!O43</f>
        <v>0</v>
      </c>
      <c r="Q66">
        <f>DV!P41+DV!P43</f>
        <v>0</v>
      </c>
      <c r="R66">
        <f>DV!Q41+DV!Q43</f>
        <v>0</v>
      </c>
      <c r="S66">
        <f>DV!R41+DV!R43</f>
        <v>0</v>
      </c>
      <c r="T66">
        <f>DV!S41+DV!S43</f>
        <v>0</v>
      </c>
      <c r="U66">
        <f>DV!T41+DV!T43</f>
        <v>0</v>
      </c>
      <c r="V66">
        <f>DV!U41+DV!U43</f>
        <v>0</v>
      </c>
      <c r="W66">
        <f>DV!V41+DV!V43</f>
        <v>0</v>
      </c>
      <c r="X66">
        <f>DV!W41+DV!W43</f>
        <v>0</v>
      </c>
      <c r="Y66">
        <f>DV!X41+DV!X43</f>
        <v>0</v>
      </c>
      <c r="Z66">
        <f>DV!Y41+DV!Y43</f>
        <v>0</v>
      </c>
      <c r="AA66">
        <f>DV!Z41+DV!Z43</f>
        <v>0</v>
      </c>
      <c r="AB66">
        <f>DV!AA41+DV!AA43</f>
        <v>0</v>
      </c>
      <c r="AC66">
        <f>DV!AB41+DV!AB43</f>
        <v>0</v>
      </c>
      <c r="AD66">
        <f>DV!AC41+DV!AC43</f>
        <v>0</v>
      </c>
      <c r="AE66">
        <f>DV!AD41+DV!AD43</f>
        <v>0</v>
      </c>
      <c r="AF66">
        <f>DV!AE41+DV!AE43</f>
        <v>0</v>
      </c>
      <c r="AG66">
        <f>DV!AF41+DV!AF43</f>
        <v>0</v>
      </c>
      <c r="AH66">
        <f>DV!AG41+DV!AG43</f>
        <v>0</v>
      </c>
      <c r="AI66">
        <f>DV!AH41+DV!AH43</f>
        <v>0</v>
      </c>
      <c r="AJ66">
        <f>DV!AI41+DV!AI43</f>
        <v>0</v>
      </c>
      <c r="AK66">
        <f>DV!AJ41+DV!AJ43</f>
        <v>0</v>
      </c>
      <c r="AL66">
        <f>DV!AK41+DV!AK43</f>
        <v>0</v>
      </c>
      <c r="AM66">
        <f>DV!AL41+DV!AL43</f>
        <v>0</v>
      </c>
      <c r="AN66">
        <f>DV!AM41+DV!AM43</f>
        <v>0</v>
      </c>
      <c r="AO66">
        <f>DV!AN41+DV!AN43</f>
        <v>0</v>
      </c>
      <c r="AP66">
        <f>DV!AO41+DV!AO43</f>
        <v>0</v>
      </c>
      <c r="AQ66">
        <f>DV!AP41+DV!AP43</f>
        <v>0</v>
      </c>
      <c r="AR66">
        <f>DV!AQ41+DV!AQ43</f>
        <v>0</v>
      </c>
      <c r="AS66">
        <f>DV!AR41+DV!AR43</f>
        <v>0</v>
      </c>
      <c r="AT66">
        <f>DV!AS41+DV!AS43</f>
        <v>0</v>
      </c>
      <c r="AU66">
        <f>DV!AT41+DV!AT43</f>
        <v>0</v>
      </c>
      <c r="AV66">
        <f>DV!AU41+DV!AU43</f>
        <v>0</v>
      </c>
      <c r="AW66">
        <f>DV!AV41+DV!AV43</f>
        <v>0</v>
      </c>
      <c r="AX66">
        <f>DV!AW41+DV!AW43</f>
        <v>0</v>
      </c>
      <c r="AY66">
        <f>DV!AX41+DV!AX43</f>
        <v>0</v>
      </c>
      <c r="AZ66">
        <f>DV!AY41+DV!AY43</f>
        <v>0</v>
      </c>
      <c r="BA66">
        <f>DV!AZ41+DV!AZ43</f>
        <v>0</v>
      </c>
      <c r="BB66">
        <f>DV!BA41+DV!BA43</f>
        <v>0</v>
      </c>
      <c r="BC66">
        <f>DV!BB41+DV!BB43</f>
        <v>0</v>
      </c>
      <c r="BD66">
        <f>DV!BC41+DV!BC43</f>
        <v>0</v>
      </c>
      <c r="BE66">
        <f>DV!BD41+DV!BD43</f>
        <v>0</v>
      </c>
      <c r="BF66">
        <f>DV!BE41+DV!BE43</f>
        <v>0</v>
      </c>
      <c r="BG66">
        <f>DV!BF41+DV!BF43</f>
        <v>0</v>
      </c>
      <c r="BH66">
        <f>DV!BG41+DV!BG43</f>
        <v>0</v>
      </c>
      <c r="BI66">
        <f>DV!BH41+DV!BH43</f>
        <v>0</v>
      </c>
      <c r="BJ66">
        <f>DV!BI41+DV!BI43</f>
        <v>0</v>
      </c>
      <c r="BK66">
        <f>DV!BJ41+DV!BJ43</f>
        <v>0</v>
      </c>
      <c r="BL66">
        <f>DV!BK41+DV!BK43</f>
        <v>0</v>
      </c>
    </row>
    <row r="67" spans="1:64">
      <c r="A67">
        <v>25</v>
      </c>
      <c r="B67" s="5" t="str">
        <f>TEXT(VLOOKUP(A67,СВ[],2),"чч:мм")&amp;"-"&amp;TEXT(VLOOKUP(A67,СВ[],3),"чч:мм")</f>
        <v>13:45-14:30</v>
      </c>
      <c r="C67" s="6">
        <v>26</v>
      </c>
      <c r="D67" s="5" t="str">
        <f>TEXT(VLOOKUP(C67,СВ[],2),"чч:мм")&amp;"-"&amp;TEXT(VLOOKUP(C67,СВ[],3),"чч:мм")</f>
        <v>14:00-15:00</v>
      </c>
      <c r="E67">
        <f>DV!D42+DV!D43</f>
        <v>1</v>
      </c>
      <c r="F67">
        <f>DV!E42+DV!E43</f>
        <v>0</v>
      </c>
      <c r="G67">
        <f>DV!F42+DV!F43</f>
        <v>0</v>
      </c>
      <c r="H67">
        <f>DV!G42+DV!G43</f>
        <v>0</v>
      </c>
      <c r="I67">
        <f>DV!H42+DV!H43</f>
        <v>0</v>
      </c>
      <c r="J67">
        <f>DV!I42+DV!I43</f>
        <v>0</v>
      </c>
      <c r="K67">
        <f>DV!J42+DV!J43</f>
        <v>0</v>
      </c>
      <c r="L67">
        <f>DV!K42+DV!K43</f>
        <v>0</v>
      </c>
      <c r="M67">
        <f>DV!L42+DV!L43</f>
        <v>0</v>
      </c>
      <c r="N67">
        <f>DV!M42+DV!M43</f>
        <v>0</v>
      </c>
      <c r="O67">
        <f>DV!N42+DV!N43</f>
        <v>0</v>
      </c>
      <c r="P67">
        <f>DV!O42+DV!O43</f>
        <v>0</v>
      </c>
      <c r="Q67">
        <f>DV!P42+DV!P43</f>
        <v>0</v>
      </c>
      <c r="R67">
        <f>DV!Q42+DV!Q43</f>
        <v>0</v>
      </c>
      <c r="S67">
        <f>DV!R42+DV!R43</f>
        <v>0</v>
      </c>
      <c r="T67">
        <f>DV!S42+DV!S43</f>
        <v>0</v>
      </c>
      <c r="U67">
        <f>DV!T42+DV!T43</f>
        <v>0</v>
      </c>
      <c r="V67">
        <f>DV!U42+DV!U43</f>
        <v>0</v>
      </c>
      <c r="W67">
        <f>DV!V42+DV!V43</f>
        <v>0</v>
      </c>
      <c r="X67">
        <f>DV!W42+DV!W43</f>
        <v>0</v>
      </c>
      <c r="Y67">
        <f>DV!X42+DV!X43</f>
        <v>0</v>
      </c>
      <c r="Z67">
        <f>DV!Y42+DV!Y43</f>
        <v>0</v>
      </c>
      <c r="AA67">
        <f>DV!Z42+DV!Z43</f>
        <v>0</v>
      </c>
      <c r="AB67">
        <f>DV!AA42+DV!AA43</f>
        <v>0</v>
      </c>
      <c r="AC67">
        <f>DV!AB42+DV!AB43</f>
        <v>0</v>
      </c>
      <c r="AD67">
        <f>DV!AC42+DV!AC43</f>
        <v>0</v>
      </c>
      <c r="AE67">
        <f>DV!AD42+DV!AD43</f>
        <v>0</v>
      </c>
      <c r="AF67">
        <f>DV!AE42+DV!AE43</f>
        <v>0</v>
      </c>
      <c r="AG67">
        <f>DV!AF42+DV!AF43</f>
        <v>0</v>
      </c>
      <c r="AH67">
        <f>DV!AG42+DV!AG43</f>
        <v>0</v>
      </c>
      <c r="AI67">
        <f>DV!AH42+DV!AH43</f>
        <v>0</v>
      </c>
      <c r="AJ67">
        <f>DV!AI42+DV!AI43</f>
        <v>0</v>
      </c>
      <c r="AK67">
        <f>DV!AJ42+DV!AJ43</f>
        <v>0</v>
      </c>
      <c r="AL67">
        <f>DV!AK42+DV!AK43</f>
        <v>0</v>
      </c>
      <c r="AM67">
        <f>DV!AL42+DV!AL43</f>
        <v>0</v>
      </c>
      <c r="AN67">
        <f>DV!AM42+DV!AM43</f>
        <v>0</v>
      </c>
      <c r="AO67">
        <f>DV!AN42+DV!AN43</f>
        <v>0</v>
      </c>
      <c r="AP67">
        <f>DV!AO42+DV!AO43</f>
        <v>0</v>
      </c>
      <c r="AQ67">
        <f>DV!AP42+DV!AP43</f>
        <v>0</v>
      </c>
      <c r="AR67">
        <f>DV!AQ42+DV!AQ43</f>
        <v>0</v>
      </c>
      <c r="AS67">
        <f>DV!AR42+DV!AR43</f>
        <v>0</v>
      </c>
      <c r="AT67">
        <f>DV!AS42+DV!AS43</f>
        <v>0</v>
      </c>
      <c r="AU67">
        <f>DV!AT42+DV!AT43</f>
        <v>0</v>
      </c>
      <c r="AV67">
        <f>DV!AU42+DV!AU43</f>
        <v>0</v>
      </c>
      <c r="AW67">
        <f>DV!AV42+DV!AV43</f>
        <v>0</v>
      </c>
      <c r="AX67">
        <f>DV!AW42+DV!AW43</f>
        <v>0</v>
      </c>
      <c r="AY67">
        <f>DV!AX42+DV!AX43</f>
        <v>0</v>
      </c>
      <c r="AZ67">
        <f>DV!AY42+DV!AY43</f>
        <v>0</v>
      </c>
      <c r="BA67">
        <f>DV!AZ42+DV!AZ43</f>
        <v>0</v>
      </c>
      <c r="BB67">
        <f>DV!BA42+DV!BA43</f>
        <v>0</v>
      </c>
      <c r="BC67">
        <f>DV!BB42+DV!BB43</f>
        <v>0</v>
      </c>
      <c r="BD67">
        <f>DV!BC42+DV!BC43</f>
        <v>0</v>
      </c>
      <c r="BE67">
        <f>DV!BD42+DV!BD43</f>
        <v>0</v>
      </c>
      <c r="BF67">
        <f>DV!BE42+DV!BE43</f>
        <v>0</v>
      </c>
      <c r="BG67">
        <f>DV!BF42+DV!BF43</f>
        <v>0</v>
      </c>
      <c r="BH67">
        <f>DV!BG42+DV!BG43</f>
        <v>0</v>
      </c>
      <c r="BI67">
        <f>DV!BH42+DV!BH43</f>
        <v>0</v>
      </c>
      <c r="BJ67">
        <f>DV!BI42+DV!BI43</f>
        <v>0</v>
      </c>
      <c r="BK67">
        <f>DV!BJ42+DV!BJ43</f>
        <v>0</v>
      </c>
      <c r="BL67">
        <f>DV!BK42+DV!BK43</f>
        <v>0</v>
      </c>
    </row>
    <row r="68" spans="1:64">
      <c r="A68">
        <v>25</v>
      </c>
      <c r="B68" s="5" t="str">
        <f>TEXT(VLOOKUP(A68,СВ[],2),"чч:мм")&amp;"-"&amp;TEXT(VLOOKUP(A68,СВ[],3),"чч:мм")</f>
        <v>13:45-14:30</v>
      </c>
      <c r="C68" s="6">
        <v>27</v>
      </c>
      <c r="D68" s="5" t="str">
        <f>TEXT(VLOOKUP(C68,СВ[],2),"чч:мм")&amp;"-"&amp;TEXT(VLOOKUP(C68,СВ[],3),"чч:мм")</f>
        <v>14:15-15:00</v>
      </c>
      <c r="E68">
        <f>DV!D42+DV!D44</f>
        <v>0</v>
      </c>
      <c r="F68">
        <f>DV!E42+DV!E44</f>
        <v>0</v>
      </c>
      <c r="G68">
        <f>DV!F42+DV!F44</f>
        <v>0</v>
      </c>
      <c r="H68">
        <f>DV!G42+DV!G44</f>
        <v>0</v>
      </c>
      <c r="I68">
        <f>DV!H42+DV!H44</f>
        <v>0</v>
      </c>
      <c r="J68">
        <f>DV!I42+DV!I44</f>
        <v>0</v>
      </c>
      <c r="K68">
        <f>DV!J42+DV!J44</f>
        <v>0</v>
      </c>
      <c r="L68">
        <f>DV!K42+DV!K44</f>
        <v>0</v>
      </c>
      <c r="M68">
        <f>DV!L42+DV!L44</f>
        <v>0</v>
      </c>
      <c r="N68">
        <f>DV!M42+DV!M44</f>
        <v>0</v>
      </c>
      <c r="O68">
        <f>DV!N42+DV!N44</f>
        <v>0</v>
      </c>
      <c r="P68">
        <f>DV!O42+DV!O44</f>
        <v>0</v>
      </c>
      <c r="Q68">
        <f>DV!P42+DV!P44</f>
        <v>0</v>
      </c>
      <c r="R68">
        <f>DV!Q42+DV!Q44</f>
        <v>0</v>
      </c>
      <c r="S68">
        <f>DV!R42+DV!R44</f>
        <v>0</v>
      </c>
      <c r="T68">
        <f>DV!S42+DV!S44</f>
        <v>0</v>
      </c>
      <c r="U68">
        <f>DV!T42+DV!T44</f>
        <v>0</v>
      </c>
      <c r="V68">
        <f>DV!U42+DV!U44</f>
        <v>0</v>
      </c>
      <c r="W68">
        <f>DV!V42+DV!V44</f>
        <v>0</v>
      </c>
      <c r="X68">
        <f>DV!W42+DV!W44</f>
        <v>0</v>
      </c>
      <c r="Y68">
        <f>DV!X42+DV!X44</f>
        <v>0</v>
      </c>
      <c r="Z68">
        <f>DV!Y42+DV!Y44</f>
        <v>0</v>
      </c>
      <c r="AA68">
        <f>DV!Z42+DV!Z44</f>
        <v>0</v>
      </c>
      <c r="AB68">
        <f>DV!AA42+DV!AA44</f>
        <v>0</v>
      </c>
      <c r="AC68">
        <f>DV!AB42+DV!AB44</f>
        <v>0</v>
      </c>
      <c r="AD68">
        <f>DV!AC42+DV!AC44</f>
        <v>0</v>
      </c>
      <c r="AE68">
        <f>DV!AD42+DV!AD44</f>
        <v>0</v>
      </c>
      <c r="AF68">
        <f>DV!AE42+DV!AE44</f>
        <v>0</v>
      </c>
      <c r="AG68">
        <f>DV!AF42+DV!AF44</f>
        <v>0</v>
      </c>
      <c r="AH68">
        <f>DV!AG42+DV!AG44</f>
        <v>0</v>
      </c>
      <c r="AI68">
        <f>DV!AH42+DV!AH44</f>
        <v>0</v>
      </c>
      <c r="AJ68">
        <f>DV!AI42+DV!AI44</f>
        <v>0</v>
      </c>
      <c r="AK68">
        <f>DV!AJ42+DV!AJ44</f>
        <v>0</v>
      </c>
      <c r="AL68">
        <f>DV!AK42+DV!AK44</f>
        <v>0</v>
      </c>
      <c r="AM68">
        <f>DV!AL42+DV!AL44</f>
        <v>0</v>
      </c>
      <c r="AN68">
        <f>DV!AM42+DV!AM44</f>
        <v>0</v>
      </c>
      <c r="AO68">
        <f>DV!AN42+DV!AN44</f>
        <v>0</v>
      </c>
      <c r="AP68">
        <f>DV!AO42+DV!AO44</f>
        <v>0</v>
      </c>
      <c r="AQ68">
        <f>DV!AP42+DV!AP44</f>
        <v>0</v>
      </c>
      <c r="AR68">
        <f>DV!AQ42+DV!AQ44</f>
        <v>0</v>
      </c>
      <c r="AS68">
        <f>DV!AR42+DV!AR44</f>
        <v>0</v>
      </c>
      <c r="AT68">
        <f>DV!AS42+DV!AS44</f>
        <v>0</v>
      </c>
      <c r="AU68">
        <f>DV!AT42+DV!AT44</f>
        <v>0</v>
      </c>
      <c r="AV68">
        <f>DV!AU42+DV!AU44</f>
        <v>0</v>
      </c>
      <c r="AW68">
        <f>DV!AV42+DV!AV44</f>
        <v>0</v>
      </c>
      <c r="AX68">
        <f>DV!AW42+DV!AW44</f>
        <v>0</v>
      </c>
      <c r="AY68">
        <f>DV!AX42+DV!AX44</f>
        <v>0</v>
      </c>
      <c r="AZ68">
        <f>DV!AY42+DV!AY44</f>
        <v>0</v>
      </c>
      <c r="BA68">
        <f>DV!AZ42+DV!AZ44</f>
        <v>0</v>
      </c>
      <c r="BB68">
        <f>DV!BA42+DV!BA44</f>
        <v>0</v>
      </c>
      <c r="BC68">
        <f>DV!BB42+DV!BB44</f>
        <v>0</v>
      </c>
      <c r="BD68">
        <f>DV!BC42+DV!BC44</f>
        <v>0</v>
      </c>
      <c r="BE68">
        <f>DV!BD42+DV!BD44</f>
        <v>0</v>
      </c>
      <c r="BF68">
        <f>DV!BE42+DV!BE44</f>
        <v>0</v>
      </c>
      <c r="BG68">
        <f>DV!BF42+DV!BF44</f>
        <v>0</v>
      </c>
      <c r="BH68">
        <f>DV!BG42+DV!BG44</f>
        <v>0</v>
      </c>
      <c r="BI68">
        <f>DV!BH42+DV!BH44</f>
        <v>0</v>
      </c>
      <c r="BJ68">
        <f>DV!BI42+DV!BI44</f>
        <v>0</v>
      </c>
      <c r="BK68">
        <f>DV!BJ42+DV!BJ44</f>
        <v>0</v>
      </c>
      <c r="BL68">
        <f>DV!BK42+DV!BK44</f>
        <v>0</v>
      </c>
    </row>
    <row r="69" spans="1:64">
      <c r="A69">
        <v>26</v>
      </c>
      <c r="B69" s="5" t="str">
        <f>TEXT(VLOOKUP(A69,СВ[],2),"чч:мм")&amp;"-"&amp;TEXT(VLOOKUP(A69,СВ[],3),"чч:мм")</f>
        <v>14:00-15:00</v>
      </c>
      <c r="C69" s="6">
        <v>27</v>
      </c>
      <c r="D69" s="5" t="str">
        <f>TEXT(VLOOKUP(C69,СВ[],2),"чч:мм")&amp;"-"&amp;TEXT(VLOOKUP(C69,СВ[],3),"чч:мм")</f>
        <v>14:15-15:00</v>
      </c>
      <c r="E69">
        <f>DV!D43+DV!D44</f>
        <v>1</v>
      </c>
      <c r="F69">
        <f>DV!E43+DV!E44</f>
        <v>0</v>
      </c>
      <c r="G69">
        <f>DV!F43+DV!F44</f>
        <v>0</v>
      </c>
      <c r="H69">
        <f>DV!G43+DV!G44</f>
        <v>0</v>
      </c>
      <c r="I69">
        <f>DV!H43+DV!H44</f>
        <v>0</v>
      </c>
      <c r="J69">
        <f>DV!I43+DV!I44</f>
        <v>0</v>
      </c>
      <c r="K69">
        <f>DV!J43+DV!J44</f>
        <v>0</v>
      </c>
      <c r="L69">
        <f>DV!K43+DV!K44</f>
        <v>0</v>
      </c>
      <c r="M69">
        <f>DV!L43+DV!L44</f>
        <v>0</v>
      </c>
      <c r="N69">
        <f>DV!M43+DV!M44</f>
        <v>0</v>
      </c>
      <c r="O69">
        <f>DV!N43+DV!N44</f>
        <v>0</v>
      </c>
      <c r="P69">
        <f>DV!O43+DV!O44</f>
        <v>0</v>
      </c>
      <c r="Q69">
        <f>DV!P43+DV!P44</f>
        <v>0</v>
      </c>
      <c r="R69">
        <f>DV!Q43+DV!Q44</f>
        <v>0</v>
      </c>
      <c r="S69">
        <f>DV!R43+DV!R44</f>
        <v>0</v>
      </c>
      <c r="T69">
        <f>DV!S43+DV!S44</f>
        <v>0</v>
      </c>
      <c r="U69">
        <f>DV!T43+DV!T44</f>
        <v>0</v>
      </c>
      <c r="V69">
        <f>DV!U43+DV!U44</f>
        <v>0</v>
      </c>
      <c r="W69">
        <f>DV!V43+DV!V44</f>
        <v>0</v>
      </c>
      <c r="X69">
        <f>DV!W43+DV!W44</f>
        <v>0</v>
      </c>
      <c r="Y69">
        <f>DV!X43+DV!X44</f>
        <v>0</v>
      </c>
      <c r="Z69">
        <f>DV!Y43+DV!Y44</f>
        <v>0</v>
      </c>
      <c r="AA69">
        <f>DV!Z43+DV!Z44</f>
        <v>0</v>
      </c>
      <c r="AB69">
        <f>DV!AA43+DV!AA44</f>
        <v>0</v>
      </c>
      <c r="AC69">
        <f>DV!AB43+DV!AB44</f>
        <v>0</v>
      </c>
      <c r="AD69">
        <f>DV!AC43+DV!AC44</f>
        <v>0</v>
      </c>
      <c r="AE69">
        <f>DV!AD43+DV!AD44</f>
        <v>0</v>
      </c>
      <c r="AF69">
        <f>DV!AE43+DV!AE44</f>
        <v>0</v>
      </c>
      <c r="AG69">
        <f>DV!AF43+DV!AF44</f>
        <v>0</v>
      </c>
      <c r="AH69">
        <f>DV!AG43+DV!AG44</f>
        <v>0</v>
      </c>
      <c r="AI69">
        <f>DV!AH43+DV!AH44</f>
        <v>0</v>
      </c>
      <c r="AJ69">
        <f>DV!AI43+DV!AI44</f>
        <v>0</v>
      </c>
      <c r="AK69">
        <f>DV!AJ43+DV!AJ44</f>
        <v>0</v>
      </c>
      <c r="AL69">
        <f>DV!AK43+DV!AK44</f>
        <v>0</v>
      </c>
      <c r="AM69">
        <f>DV!AL43+DV!AL44</f>
        <v>0</v>
      </c>
      <c r="AN69">
        <f>DV!AM43+DV!AM44</f>
        <v>0</v>
      </c>
      <c r="AO69">
        <f>DV!AN43+DV!AN44</f>
        <v>0</v>
      </c>
      <c r="AP69">
        <f>DV!AO43+DV!AO44</f>
        <v>0</v>
      </c>
      <c r="AQ69">
        <f>DV!AP43+DV!AP44</f>
        <v>0</v>
      </c>
      <c r="AR69">
        <f>DV!AQ43+DV!AQ44</f>
        <v>0</v>
      </c>
      <c r="AS69">
        <f>DV!AR43+DV!AR44</f>
        <v>0</v>
      </c>
      <c r="AT69">
        <f>DV!AS43+DV!AS44</f>
        <v>0</v>
      </c>
      <c r="AU69">
        <f>DV!AT43+DV!AT44</f>
        <v>0</v>
      </c>
      <c r="AV69">
        <f>DV!AU43+DV!AU44</f>
        <v>0</v>
      </c>
      <c r="AW69">
        <f>DV!AV43+DV!AV44</f>
        <v>0</v>
      </c>
      <c r="AX69">
        <f>DV!AW43+DV!AW44</f>
        <v>0</v>
      </c>
      <c r="AY69">
        <f>DV!AX43+DV!AX44</f>
        <v>0</v>
      </c>
      <c r="AZ69">
        <f>DV!AY43+DV!AY44</f>
        <v>0</v>
      </c>
      <c r="BA69">
        <f>DV!AZ43+DV!AZ44</f>
        <v>0</v>
      </c>
      <c r="BB69">
        <f>DV!BA43+DV!BA44</f>
        <v>0</v>
      </c>
      <c r="BC69">
        <f>DV!BB43+DV!BB44</f>
        <v>0</v>
      </c>
      <c r="BD69">
        <f>DV!BC43+DV!BC44</f>
        <v>0</v>
      </c>
      <c r="BE69">
        <f>DV!BD43+DV!BD44</f>
        <v>0</v>
      </c>
      <c r="BF69">
        <f>DV!BE43+DV!BE44</f>
        <v>0</v>
      </c>
      <c r="BG69">
        <f>DV!BF43+DV!BF44</f>
        <v>0</v>
      </c>
      <c r="BH69">
        <f>DV!BG43+DV!BG44</f>
        <v>0</v>
      </c>
      <c r="BI69">
        <f>DV!BH43+DV!BH44</f>
        <v>0</v>
      </c>
      <c r="BJ69">
        <f>DV!BI43+DV!BI44</f>
        <v>0</v>
      </c>
      <c r="BK69">
        <f>DV!BJ43+DV!BJ44</f>
        <v>0</v>
      </c>
      <c r="BL69">
        <f>DV!BK43+DV!BK44</f>
        <v>0</v>
      </c>
    </row>
    <row r="70" spans="1:64">
      <c r="A70">
        <v>26</v>
      </c>
      <c r="B70" s="5" t="str">
        <f>TEXT(VLOOKUP(A70,СВ[],2),"чч:мм")&amp;"-"&amp;TEXT(VLOOKUP(A70,СВ[],3),"чч:мм")</f>
        <v>14:00-15:00</v>
      </c>
      <c r="C70" s="6">
        <v>28</v>
      </c>
      <c r="D70" s="5" t="str">
        <f>TEXT(VLOOKUP(C70,СВ[],2),"чч:мм")&amp;"-"&amp;TEXT(VLOOKUP(C70,СВ[],3),"чч:мм")</f>
        <v>14:30-15:15</v>
      </c>
      <c r="E70">
        <f>DV!D43+DV!D45</f>
        <v>1</v>
      </c>
      <c r="F70">
        <f>DV!E43+DV!E45</f>
        <v>0</v>
      </c>
      <c r="G70">
        <f>DV!F43+DV!F45</f>
        <v>0</v>
      </c>
      <c r="H70">
        <f>DV!G43+DV!G45</f>
        <v>0</v>
      </c>
      <c r="I70">
        <f>DV!H43+DV!H45</f>
        <v>0</v>
      </c>
      <c r="J70">
        <f>DV!I43+DV!I45</f>
        <v>0</v>
      </c>
      <c r="K70">
        <f>DV!J43+DV!J45</f>
        <v>0</v>
      </c>
      <c r="L70">
        <f>DV!K43+DV!K45</f>
        <v>0</v>
      </c>
      <c r="M70">
        <f>DV!L43+DV!L45</f>
        <v>0</v>
      </c>
      <c r="N70">
        <f>DV!M43+DV!M45</f>
        <v>0</v>
      </c>
      <c r="O70">
        <f>DV!N43+DV!N45</f>
        <v>0</v>
      </c>
      <c r="P70">
        <f>DV!O43+DV!O45</f>
        <v>0</v>
      </c>
      <c r="Q70">
        <f>DV!P43+DV!P45</f>
        <v>0</v>
      </c>
      <c r="R70">
        <f>DV!Q43+DV!Q45</f>
        <v>0</v>
      </c>
      <c r="S70">
        <f>DV!R43+DV!R45</f>
        <v>0</v>
      </c>
      <c r="T70">
        <f>DV!S43+DV!S45</f>
        <v>0</v>
      </c>
      <c r="U70">
        <f>DV!T43+DV!T45</f>
        <v>0</v>
      </c>
      <c r="V70">
        <f>DV!U43+DV!U45</f>
        <v>0</v>
      </c>
      <c r="W70">
        <f>DV!V43+DV!V45</f>
        <v>0</v>
      </c>
      <c r="X70">
        <f>DV!W43+DV!W45</f>
        <v>0</v>
      </c>
      <c r="Y70">
        <f>DV!X43+DV!X45</f>
        <v>0</v>
      </c>
      <c r="Z70">
        <f>DV!Y43+DV!Y45</f>
        <v>0</v>
      </c>
      <c r="AA70">
        <f>DV!Z43+DV!Z45</f>
        <v>0</v>
      </c>
      <c r="AB70">
        <f>DV!AA43+DV!AA45</f>
        <v>0</v>
      </c>
      <c r="AC70">
        <f>DV!AB43+DV!AB45</f>
        <v>0</v>
      </c>
      <c r="AD70">
        <f>DV!AC43+DV!AC45</f>
        <v>0</v>
      </c>
      <c r="AE70">
        <f>DV!AD43+DV!AD45</f>
        <v>0</v>
      </c>
      <c r="AF70">
        <f>DV!AE43+DV!AE45</f>
        <v>0</v>
      </c>
      <c r="AG70">
        <f>DV!AF43+DV!AF45</f>
        <v>0</v>
      </c>
      <c r="AH70">
        <f>DV!AG43+DV!AG45</f>
        <v>0</v>
      </c>
      <c r="AI70">
        <f>DV!AH43+DV!AH45</f>
        <v>0</v>
      </c>
      <c r="AJ70">
        <f>DV!AI43+DV!AI45</f>
        <v>0</v>
      </c>
      <c r="AK70">
        <f>DV!AJ43+DV!AJ45</f>
        <v>0</v>
      </c>
      <c r="AL70">
        <f>DV!AK43+DV!AK45</f>
        <v>0</v>
      </c>
      <c r="AM70">
        <f>DV!AL43+DV!AL45</f>
        <v>0</v>
      </c>
      <c r="AN70">
        <f>DV!AM43+DV!AM45</f>
        <v>0</v>
      </c>
      <c r="AO70">
        <f>DV!AN43+DV!AN45</f>
        <v>0</v>
      </c>
      <c r="AP70">
        <f>DV!AO43+DV!AO45</f>
        <v>0</v>
      </c>
      <c r="AQ70">
        <f>DV!AP43+DV!AP45</f>
        <v>0</v>
      </c>
      <c r="AR70">
        <f>DV!AQ43+DV!AQ45</f>
        <v>0</v>
      </c>
      <c r="AS70">
        <f>DV!AR43+DV!AR45</f>
        <v>0</v>
      </c>
      <c r="AT70">
        <f>DV!AS43+DV!AS45</f>
        <v>0</v>
      </c>
      <c r="AU70">
        <f>DV!AT43+DV!AT45</f>
        <v>0</v>
      </c>
      <c r="AV70">
        <f>DV!AU43+DV!AU45</f>
        <v>0</v>
      </c>
      <c r="AW70">
        <f>DV!AV43+DV!AV45</f>
        <v>0</v>
      </c>
      <c r="AX70">
        <f>DV!AW43+DV!AW45</f>
        <v>0</v>
      </c>
      <c r="AY70">
        <f>DV!AX43+DV!AX45</f>
        <v>0</v>
      </c>
      <c r="AZ70">
        <f>DV!AY43+DV!AY45</f>
        <v>0</v>
      </c>
      <c r="BA70">
        <f>DV!AZ43+DV!AZ45</f>
        <v>0</v>
      </c>
      <c r="BB70">
        <f>DV!BA43+DV!BA45</f>
        <v>0</v>
      </c>
      <c r="BC70">
        <f>DV!BB43+DV!BB45</f>
        <v>0</v>
      </c>
      <c r="BD70">
        <f>DV!BC43+DV!BC45</f>
        <v>0</v>
      </c>
      <c r="BE70">
        <f>DV!BD43+DV!BD45</f>
        <v>0</v>
      </c>
      <c r="BF70">
        <f>DV!BE43+DV!BE45</f>
        <v>0</v>
      </c>
      <c r="BG70">
        <f>DV!BF43+DV!BF45</f>
        <v>0</v>
      </c>
      <c r="BH70">
        <f>DV!BG43+DV!BG45</f>
        <v>0</v>
      </c>
      <c r="BI70">
        <f>DV!BH43+DV!BH45</f>
        <v>0</v>
      </c>
      <c r="BJ70">
        <f>DV!BI43+DV!BI45</f>
        <v>0</v>
      </c>
      <c r="BK70">
        <f>DV!BJ43+DV!BJ45</f>
        <v>0</v>
      </c>
      <c r="BL70">
        <f>DV!BK43+DV!BK45</f>
        <v>0</v>
      </c>
    </row>
    <row r="71" spans="1:64">
      <c r="A71">
        <v>26</v>
      </c>
      <c r="B71" s="5" t="str">
        <f>TEXT(VLOOKUP(A71,СВ[],2),"чч:мм")&amp;"-"&amp;TEXT(VLOOKUP(A71,СВ[],3),"чч:мм")</f>
        <v>14:00-15:00</v>
      </c>
      <c r="C71" s="6">
        <v>29</v>
      </c>
      <c r="D71" s="5" t="str">
        <f>TEXT(VLOOKUP(C71,СВ[],2),"чч:мм")&amp;"-"&amp;TEXT(VLOOKUP(C71,СВ[],3),"чч:мм")</f>
        <v>14:45-15:30</v>
      </c>
      <c r="E71">
        <f>DV!D43+DV!D46</f>
        <v>1</v>
      </c>
      <c r="F71">
        <f>DV!E43+DV!E46</f>
        <v>0</v>
      </c>
      <c r="G71">
        <f>DV!F43+DV!F46</f>
        <v>0</v>
      </c>
      <c r="H71">
        <f>DV!G43+DV!G46</f>
        <v>0</v>
      </c>
      <c r="I71">
        <f>DV!H43+DV!H46</f>
        <v>0</v>
      </c>
      <c r="J71">
        <f>DV!I43+DV!I46</f>
        <v>0</v>
      </c>
      <c r="K71">
        <f>DV!J43+DV!J46</f>
        <v>0</v>
      </c>
      <c r="L71">
        <f>DV!K43+DV!K46</f>
        <v>0</v>
      </c>
      <c r="M71">
        <f>DV!L43+DV!L46</f>
        <v>0</v>
      </c>
      <c r="N71">
        <f>DV!M43+DV!M46</f>
        <v>0</v>
      </c>
      <c r="O71">
        <f>DV!N43+DV!N46</f>
        <v>0</v>
      </c>
      <c r="P71">
        <f>DV!O43+DV!O46</f>
        <v>0</v>
      </c>
      <c r="Q71">
        <f>DV!P43+DV!P46</f>
        <v>0</v>
      </c>
      <c r="R71">
        <f>DV!Q43+DV!Q46</f>
        <v>0</v>
      </c>
      <c r="S71">
        <f>DV!R43+DV!R46</f>
        <v>0</v>
      </c>
      <c r="T71">
        <f>DV!S43+DV!S46</f>
        <v>0</v>
      </c>
      <c r="U71">
        <f>DV!T43+DV!T46</f>
        <v>0</v>
      </c>
      <c r="V71">
        <f>DV!U43+DV!U46</f>
        <v>0</v>
      </c>
      <c r="W71">
        <f>DV!V43+DV!V46</f>
        <v>0</v>
      </c>
      <c r="X71">
        <f>DV!W43+DV!W46</f>
        <v>0</v>
      </c>
      <c r="Y71">
        <f>DV!X43+DV!X46</f>
        <v>0</v>
      </c>
      <c r="Z71">
        <f>DV!Y43+DV!Y46</f>
        <v>0</v>
      </c>
      <c r="AA71">
        <f>DV!Z43+DV!Z46</f>
        <v>0</v>
      </c>
      <c r="AB71">
        <f>DV!AA43+DV!AA46</f>
        <v>0</v>
      </c>
      <c r="AC71">
        <f>DV!AB43+DV!AB46</f>
        <v>0</v>
      </c>
      <c r="AD71">
        <f>DV!AC43+DV!AC46</f>
        <v>0</v>
      </c>
      <c r="AE71">
        <f>DV!AD43+DV!AD46</f>
        <v>0</v>
      </c>
      <c r="AF71">
        <f>DV!AE43+DV!AE46</f>
        <v>0</v>
      </c>
      <c r="AG71">
        <f>DV!AF43+DV!AF46</f>
        <v>0</v>
      </c>
      <c r="AH71">
        <f>DV!AG43+DV!AG46</f>
        <v>0</v>
      </c>
      <c r="AI71">
        <f>DV!AH43+DV!AH46</f>
        <v>0</v>
      </c>
      <c r="AJ71">
        <f>DV!AI43+DV!AI46</f>
        <v>0</v>
      </c>
      <c r="AK71">
        <f>DV!AJ43+DV!AJ46</f>
        <v>0</v>
      </c>
      <c r="AL71">
        <f>DV!AK43+DV!AK46</f>
        <v>0</v>
      </c>
      <c r="AM71">
        <f>DV!AL43+DV!AL46</f>
        <v>0</v>
      </c>
      <c r="AN71">
        <f>DV!AM43+DV!AM46</f>
        <v>0</v>
      </c>
      <c r="AO71">
        <f>DV!AN43+DV!AN46</f>
        <v>0</v>
      </c>
      <c r="AP71">
        <f>DV!AO43+DV!AO46</f>
        <v>0</v>
      </c>
      <c r="AQ71">
        <f>DV!AP43+DV!AP46</f>
        <v>0</v>
      </c>
      <c r="AR71">
        <f>DV!AQ43+DV!AQ46</f>
        <v>0</v>
      </c>
      <c r="AS71">
        <f>DV!AR43+DV!AR46</f>
        <v>0</v>
      </c>
      <c r="AT71">
        <f>DV!AS43+DV!AS46</f>
        <v>0</v>
      </c>
      <c r="AU71">
        <f>DV!AT43+DV!AT46</f>
        <v>0</v>
      </c>
      <c r="AV71">
        <f>DV!AU43+DV!AU46</f>
        <v>0</v>
      </c>
      <c r="AW71">
        <f>DV!AV43+DV!AV46</f>
        <v>0</v>
      </c>
      <c r="AX71">
        <f>DV!AW43+DV!AW46</f>
        <v>0</v>
      </c>
      <c r="AY71">
        <f>DV!AX43+DV!AX46</f>
        <v>0</v>
      </c>
      <c r="AZ71">
        <f>DV!AY43+DV!AY46</f>
        <v>0</v>
      </c>
      <c r="BA71">
        <f>DV!AZ43+DV!AZ46</f>
        <v>0</v>
      </c>
      <c r="BB71">
        <f>DV!BA43+DV!BA46</f>
        <v>0</v>
      </c>
      <c r="BC71">
        <f>DV!BB43+DV!BB46</f>
        <v>0</v>
      </c>
      <c r="BD71">
        <f>DV!BC43+DV!BC46</f>
        <v>0</v>
      </c>
      <c r="BE71">
        <f>DV!BD43+DV!BD46</f>
        <v>0</v>
      </c>
      <c r="BF71">
        <f>DV!BE43+DV!BE46</f>
        <v>0</v>
      </c>
      <c r="BG71">
        <f>DV!BF43+DV!BF46</f>
        <v>0</v>
      </c>
      <c r="BH71">
        <f>DV!BG43+DV!BG46</f>
        <v>0</v>
      </c>
      <c r="BI71">
        <f>DV!BH43+DV!BH46</f>
        <v>0</v>
      </c>
      <c r="BJ71">
        <f>DV!BI43+DV!BI46</f>
        <v>0</v>
      </c>
      <c r="BK71">
        <f>DV!BJ43+DV!BJ46</f>
        <v>0</v>
      </c>
      <c r="BL71">
        <f>DV!BK43+DV!BK46</f>
        <v>0</v>
      </c>
    </row>
    <row r="72" spans="1:64">
      <c r="A72">
        <v>27</v>
      </c>
      <c r="B72" s="5" t="str">
        <f>TEXT(VLOOKUP(A72,СВ[],2),"чч:мм")&amp;"-"&amp;TEXT(VLOOKUP(A72,СВ[],3),"чч:мм")</f>
        <v>14:15-15:00</v>
      </c>
      <c r="C72" s="6">
        <v>28</v>
      </c>
      <c r="D72" s="5" t="str">
        <f>TEXT(VLOOKUP(C72,СВ[],2),"чч:мм")&amp;"-"&amp;TEXT(VLOOKUP(C72,СВ[],3),"чч:мм")</f>
        <v>14:30-15:15</v>
      </c>
      <c r="E72">
        <f>DV!D44+DV!D45</f>
        <v>0</v>
      </c>
      <c r="F72">
        <f>DV!E44+DV!E45</f>
        <v>0</v>
      </c>
      <c r="G72">
        <f>DV!F44+DV!F45</f>
        <v>0</v>
      </c>
      <c r="H72">
        <f>DV!G44+DV!G45</f>
        <v>0</v>
      </c>
      <c r="I72">
        <f>DV!H44+DV!H45</f>
        <v>0</v>
      </c>
      <c r="J72">
        <f>DV!I44+DV!I45</f>
        <v>0</v>
      </c>
      <c r="K72">
        <f>DV!J44+DV!J45</f>
        <v>0</v>
      </c>
      <c r="L72">
        <f>DV!K44+DV!K45</f>
        <v>0</v>
      </c>
      <c r="M72">
        <f>DV!L44+DV!L45</f>
        <v>0</v>
      </c>
      <c r="N72">
        <f>DV!M44+DV!M45</f>
        <v>0</v>
      </c>
      <c r="O72">
        <f>DV!N44+DV!N45</f>
        <v>0</v>
      </c>
      <c r="P72">
        <f>DV!O44+DV!O45</f>
        <v>0</v>
      </c>
      <c r="Q72">
        <f>DV!P44+DV!P45</f>
        <v>0</v>
      </c>
      <c r="R72">
        <f>DV!Q44+DV!Q45</f>
        <v>0</v>
      </c>
      <c r="S72">
        <f>DV!R44+DV!R45</f>
        <v>0</v>
      </c>
      <c r="T72">
        <f>DV!S44+DV!S45</f>
        <v>0</v>
      </c>
      <c r="U72">
        <f>DV!T44+DV!T45</f>
        <v>0</v>
      </c>
      <c r="V72">
        <f>DV!U44+DV!U45</f>
        <v>0</v>
      </c>
      <c r="W72">
        <f>DV!V44+DV!V45</f>
        <v>0</v>
      </c>
      <c r="X72">
        <f>DV!W44+DV!W45</f>
        <v>0</v>
      </c>
      <c r="Y72">
        <f>DV!X44+DV!X45</f>
        <v>0</v>
      </c>
      <c r="Z72">
        <f>DV!Y44+DV!Y45</f>
        <v>0</v>
      </c>
      <c r="AA72">
        <f>DV!Z44+DV!Z45</f>
        <v>0</v>
      </c>
      <c r="AB72">
        <f>DV!AA44+DV!AA45</f>
        <v>0</v>
      </c>
      <c r="AC72">
        <f>DV!AB44+DV!AB45</f>
        <v>0</v>
      </c>
      <c r="AD72">
        <f>DV!AC44+DV!AC45</f>
        <v>0</v>
      </c>
      <c r="AE72">
        <f>DV!AD44+DV!AD45</f>
        <v>0</v>
      </c>
      <c r="AF72">
        <f>DV!AE44+DV!AE45</f>
        <v>0</v>
      </c>
      <c r="AG72">
        <f>DV!AF44+DV!AF45</f>
        <v>0</v>
      </c>
      <c r="AH72">
        <f>DV!AG44+DV!AG45</f>
        <v>0</v>
      </c>
      <c r="AI72">
        <f>DV!AH44+DV!AH45</f>
        <v>0</v>
      </c>
      <c r="AJ72">
        <f>DV!AI44+DV!AI45</f>
        <v>0</v>
      </c>
      <c r="AK72">
        <f>DV!AJ44+DV!AJ45</f>
        <v>0</v>
      </c>
      <c r="AL72">
        <f>DV!AK44+DV!AK45</f>
        <v>0</v>
      </c>
      <c r="AM72">
        <f>DV!AL44+DV!AL45</f>
        <v>0</v>
      </c>
      <c r="AN72">
        <f>DV!AM44+DV!AM45</f>
        <v>0</v>
      </c>
      <c r="AO72">
        <f>DV!AN44+DV!AN45</f>
        <v>0</v>
      </c>
      <c r="AP72">
        <f>DV!AO44+DV!AO45</f>
        <v>0</v>
      </c>
      <c r="AQ72">
        <f>DV!AP44+DV!AP45</f>
        <v>0</v>
      </c>
      <c r="AR72">
        <f>DV!AQ44+DV!AQ45</f>
        <v>0</v>
      </c>
      <c r="AS72">
        <f>DV!AR44+DV!AR45</f>
        <v>0</v>
      </c>
      <c r="AT72">
        <f>DV!AS44+DV!AS45</f>
        <v>0</v>
      </c>
      <c r="AU72">
        <f>DV!AT44+DV!AT45</f>
        <v>0</v>
      </c>
      <c r="AV72">
        <f>DV!AU44+DV!AU45</f>
        <v>0</v>
      </c>
      <c r="AW72">
        <f>DV!AV44+DV!AV45</f>
        <v>0</v>
      </c>
      <c r="AX72">
        <f>DV!AW44+DV!AW45</f>
        <v>0</v>
      </c>
      <c r="AY72">
        <f>DV!AX44+DV!AX45</f>
        <v>0</v>
      </c>
      <c r="AZ72">
        <f>DV!AY44+DV!AY45</f>
        <v>0</v>
      </c>
      <c r="BA72">
        <f>DV!AZ44+DV!AZ45</f>
        <v>0</v>
      </c>
      <c r="BB72">
        <f>DV!BA44+DV!BA45</f>
        <v>0</v>
      </c>
      <c r="BC72">
        <f>DV!BB44+DV!BB45</f>
        <v>0</v>
      </c>
      <c r="BD72">
        <f>DV!BC44+DV!BC45</f>
        <v>0</v>
      </c>
      <c r="BE72">
        <f>DV!BD44+DV!BD45</f>
        <v>0</v>
      </c>
      <c r="BF72">
        <f>DV!BE44+DV!BE45</f>
        <v>0</v>
      </c>
      <c r="BG72">
        <f>DV!BF44+DV!BF45</f>
        <v>0</v>
      </c>
      <c r="BH72">
        <f>DV!BG44+DV!BG45</f>
        <v>0</v>
      </c>
      <c r="BI72">
        <f>DV!BH44+DV!BH45</f>
        <v>0</v>
      </c>
      <c r="BJ72">
        <f>DV!BI44+DV!BI45</f>
        <v>0</v>
      </c>
      <c r="BK72">
        <f>DV!BJ44+DV!BJ45</f>
        <v>0</v>
      </c>
      <c r="BL72">
        <f>DV!BK44+DV!BK45</f>
        <v>0</v>
      </c>
    </row>
    <row r="73" spans="1:64">
      <c r="A73">
        <v>27</v>
      </c>
      <c r="B73" s="5" t="str">
        <f>TEXT(VLOOKUP(A73,СВ[],2),"чч:мм")&amp;"-"&amp;TEXT(VLOOKUP(A73,СВ[],3),"чч:мм")</f>
        <v>14:15-15:00</v>
      </c>
      <c r="C73" s="6">
        <v>29</v>
      </c>
      <c r="D73" s="5" t="str">
        <f>TEXT(VLOOKUP(C73,СВ[],2),"чч:мм")&amp;"-"&amp;TEXT(VLOOKUP(C73,СВ[],3),"чч:мм")</f>
        <v>14:45-15:30</v>
      </c>
      <c r="E73">
        <f>DV!D44+DV!D46</f>
        <v>0</v>
      </c>
      <c r="F73">
        <f>DV!E44+DV!E46</f>
        <v>0</v>
      </c>
      <c r="G73">
        <f>DV!F44+DV!F46</f>
        <v>0</v>
      </c>
      <c r="H73">
        <f>DV!G44+DV!G46</f>
        <v>0</v>
      </c>
      <c r="I73">
        <f>DV!H44+DV!H46</f>
        <v>0</v>
      </c>
      <c r="J73">
        <f>DV!I44+DV!I46</f>
        <v>0</v>
      </c>
      <c r="K73">
        <f>DV!J44+DV!J46</f>
        <v>0</v>
      </c>
      <c r="L73">
        <f>DV!K44+DV!K46</f>
        <v>0</v>
      </c>
      <c r="M73">
        <f>DV!L44+DV!L46</f>
        <v>0</v>
      </c>
      <c r="N73">
        <f>DV!M44+DV!M46</f>
        <v>0</v>
      </c>
      <c r="O73">
        <f>DV!N44+DV!N46</f>
        <v>0</v>
      </c>
      <c r="P73">
        <f>DV!O44+DV!O46</f>
        <v>0</v>
      </c>
      <c r="Q73">
        <f>DV!P44+DV!P46</f>
        <v>0</v>
      </c>
      <c r="R73">
        <f>DV!Q44+DV!Q46</f>
        <v>0</v>
      </c>
      <c r="S73">
        <f>DV!R44+DV!R46</f>
        <v>0</v>
      </c>
      <c r="T73">
        <f>DV!S44+DV!S46</f>
        <v>0</v>
      </c>
      <c r="U73">
        <f>DV!T44+DV!T46</f>
        <v>0</v>
      </c>
      <c r="V73">
        <f>DV!U44+DV!U46</f>
        <v>0</v>
      </c>
      <c r="W73">
        <f>DV!V44+DV!V46</f>
        <v>0</v>
      </c>
      <c r="X73">
        <f>DV!W44+DV!W46</f>
        <v>0</v>
      </c>
      <c r="Y73">
        <f>DV!X44+DV!X46</f>
        <v>0</v>
      </c>
      <c r="Z73">
        <f>DV!Y44+DV!Y46</f>
        <v>0</v>
      </c>
      <c r="AA73">
        <f>DV!Z44+DV!Z46</f>
        <v>0</v>
      </c>
      <c r="AB73">
        <f>DV!AA44+DV!AA46</f>
        <v>0</v>
      </c>
      <c r="AC73">
        <f>DV!AB44+DV!AB46</f>
        <v>0</v>
      </c>
      <c r="AD73">
        <f>DV!AC44+DV!AC46</f>
        <v>0</v>
      </c>
      <c r="AE73">
        <f>DV!AD44+DV!AD46</f>
        <v>0</v>
      </c>
      <c r="AF73">
        <f>DV!AE44+DV!AE46</f>
        <v>0</v>
      </c>
      <c r="AG73">
        <f>DV!AF44+DV!AF46</f>
        <v>0</v>
      </c>
      <c r="AH73">
        <f>DV!AG44+DV!AG46</f>
        <v>0</v>
      </c>
      <c r="AI73">
        <f>DV!AH44+DV!AH46</f>
        <v>0</v>
      </c>
      <c r="AJ73">
        <f>DV!AI44+DV!AI46</f>
        <v>0</v>
      </c>
      <c r="AK73">
        <f>DV!AJ44+DV!AJ46</f>
        <v>0</v>
      </c>
      <c r="AL73">
        <f>DV!AK44+DV!AK46</f>
        <v>0</v>
      </c>
      <c r="AM73">
        <f>DV!AL44+DV!AL46</f>
        <v>0</v>
      </c>
      <c r="AN73">
        <f>DV!AM44+DV!AM46</f>
        <v>0</v>
      </c>
      <c r="AO73">
        <f>DV!AN44+DV!AN46</f>
        <v>0</v>
      </c>
      <c r="AP73">
        <f>DV!AO44+DV!AO46</f>
        <v>0</v>
      </c>
      <c r="AQ73">
        <f>DV!AP44+DV!AP46</f>
        <v>0</v>
      </c>
      <c r="AR73">
        <f>DV!AQ44+DV!AQ46</f>
        <v>0</v>
      </c>
      <c r="AS73">
        <f>DV!AR44+DV!AR46</f>
        <v>0</v>
      </c>
      <c r="AT73">
        <f>DV!AS44+DV!AS46</f>
        <v>0</v>
      </c>
      <c r="AU73">
        <f>DV!AT44+DV!AT46</f>
        <v>0</v>
      </c>
      <c r="AV73">
        <f>DV!AU44+DV!AU46</f>
        <v>0</v>
      </c>
      <c r="AW73">
        <f>DV!AV44+DV!AV46</f>
        <v>0</v>
      </c>
      <c r="AX73">
        <f>DV!AW44+DV!AW46</f>
        <v>0</v>
      </c>
      <c r="AY73">
        <f>DV!AX44+DV!AX46</f>
        <v>0</v>
      </c>
      <c r="AZ73">
        <f>DV!AY44+DV!AY46</f>
        <v>0</v>
      </c>
      <c r="BA73">
        <f>DV!AZ44+DV!AZ46</f>
        <v>0</v>
      </c>
      <c r="BB73">
        <f>DV!BA44+DV!BA46</f>
        <v>0</v>
      </c>
      <c r="BC73">
        <f>DV!BB44+DV!BB46</f>
        <v>0</v>
      </c>
      <c r="BD73">
        <f>DV!BC44+DV!BC46</f>
        <v>0</v>
      </c>
      <c r="BE73">
        <f>DV!BD44+DV!BD46</f>
        <v>0</v>
      </c>
      <c r="BF73">
        <f>DV!BE44+DV!BE46</f>
        <v>0</v>
      </c>
      <c r="BG73">
        <f>DV!BF44+DV!BF46</f>
        <v>0</v>
      </c>
      <c r="BH73">
        <f>DV!BG44+DV!BG46</f>
        <v>0</v>
      </c>
      <c r="BI73">
        <f>DV!BH44+DV!BH46</f>
        <v>0</v>
      </c>
      <c r="BJ73">
        <f>DV!BI44+DV!BI46</f>
        <v>0</v>
      </c>
      <c r="BK73">
        <f>DV!BJ44+DV!BJ46</f>
        <v>0</v>
      </c>
      <c r="BL73">
        <f>DV!BK44+DV!BK46</f>
        <v>0</v>
      </c>
    </row>
    <row r="74" spans="1:64">
      <c r="A74">
        <v>28</v>
      </c>
      <c r="B74" s="5" t="str">
        <f>TEXT(VLOOKUP(A74,СВ[],2),"чч:мм")&amp;"-"&amp;TEXT(VLOOKUP(A74,СВ[],3),"чч:мм")</f>
        <v>14:30-15:15</v>
      </c>
      <c r="C74" s="6">
        <v>29</v>
      </c>
      <c r="D74" s="5" t="str">
        <f>TEXT(VLOOKUP(C74,СВ[],2),"чч:мм")&amp;"-"&amp;TEXT(VLOOKUP(C74,СВ[],3),"чч:мм")</f>
        <v>14:45-15:30</v>
      </c>
      <c r="E74">
        <f>DV!D45+DV!D46</f>
        <v>0</v>
      </c>
      <c r="F74">
        <f>DV!E45+DV!E46</f>
        <v>0</v>
      </c>
      <c r="G74">
        <f>DV!F45+DV!F46</f>
        <v>0</v>
      </c>
      <c r="H74">
        <f>DV!G45+DV!G46</f>
        <v>0</v>
      </c>
      <c r="I74">
        <f>DV!H45+DV!H46</f>
        <v>0</v>
      </c>
      <c r="J74">
        <f>DV!I45+DV!I46</f>
        <v>0</v>
      </c>
      <c r="K74">
        <f>DV!J45+DV!J46</f>
        <v>0</v>
      </c>
      <c r="L74">
        <f>DV!K45+DV!K46</f>
        <v>0</v>
      </c>
      <c r="M74">
        <f>DV!L45+DV!L46</f>
        <v>0</v>
      </c>
      <c r="N74">
        <f>DV!M45+DV!M46</f>
        <v>0</v>
      </c>
      <c r="O74">
        <f>DV!N45+DV!N46</f>
        <v>0</v>
      </c>
      <c r="P74">
        <f>DV!O45+DV!O46</f>
        <v>0</v>
      </c>
      <c r="Q74">
        <f>DV!P45+DV!P46</f>
        <v>0</v>
      </c>
      <c r="R74">
        <f>DV!Q45+DV!Q46</f>
        <v>0</v>
      </c>
      <c r="S74">
        <f>DV!R45+DV!R46</f>
        <v>0</v>
      </c>
      <c r="T74">
        <f>DV!S45+DV!S46</f>
        <v>0</v>
      </c>
      <c r="U74">
        <f>DV!T45+DV!T46</f>
        <v>0</v>
      </c>
      <c r="V74">
        <f>DV!U45+DV!U46</f>
        <v>0</v>
      </c>
      <c r="W74">
        <f>DV!V45+DV!V46</f>
        <v>0</v>
      </c>
      <c r="X74">
        <f>DV!W45+DV!W46</f>
        <v>0</v>
      </c>
      <c r="Y74">
        <f>DV!X45+DV!X46</f>
        <v>0</v>
      </c>
      <c r="Z74">
        <f>DV!Y45+DV!Y46</f>
        <v>0</v>
      </c>
      <c r="AA74">
        <f>DV!Z45+DV!Z46</f>
        <v>0</v>
      </c>
      <c r="AB74">
        <f>DV!AA45+DV!AA46</f>
        <v>0</v>
      </c>
      <c r="AC74">
        <f>DV!AB45+DV!AB46</f>
        <v>0</v>
      </c>
      <c r="AD74">
        <f>DV!AC45+DV!AC46</f>
        <v>0</v>
      </c>
      <c r="AE74">
        <f>DV!AD45+DV!AD46</f>
        <v>0</v>
      </c>
      <c r="AF74">
        <f>DV!AE45+DV!AE46</f>
        <v>0</v>
      </c>
      <c r="AG74">
        <f>DV!AF45+DV!AF46</f>
        <v>0</v>
      </c>
      <c r="AH74">
        <f>DV!AG45+DV!AG46</f>
        <v>0</v>
      </c>
      <c r="AI74">
        <f>DV!AH45+DV!AH46</f>
        <v>0</v>
      </c>
      <c r="AJ74">
        <f>DV!AI45+DV!AI46</f>
        <v>0</v>
      </c>
      <c r="AK74">
        <f>DV!AJ45+DV!AJ46</f>
        <v>0</v>
      </c>
      <c r="AL74">
        <f>DV!AK45+DV!AK46</f>
        <v>0</v>
      </c>
      <c r="AM74">
        <f>DV!AL45+DV!AL46</f>
        <v>0</v>
      </c>
      <c r="AN74">
        <f>DV!AM45+DV!AM46</f>
        <v>0</v>
      </c>
      <c r="AO74">
        <f>DV!AN45+DV!AN46</f>
        <v>0</v>
      </c>
      <c r="AP74">
        <f>DV!AO45+DV!AO46</f>
        <v>0</v>
      </c>
      <c r="AQ74">
        <f>DV!AP45+DV!AP46</f>
        <v>0</v>
      </c>
      <c r="AR74">
        <f>DV!AQ45+DV!AQ46</f>
        <v>0</v>
      </c>
      <c r="AS74">
        <f>DV!AR45+DV!AR46</f>
        <v>0</v>
      </c>
      <c r="AT74">
        <f>DV!AS45+DV!AS46</f>
        <v>0</v>
      </c>
      <c r="AU74">
        <f>DV!AT45+DV!AT46</f>
        <v>0</v>
      </c>
      <c r="AV74">
        <f>DV!AU45+DV!AU46</f>
        <v>0</v>
      </c>
      <c r="AW74">
        <f>DV!AV45+DV!AV46</f>
        <v>0</v>
      </c>
      <c r="AX74">
        <f>DV!AW45+DV!AW46</f>
        <v>0</v>
      </c>
      <c r="AY74">
        <f>DV!AX45+DV!AX46</f>
        <v>0</v>
      </c>
      <c r="AZ74">
        <f>DV!AY45+DV!AY46</f>
        <v>0</v>
      </c>
      <c r="BA74">
        <f>DV!AZ45+DV!AZ46</f>
        <v>0</v>
      </c>
      <c r="BB74">
        <f>DV!BA45+DV!BA46</f>
        <v>0</v>
      </c>
      <c r="BC74">
        <f>DV!BB45+DV!BB46</f>
        <v>0</v>
      </c>
      <c r="BD74">
        <f>DV!BC45+DV!BC46</f>
        <v>0</v>
      </c>
      <c r="BE74">
        <f>DV!BD45+DV!BD46</f>
        <v>0</v>
      </c>
      <c r="BF74">
        <f>DV!BE45+DV!BE46</f>
        <v>0</v>
      </c>
      <c r="BG74">
        <f>DV!BF45+DV!BF46</f>
        <v>0</v>
      </c>
      <c r="BH74">
        <f>DV!BG45+DV!BG46</f>
        <v>0</v>
      </c>
      <c r="BI74">
        <f>DV!BH45+DV!BH46</f>
        <v>0</v>
      </c>
      <c r="BJ74">
        <f>DV!BI45+DV!BI46</f>
        <v>0</v>
      </c>
      <c r="BK74">
        <f>DV!BJ45+DV!BJ46</f>
        <v>0</v>
      </c>
      <c r="BL74">
        <f>DV!BK45+DV!BK46</f>
        <v>0</v>
      </c>
    </row>
    <row r="75" spans="1:64">
      <c r="A75">
        <v>28</v>
      </c>
      <c r="B75" s="5" t="str">
        <f>TEXT(VLOOKUP(A75,СВ[],2),"чч:мм")&amp;"-"&amp;TEXT(VLOOKUP(A75,СВ[],3),"чч:мм")</f>
        <v>14:30-15:15</v>
      </c>
      <c r="C75" s="6">
        <v>30</v>
      </c>
      <c r="D75" s="5" t="str">
        <f>TEXT(VLOOKUP(C75,СВ[],2),"чч:мм")&amp;"-"&amp;TEXT(VLOOKUP(C75,СВ[],3),"чч:мм")</f>
        <v>15:00-16:00</v>
      </c>
      <c r="E75">
        <f>DV!D45+DV!D47</f>
        <v>0</v>
      </c>
      <c r="F75">
        <f>DV!E45+DV!E47</f>
        <v>0</v>
      </c>
      <c r="G75">
        <f>DV!F45+DV!F47</f>
        <v>0</v>
      </c>
      <c r="H75">
        <f>DV!G45+DV!G47</f>
        <v>0</v>
      </c>
      <c r="I75">
        <f>DV!H45+DV!H47</f>
        <v>0</v>
      </c>
      <c r="J75">
        <f>DV!I45+DV!I47</f>
        <v>0</v>
      </c>
      <c r="K75">
        <f>DV!J45+DV!J47</f>
        <v>0</v>
      </c>
      <c r="L75">
        <f>DV!K45+DV!K47</f>
        <v>0</v>
      </c>
      <c r="M75">
        <f>DV!L45+DV!L47</f>
        <v>0</v>
      </c>
      <c r="N75">
        <f>DV!M45+DV!M47</f>
        <v>0</v>
      </c>
      <c r="O75">
        <f>DV!N45+DV!N47</f>
        <v>0</v>
      </c>
      <c r="P75">
        <f>DV!O45+DV!O47</f>
        <v>0</v>
      </c>
      <c r="Q75">
        <f>DV!P45+DV!P47</f>
        <v>0</v>
      </c>
      <c r="R75">
        <f>DV!Q45+DV!Q47</f>
        <v>0</v>
      </c>
      <c r="S75">
        <f>DV!R45+DV!R47</f>
        <v>0</v>
      </c>
      <c r="T75">
        <f>DV!S45+DV!S47</f>
        <v>0</v>
      </c>
      <c r="U75">
        <f>DV!T45+DV!T47</f>
        <v>0</v>
      </c>
      <c r="V75">
        <f>DV!U45+DV!U47</f>
        <v>0</v>
      </c>
      <c r="W75">
        <f>DV!V45+DV!V47</f>
        <v>0</v>
      </c>
      <c r="X75">
        <f>DV!W45+DV!W47</f>
        <v>0</v>
      </c>
      <c r="Y75">
        <f>DV!X45+DV!X47</f>
        <v>0</v>
      </c>
      <c r="Z75">
        <f>DV!Y45+DV!Y47</f>
        <v>0</v>
      </c>
      <c r="AA75">
        <f>DV!Z45+DV!Z47</f>
        <v>0</v>
      </c>
      <c r="AB75">
        <f>DV!AA45+DV!AA47</f>
        <v>0</v>
      </c>
      <c r="AC75">
        <f>DV!AB45+DV!AB47</f>
        <v>0</v>
      </c>
      <c r="AD75">
        <f>DV!AC45+DV!AC47</f>
        <v>0</v>
      </c>
      <c r="AE75">
        <f>DV!AD45+DV!AD47</f>
        <v>0</v>
      </c>
      <c r="AF75">
        <f>DV!AE45+DV!AE47</f>
        <v>0</v>
      </c>
      <c r="AG75">
        <f>DV!AF45+DV!AF47</f>
        <v>0</v>
      </c>
      <c r="AH75">
        <f>DV!AG45+DV!AG47</f>
        <v>0</v>
      </c>
      <c r="AI75">
        <f>DV!AH45+DV!AH47</f>
        <v>0</v>
      </c>
      <c r="AJ75">
        <f>DV!AI45+DV!AI47</f>
        <v>0</v>
      </c>
      <c r="AK75">
        <f>DV!AJ45+DV!AJ47</f>
        <v>0</v>
      </c>
      <c r="AL75">
        <f>DV!AK45+DV!AK47</f>
        <v>0</v>
      </c>
      <c r="AM75">
        <f>DV!AL45+DV!AL47</f>
        <v>0</v>
      </c>
      <c r="AN75">
        <f>DV!AM45+DV!AM47</f>
        <v>0</v>
      </c>
      <c r="AO75">
        <f>DV!AN45+DV!AN47</f>
        <v>0</v>
      </c>
      <c r="AP75">
        <f>DV!AO45+DV!AO47</f>
        <v>0</v>
      </c>
      <c r="AQ75">
        <f>DV!AP45+DV!AP47</f>
        <v>0</v>
      </c>
      <c r="AR75">
        <f>DV!AQ45+DV!AQ47</f>
        <v>0</v>
      </c>
      <c r="AS75">
        <f>DV!AR45+DV!AR47</f>
        <v>0</v>
      </c>
      <c r="AT75">
        <f>DV!AS45+DV!AS47</f>
        <v>0</v>
      </c>
      <c r="AU75">
        <f>DV!AT45+DV!AT47</f>
        <v>0</v>
      </c>
      <c r="AV75">
        <f>DV!AU45+DV!AU47</f>
        <v>0</v>
      </c>
      <c r="AW75">
        <f>DV!AV45+DV!AV47</f>
        <v>0</v>
      </c>
      <c r="AX75">
        <f>DV!AW45+DV!AW47</f>
        <v>0</v>
      </c>
      <c r="AY75">
        <f>DV!AX45+DV!AX47</f>
        <v>0</v>
      </c>
      <c r="AZ75">
        <f>DV!AY45+DV!AY47</f>
        <v>0</v>
      </c>
      <c r="BA75">
        <f>DV!AZ45+DV!AZ47</f>
        <v>0</v>
      </c>
      <c r="BB75">
        <f>DV!BA45+DV!BA47</f>
        <v>0</v>
      </c>
      <c r="BC75">
        <f>DV!BB45+DV!BB47</f>
        <v>0</v>
      </c>
      <c r="BD75">
        <f>DV!BC45+DV!BC47</f>
        <v>0</v>
      </c>
      <c r="BE75">
        <f>DV!BD45+DV!BD47</f>
        <v>0</v>
      </c>
      <c r="BF75">
        <f>DV!BE45+DV!BE47</f>
        <v>0</v>
      </c>
      <c r="BG75">
        <f>DV!BF45+DV!BF47</f>
        <v>0</v>
      </c>
      <c r="BH75">
        <f>DV!BG45+DV!BG47</f>
        <v>0</v>
      </c>
      <c r="BI75">
        <f>DV!BH45+DV!BH47</f>
        <v>0</v>
      </c>
      <c r="BJ75">
        <f>DV!BI45+DV!BI47</f>
        <v>0</v>
      </c>
      <c r="BK75">
        <f>DV!BJ45+DV!BJ47</f>
        <v>0</v>
      </c>
      <c r="BL75">
        <f>DV!BK45+DV!BK47</f>
        <v>0</v>
      </c>
    </row>
    <row r="76" spans="1:64">
      <c r="A76">
        <v>29</v>
      </c>
      <c r="B76" s="5" t="str">
        <f>TEXT(VLOOKUP(A76,СВ[],2),"чч:мм")&amp;"-"&amp;TEXT(VLOOKUP(A76,СВ[],3),"чч:мм")</f>
        <v>14:45-15:30</v>
      </c>
      <c r="C76" s="6">
        <v>30</v>
      </c>
      <c r="D76" s="5" t="str">
        <f>TEXT(VLOOKUP(C76,СВ[],2),"чч:мм")&amp;"-"&amp;TEXT(VLOOKUP(C76,СВ[],3),"чч:мм")</f>
        <v>15:00-16:00</v>
      </c>
      <c r="E76">
        <f>DV!D46+DV!D47</f>
        <v>0</v>
      </c>
      <c r="F76">
        <f>DV!E46+DV!E47</f>
        <v>0</v>
      </c>
      <c r="G76">
        <f>DV!F46+DV!F47</f>
        <v>0</v>
      </c>
      <c r="H76">
        <f>DV!G46+DV!G47</f>
        <v>0</v>
      </c>
      <c r="I76">
        <f>DV!H46+DV!H47</f>
        <v>0</v>
      </c>
      <c r="J76">
        <f>DV!I46+DV!I47</f>
        <v>0</v>
      </c>
      <c r="K76">
        <f>DV!J46+DV!J47</f>
        <v>0</v>
      </c>
      <c r="L76">
        <f>DV!K46+DV!K47</f>
        <v>0</v>
      </c>
      <c r="M76">
        <f>DV!L46+DV!L47</f>
        <v>0</v>
      </c>
      <c r="N76">
        <f>DV!M46+DV!M47</f>
        <v>0</v>
      </c>
      <c r="O76">
        <f>DV!N46+DV!N47</f>
        <v>0</v>
      </c>
      <c r="P76">
        <f>DV!O46+DV!O47</f>
        <v>0</v>
      </c>
      <c r="Q76">
        <f>DV!P46+DV!P47</f>
        <v>0</v>
      </c>
      <c r="R76">
        <f>DV!Q46+DV!Q47</f>
        <v>0</v>
      </c>
      <c r="S76">
        <f>DV!R46+DV!R47</f>
        <v>0</v>
      </c>
      <c r="T76">
        <f>DV!S46+DV!S47</f>
        <v>0</v>
      </c>
      <c r="U76">
        <f>DV!T46+DV!T47</f>
        <v>0</v>
      </c>
      <c r="V76">
        <f>DV!U46+DV!U47</f>
        <v>0</v>
      </c>
      <c r="W76">
        <f>DV!V46+DV!V47</f>
        <v>0</v>
      </c>
      <c r="X76">
        <f>DV!W46+DV!W47</f>
        <v>0</v>
      </c>
      <c r="Y76">
        <f>DV!X46+DV!X47</f>
        <v>0</v>
      </c>
      <c r="Z76">
        <f>DV!Y46+DV!Y47</f>
        <v>0</v>
      </c>
      <c r="AA76">
        <f>DV!Z46+DV!Z47</f>
        <v>0</v>
      </c>
      <c r="AB76">
        <f>DV!AA46+DV!AA47</f>
        <v>0</v>
      </c>
      <c r="AC76">
        <f>DV!AB46+DV!AB47</f>
        <v>0</v>
      </c>
      <c r="AD76">
        <f>DV!AC46+DV!AC47</f>
        <v>0</v>
      </c>
      <c r="AE76">
        <f>DV!AD46+DV!AD47</f>
        <v>0</v>
      </c>
      <c r="AF76">
        <f>DV!AE46+DV!AE47</f>
        <v>0</v>
      </c>
      <c r="AG76">
        <f>DV!AF46+DV!AF47</f>
        <v>0</v>
      </c>
      <c r="AH76">
        <f>DV!AG46+DV!AG47</f>
        <v>0</v>
      </c>
      <c r="AI76">
        <f>DV!AH46+DV!AH47</f>
        <v>0</v>
      </c>
      <c r="AJ76">
        <f>DV!AI46+DV!AI47</f>
        <v>0</v>
      </c>
      <c r="AK76">
        <f>DV!AJ46+DV!AJ47</f>
        <v>0</v>
      </c>
      <c r="AL76">
        <f>DV!AK46+DV!AK47</f>
        <v>0</v>
      </c>
      <c r="AM76">
        <f>DV!AL46+DV!AL47</f>
        <v>0</v>
      </c>
      <c r="AN76">
        <f>DV!AM46+DV!AM47</f>
        <v>0</v>
      </c>
      <c r="AO76">
        <f>DV!AN46+DV!AN47</f>
        <v>0</v>
      </c>
      <c r="AP76">
        <f>DV!AO46+DV!AO47</f>
        <v>0</v>
      </c>
      <c r="AQ76">
        <f>DV!AP46+DV!AP47</f>
        <v>0</v>
      </c>
      <c r="AR76">
        <f>DV!AQ46+DV!AQ47</f>
        <v>0</v>
      </c>
      <c r="AS76">
        <f>DV!AR46+DV!AR47</f>
        <v>0</v>
      </c>
      <c r="AT76">
        <f>DV!AS46+DV!AS47</f>
        <v>0</v>
      </c>
      <c r="AU76">
        <f>DV!AT46+DV!AT47</f>
        <v>0</v>
      </c>
      <c r="AV76">
        <f>DV!AU46+DV!AU47</f>
        <v>0</v>
      </c>
      <c r="AW76">
        <f>DV!AV46+DV!AV47</f>
        <v>0</v>
      </c>
      <c r="AX76">
        <f>DV!AW46+DV!AW47</f>
        <v>0</v>
      </c>
      <c r="AY76">
        <f>DV!AX46+DV!AX47</f>
        <v>0</v>
      </c>
      <c r="AZ76">
        <f>DV!AY46+DV!AY47</f>
        <v>0</v>
      </c>
      <c r="BA76">
        <f>DV!AZ46+DV!AZ47</f>
        <v>0</v>
      </c>
      <c r="BB76">
        <f>DV!BA46+DV!BA47</f>
        <v>0</v>
      </c>
      <c r="BC76">
        <f>DV!BB46+DV!BB47</f>
        <v>0</v>
      </c>
      <c r="BD76">
        <f>DV!BC46+DV!BC47</f>
        <v>0</v>
      </c>
      <c r="BE76">
        <f>DV!BD46+DV!BD47</f>
        <v>0</v>
      </c>
      <c r="BF76">
        <f>DV!BE46+DV!BE47</f>
        <v>0</v>
      </c>
      <c r="BG76">
        <f>DV!BF46+DV!BF47</f>
        <v>0</v>
      </c>
      <c r="BH76">
        <f>DV!BG46+DV!BG47</f>
        <v>0</v>
      </c>
      <c r="BI76">
        <f>DV!BH46+DV!BH47</f>
        <v>0</v>
      </c>
      <c r="BJ76">
        <f>DV!BI46+DV!BI47</f>
        <v>0</v>
      </c>
      <c r="BK76">
        <f>DV!BJ46+DV!BJ47</f>
        <v>0</v>
      </c>
      <c r="BL76">
        <f>DV!BK46+DV!BK47</f>
        <v>0</v>
      </c>
    </row>
    <row r="77" spans="1:64">
      <c r="A77">
        <v>29</v>
      </c>
      <c r="B77" s="5" t="str">
        <f>TEXT(VLOOKUP(A77,СВ[],2),"чч:мм")&amp;"-"&amp;TEXT(VLOOKUP(A77,СВ[],3),"чч:мм")</f>
        <v>14:45-15:30</v>
      </c>
      <c r="C77" s="6">
        <v>31</v>
      </c>
      <c r="D77" s="5" t="str">
        <f>TEXT(VLOOKUP(C77,СВ[],2),"чч:мм")&amp;"-"&amp;TEXT(VLOOKUP(C77,СВ[],3),"чч:мм")</f>
        <v>15:15-16:00</v>
      </c>
      <c r="E77">
        <f>DV!D46+DV!D48</f>
        <v>0</v>
      </c>
      <c r="F77">
        <f>DV!E46+DV!E48</f>
        <v>0</v>
      </c>
      <c r="G77">
        <f>DV!F46+DV!F48</f>
        <v>0</v>
      </c>
      <c r="H77">
        <f>DV!G46+DV!G48</f>
        <v>0</v>
      </c>
      <c r="I77">
        <f>DV!H46+DV!H48</f>
        <v>0</v>
      </c>
      <c r="J77">
        <f>DV!I46+DV!I48</f>
        <v>0</v>
      </c>
      <c r="K77">
        <f>DV!J46+DV!J48</f>
        <v>0</v>
      </c>
      <c r="L77">
        <f>DV!K46+DV!K48</f>
        <v>0</v>
      </c>
      <c r="M77">
        <f>DV!L46+DV!L48</f>
        <v>0</v>
      </c>
      <c r="N77">
        <f>DV!M46+DV!M48</f>
        <v>0</v>
      </c>
      <c r="O77">
        <f>DV!N46+DV!N48</f>
        <v>0</v>
      </c>
      <c r="P77">
        <f>DV!O46+DV!O48</f>
        <v>0</v>
      </c>
      <c r="Q77">
        <f>DV!P46+DV!P48</f>
        <v>0</v>
      </c>
      <c r="R77">
        <f>DV!Q46+DV!Q48</f>
        <v>0</v>
      </c>
      <c r="S77">
        <f>DV!R46+DV!R48</f>
        <v>0</v>
      </c>
      <c r="T77">
        <f>DV!S46+DV!S48</f>
        <v>0</v>
      </c>
      <c r="U77">
        <f>DV!T46+DV!T48</f>
        <v>0</v>
      </c>
      <c r="V77">
        <f>DV!U46+DV!U48</f>
        <v>0</v>
      </c>
      <c r="W77">
        <f>DV!V46+DV!V48</f>
        <v>0</v>
      </c>
      <c r="X77">
        <f>DV!W46+DV!W48</f>
        <v>0</v>
      </c>
      <c r="Y77">
        <f>DV!X46+DV!X48</f>
        <v>0</v>
      </c>
      <c r="Z77">
        <f>DV!Y46+DV!Y48</f>
        <v>0</v>
      </c>
      <c r="AA77">
        <f>DV!Z46+DV!Z48</f>
        <v>0</v>
      </c>
      <c r="AB77">
        <f>DV!AA46+DV!AA48</f>
        <v>0</v>
      </c>
      <c r="AC77">
        <f>DV!AB46+DV!AB48</f>
        <v>0</v>
      </c>
      <c r="AD77">
        <f>DV!AC46+DV!AC48</f>
        <v>0</v>
      </c>
      <c r="AE77">
        <f>DV!AD46+DV!AD48</f>
        <v>0</v>
      </c>
      <c r="AF77">
        <f>DV!AE46+DV!AE48</f>
        <v>0</v>
      </c>
      <c r="AG77">
        <f>DV!AF46+DV!AF48</f>
        <v>0</v>
      </c>
      <c r="AH77">
        <f>DV!AG46+DV!AG48</f>
        <v>0</v>
      </c>
      <c r="AI77">
        <f>DV!AH46+DV!AH48</f>
        <v>0</v>
      </c>
      <c r="AJ77">
        <f>DV!AI46+DV!AI48</f>
        <v>0</v>
      </c>
      <c r="AK77">
        <f>DV!AJ46+DV!AJ48</f>
        <v>0</v>
      </c>
      <c r="AL77">
        <f>DV!AK46+DV!AK48</f>
        <v>0</v>
      </c>
      <c r="AM77">
        <f>DV!AL46+DV!AL48</f>
        <v>0</v>
      </c>
      <c r="AN77">
        <f>DV!AM46+DV!AM48</f>
        <v>0</v>
      </c>
      <c r="AO77">
        <f>DV!AN46+DV!AN48</f>
        <v>0</v>
      </c>
      <c r="AP77">
        <f>DV!AO46+DV!AO48</f>
        <v>0</v>
      </c>
      <c r="AQ77">
        <f>DV!AP46+DV!AP48</f>
        <v>0</v>
      </c>
      <c r="AR77">
        <f>DV!AQ46+DV!AQ48</f>
        <v>0</v>
      </c>
      <c r="AS77">
        <f>DV!AR46+DV!AR48</f>
        <v>0</v>
      </c>
      <c r="AT77">
        <f>DV!AS46+DV!AS48</f>
        <v>0</v>
      </c>
      <c r="AU77">
        <f>DV!AT46+DV!AT48</f>
        <v>0</v>
      </c>
      <c r="AV77">
        <f>DV!AU46+DV!AU48</f>
        <v>0</v>
      </c>
      <c r="AW77">
        <f>DV!AV46+DV!AV48</f>
        <v>0</v>
      </c>
      <c r="AX77">
        <f>DV!AW46+DV!AW48</f>
        <v>0</v>
      </c>
      <c r="AY77">
        <f>DV!AX46+DV!AX48</f>
        <v>0</v>
      </c>
      <c r="AZ77">
        <f>DV!AY46+DV!AY48</f>
        <v>0</v>
      </c>
      <c r="BA77">
        <f>DV!AZ46+DV!AZ48</f>
        <v>0</v>
      </c>
      <c r="BB77">
        <f>DV!BA46+DV!BA48</f>
        <v>0</v>
      </c>
      <c r="BC77">
        <f>DV!BB46+DV!BB48</f>
        <v>0</v>
      </c>
      <c r="BD77">
        <f>DV!BC46+DV!BC48</f>
        <v>0</v>
      </c>
      <c r="BE77">
        <f>DV!BD46+DV!BD48</f>
        <v>0</v>
      </c>
      <c r="BF77">
        <f>DV!BE46+DV!BE48</f>
        <v>0</v>
      </c>
      <c r="BG77">
        <f>DV!BF46+DV!BF48</f>
        <v>0</v>
      </c>
      <c r="BH77">
        <f>DV!BG46+DV!BG48</f>
        <v>0</v>
      </c>
      <c r="BI77">
        <f>DV!BH46+DV!BH48</f>
        <v>0</v>
      </c>
      <c r="BJ77">
        <f>DV!BI46+DV!BI48</f>
        <v>0</v>
      </c>
      <c r="BK77">
        <f>DV!BJ46+DV!BJ48</f>
        <v>0</v>
      </c>
      <c r="BL77">
        <f>DV!BK46+DV!BK48</f>
        <v>0</v>
      </c>
    </row>
    <row r="78" spans="1:64">
      <c r="A78">
        <v>30</v>
      </c>
      <c r="B78" s="5" t="str">
        <f>TEXT(VLOOKUP(A78,СВ[],2),"чч:мм")&amp;"-"&amp;TEXT(VLOOKUP(A78,СВ[],3),"чч:мм")</f>
        <v>15:00-16:00</v>
      </c>
      <c r="C78" s="6">
        <v>31</v>
      </c>
      <c r="D78" s="5" t="str">
        <f>TEXT(VLOOKUP(C78,СВ[],2),"чч:мм")&amp;"-"&amp;TEXT(VLOOKUP(C78,СВ[],3),"чч:мм")</f>
        <v>15:15-16:00</v>
      </c>
      <c r="E78">
        <f>DV!D47+DV!D48</f>
        <v>0</v>
      </c>
      <c r="F78">
        <f>DV!E47+DV!E48</f>
        <v>0</v>
      </c>
      <c r="G78">
        <f>DV!F47+DV!F48</f>
        <v>0</v>
      </c>
      <c r="H78">
        <f>DV!G47+DV!G48</f>
        <v>0</v>
      </c>
      <c r="I78">
        <f>DV!H47+DV!H48</f>
        <v>0</v>
      </c>
      <c r="J78">
        <f>DV!I47+DV!I48</f>
        <v>0</v>
      </c>
      <c r="K78">
        <f>DV!J47+DV!J48</f>
        <v>0</v>
      </c>
      <c r="L78">
        <f>DV!K47+DV!K48</f>
        <v>0</v>
      </c>
      <c r="M78">
        <f>DV!L47+DV!L48</f>
        <v>0</v>
      </c>
      <c r="N78">
        <f>DV!M47+DV!M48</f>
        <v>0</v>
      </c>
      <c r="O78">
        <f>DV!N47+DV!N48</f>
        <v>0</v>
      </c>
      <c r="P78">
        <f>DV!O47+DV!O48</f>
        <v>0</v>
      </c>
      <c r="Q78">
        <f>DV!P47+DV!P48</f>
        <v>0</v>
      </c>
      <c r="R78">
        <f>DV!Q47+DV!Q48</f>
        <v>0</v>
      </c>
      <c r="S78">
        <f>DV!R47+DV!R48</f>
        <v>0</v>
      </c>
      <c r="T78">
        <f>DV!S47+DV!S48</f>
        <v>0</v>
      </c>
      <c r="U78">
        <f>DV!T47+DV!T48</f>
        <v>0</v>
      </c>
      <c r="V78">
        <f>DV!U47+DV!U48</f>
        <v>0</v>
      </c>
      <c r="W78">
        <f>DV!V47+DV!V48</f>
        <v>0</v>
      </c>
      <c r="X78">
        <f>DV!W47+DV!W48</f>
        <v>0</v>
      </c>
      <c r="Y78">
        <f>DV!X47+DV!X48</f>
        <v>0</v>
      </c>
      <c r="Z78">
        <f>DV!Y47+DV!Y48</f>
        <v>0</v>
      </c>
      <c r="AA78">
        <f>DV!Z47+DV!Z48</f>
        <v>0</v>
      </c>
      <c r="AB78">
        <f>DV!AA47+DV!AA48</f>
        <v>0</v>
      </c>
      <c r="AC78">
        <f>DV!AB47+DV!AB48</f>
        <v>0</v>
      </c>
      <c r="AD78">
        <f>DV!AC47+DV!AC48</f>
        <v>0</v>
      </c>
      <c r="AE78">
        <f>DV!AD47+DV!AD48</f>
        <v>0</v>
      </c>
      <c r="AF78">
        <f>DV!AE47+DV!AE48</f>
        <v>0</v>
      </c>
      <c r="AG78">
        <f>DV!AF47+DV!AF48</f>
        <v>0</v>
      </c>
      <c r="AH78">
        <f>DV!AG47+DV!AG48</f>
        <v>0</v>
      </c>
      <c r="AI78">
        <f>DV!AH47+DV!AH48</f>
        <v>0</v>
      </c>
      <c r="AJ78">
        <f>DV!AI47+DV!AI48</f>
        <v>0</v>
      </c>
      <c r="AK78">
        <f>DV!AJ47+DV!AJ48</f>
        <v>0</v>
      </c>
      <c r="AL78">
        <f>DV!AK47+DV!AK48</f>
        <v>0</v>
      </c>
      <c r="AM78">
        <f>DV!AL47+DV!AL48</f>
        <v>0</v>
      </c>
      <c r="AN78">
        <f>DV!AM47+DV!AM48</f>
        <v>0</v>
      </c>
      <c r="AO78">
        <f>DV!AN47+DV!AN48</f>
        <v>0</v>
      </c>
      <c r="AP78">
        <f>DV!AO47+DV!AO48</f>
        <v>0</v>
      </c>
      <c r="AQ78">
        <f>DV!AP47+DV!AP48</f>
        <v>0</v>
      </c>
      <c r="AR78">
        <f>DV!AQ47+DV!AQ48</f>
        <v>0</v>
      </c>
      <c r="AS78">
        <f>DV!AR47+DV!AR48</f>
        <v>0</v>
      </c>
      <c r="AT78">
        <f>DV!AS47+DV!AS48</f>
        <v>0</v>
      </c>
      <c r="AU78">
        <f>DV!AT47+DV!AT48</f>
        <v>0</v>
      </c>
      <c r="AV78">
        <f>DV!AU47+DV!AU48</f>
        <v>0</v>
      </c>
      <c r="AW78">
        <f>DV!AV47+DV!AV48</f>
        <v>0</v>
      </c>
      <c r="AX78">
        <f>DV!AW47+DV!AW48</f>
        <v>0</v>
      </c>
      <c r="AY78">
        <f>DV!AX47+DV!AX48</f>
        <v>0</v>
      </c>
      <c r="AZ78">
        <f>DV!AY47+DV!AY48</f>
        <v>0</v>
      </c>
      <c r="BA78">
        <f>DV!AZ47+DV!AZ48</f>
        <v>0</v>
      </c>
      <c r="BB78">
        <f>DV!BA47+DV!BA48</f>
        <v>0</v>
      </c>
      <c r="BC78">
        <f>DV!BB47+DV!BB48</f>
        <v>0</v>
      </c>
      <c r="BD78">
        <f>DV!BC47+DV!BC48</f>
        <v>0</v>
      </c>
      <c r="BE78">
        <f>DV!BD47+DV!BD48</f>
        <v>0</v>
      </c>
      <c r="BF78">
        <f>DV!BE47+DV!BE48</f>
        <v>0</v>
      </c>
      <c r="BG78">
        <f>DV!BF47+DV!BF48</f>
        <v>0</v>
      </c>
      <c r="BH78">
        <f>DV!BG47+DV!BG48</f>
        <v>0</v>
      </c>
      <c r="BI78">
        <f>DV!BH47+DV!BH48</f>
        <v>0</v>
      </c>
      <c r="BJ78">
        <f>DV!BI47+DV!BI48</f>
        <v>0</v>
      </c>
      <c r="BK78">
        <f>DV!BJ47+DV!BJ48</f>
        <v>0</v>
      </c>
      <c r="BL78">
        <f>DV!BK47+DV!BK48</f>
        <v>0</v>
      </c>
    </row>
    <row r="79" spans="1:64">
      <c r="A79">
        <v>30</v>
      </c>
      <c r="B79" s="5" t="str">
        <f>TEXT(VLOOKUP(A79,СВ[],2),"чч:мм")&amp;"-"&amp;TEXT(VLOOKUP(A79,СВ[],3),"чч:мм")</f>
        <v>15:00-16:00</v>
      </c>
      <c r="C79" s="6">
        <v>32</v>
      </c>
      <c r="D79" s="5" t="str">
        <f>TEXT(VLOOKUP(C79,СВ[],2),"чч:мм")&amp;"-"&amp;TEXT(VLOOKUP(C79,СВ[],3),"чч:мм")</f>
        <v>15:30-16:15</v>
      </c>
      <c r="E79">
        <f>DV!D47+DV!D49</f>
        <v>0</v>
      </c>
      <c r="F79">
        <f>DV!E47+DV!E49</f>
        <v>0</v>
      </c>
      <c r="G79">
        <f>DV!F47+DV!F49</f>
        <v>0</v>
      </c>
      <c r="H79">
        <f>DV!G47+DV!G49</f>
        <v>0</v>
      </c>
      <c r="I79">
        <f>DV!H47+DV!H49</f>
        <v>0</v>
      </c>
      <c r="J79">
        <f>DV!I47+DV!I49</f>
        <v>0</v>
      </c>
      <c r="K79">
        <f>DV!J47+DV!J49</f>
        <v>0</v>
      </c>
      <c r="L79">
        <f>DV!K47+DV!K49</f>
        <v>0</v>
      </c>
      <c r="M79">
        <f>DV!L47+DV!L49</f>
        <v>0</v>
      </c>
      <c r="N79">
        <f>DV!M47+DV!M49</f>
        <v>0</v>
      </c>
      <c r="O79">
        <f>DV!N47+DV!N49</f>
        <v>0</v>
      </c>
      <c r="P79">
        <f>DV!O47+DV!O49</f>
        <v>0</v>
      </c>
      <c r="Q79">
        <f>DV!P47+DV!P49</f>
        <v>0</v>
      </c>
      <c r="R79">
        <f>DV!Q47+DV!Q49</f>
        <v>0</v>
      </c>
      <c r="S79">
        <f>DV!R47+DV!R49</f>
        <v>0</v>
      </c>
      <c r="T79">
        <f>DV!S47+DV!S49</f>
        <v>0</v>
      </c>
      <c r="U79">
        <f>DV!T47+DV!T49</f>
        <v>0</v>
      </c>
      <c r="V79">
        <f>DV!U47+DV!U49</f>
        <v>0</v>
      </c>
      <c r="W79">
        <f>DV!V47+DV!V49</f>
        <v>0</v>
      </c>
      <c r="X79">
        <f>DV!W47+DV!W49</f>
        <v>0</v>
      </c>
      <c r="Y79">
        <f>DV!X47+DV!X49</f>
        <v>0</v>
      </c>
      <c r="Z79">
        <f>DV!Y47+DV!Y49</f>
        <v>0</v>
      </c>
      <c r="AA79">
        <f>DV!Z47+DV!Z49</f>
        <v>0</v>
      </c>
      <c r="AB79">
        <f>DV!AA47+DV!AA49</f>
        <v>0</v>
      </c>
      <c r="AC79">
        <f>DV!AB47+DV!AB49</f>
        <v>0</v>
      </c>
      <c r="AD79">
        <f>DV!AC47+DV!AC49</f>
        <v>0</v>
      </c>
      <c r="AE79">
        <f>DV!AD47+DV!AD49</f>
        <v>0</v>
      </c>
      <c r="AF79">
        <f>DV!AE47+DV!AE49</f>
        <v>0</v>
      </c>
      <c r="AG79">
        <f>DV!AF47+DV!AF49</f>
        <v>0</v>
      </c>
      <c r="AH79">
        <f>DV!AG47+DV!AG49</f>
        <v>0</v>
      </c>
      <c r="AI79">
        <f>DV!AH47+DV!AH49</f>
        <v>0</v>
      </c>
      <c r="AJ79">
        <f>DV!AI47+DV!AI49</f>
        <v>0</v>
      </c>
      <c r="AK79">
        <f>DV!AJ47+DV!AJ49</f>
        <v>0</v>
      </c>
      <c r="AL79">
        <f>DV!AK47+DV!AK49</f>
        <v>0</v>
      </c>
      <c r="AM79">
        <f>DV!AL47+DV!AL49</f>
        <v>0</v>
      </c>
      <c r="AN79">
        <f>DV!AM47+DV!AM49</f>
        <v>0</v>
      </c>
      <c r="AO79">
        <f>DV!AN47+DV!AN49</f>
        <v>0</v>
      </c>
      <c r="AP79">
        <f>DV!AO47+DV!AO49</f>
        <v>0</v>
      </c>
      <c r="AQ79">
        <f>DV!AP47+DV!AP49</f>
        <v>0</v>
      </c>
      <c r="AR79">
        <f>DV!AQ47+DV!AQ49</f>
        <v>0</v>
      </c>
      <c r="AS79">
        <f>DV!AR47+DV!AR49</f>
        <v>0</v>
      </c>
      <c r="AT79">
        <f>DV!AS47+DV!AS49</f>
        <v>0</v>
      </c>
      <c r="AU79">
        <f>DV!AT47+DV!AT49</f>
        <v>0</v>
      </c>
      <c r="AV79">
        <f>DV!AU47+DV!AU49</f>
        <v>0</v>
      </c>
      <c r="AW79">
        <f>DV!AV47+DV!AV49</f>
        <v>0</v>
      </c>
      <c r="AX79">
        <f>DV!AW47+DV!AW49</f>
        <v>0</v>
      </c>
      <c r="AY79">
        <f>DV!AX47+DV!AX49</f>
        <v>0</v>
      </c>
      <c r="AZ79">
        <f>DV!AY47+DV!AY49</f>
        <v>0</v>
      </c>
      <c r="BA79">
        <f>DV!AZ47+DV!AZ49</f>
        <v>0</v>
      </c>
      <c r="BB79">
        <f>DV!BA47+DV!BA49</f>
        <v>0</v>
      </c>
      <c r="BC79">
        <f>DV!BB47+DV!BB49</f>
        <v>0</v>
      </c>
      <c r="BD79">
        <f>DV!BC47+DV!BC49</f>
        <v>0</v>
      </c>
      <c r="BE79">
        <f>DV!BD47+DV!BD49</f>
        <v>0</v>
      </c>
      <c r="BF79">
        <f>DV!BE47+DV!BE49</f>
        <v>0</v>
      </c>
      <c r="BG79">
        <f>DV!BF47+DV!BF49</f>
        <v>0</v>
      </c>
      <c r="BH79">
        <f>DV!BG47+DV!BG49</f>
        <v>0</v>
      </c>
      <c r="BI79">
        <f>DV!BH47+DV!BH49</f>
        <v>0</v>
      </c>
      <c r="BJ79">
        <f>DV!BI47+DV!BI49</f>
        <v>0</v>
      </c>
      <c r="BK79">
        <f>DV!BJ47+DV!BJ49</f>
        <v>0</v>
      </c>
      <c r="BL79">
        <f>DV!BK47+DV!BK49</f>
        <v>0</v>
      </c>
    </row>
    <row r="80" spans="1:64">
      <c r="A80">
        <v>30</v>
      </c>
      <c r="B80" s="5" t="str">
        <f>TEXT(VLOOKUP(A80,СВ[],2),"чч:мм")&amp;"-"&amp;TEXT(VLOOKUP(A80,СВ[],3),"чч:мм")</f>
        <v>15:00-16:00</v>
      </c>
      <c r="C80" s="6">
        <v>33</v>
      </c>
      <c r="D80" s="5" t="str">
        <f>TEXT(VLOOKUP(C80,СВ[],2),"чч:мм")&amp;"-"&amp;TEXT(VLOOKUP(C80,СВ[],3),"чч:мм")</f>
        <v>15:45-16:30</v>
      </c>
      <c r="E80">
        <f>DV!D47+DV!D50</f>
        <v>0</v>
      </c>
      <c r="F80">
        <f>DV!E47+DV!E50</f>
        <v>0</v>
      </c>
      <c r="G80">
        <f>DV!F47+DV!F50</f>
        <v>0</v>
      </c>
      <c r="H80">
        <f>DV!G47+DV!G50</f>
        <v>0</v>
      </c>
      <c r="I80">
        <f>DV!H47+DV!H50</f>
        <v>0</v>
      </c>
      <c r="J80">
        <f>DV!I47+DV!I50</f>
        <v>0</v>
      </c>
      <c r="K80">
        <f>DV!J47+DV!J50</f>
        <v>0</v>
      </c>
      <c r="L80">
        <f>DV!K47+DV!K50</f>
        <v>0</v>
      </c>
      <c r="M80">
        <f>DV!L47+DV!L50</f>
        <v>0</v>
      </c>
      <c r="N80">
        <f>DV!M47+DV!M50</f>
        <v>0</v>
      </c>
      <c r="O80">
        <f>DV!N47+DV!N50</f>
        <v>0</v>
      </c>
      <c r="P80">
        <f>DV!O47+DV!O50</f>
        <v>0</v>
      </c>
      <c r="Q80">
        <f>DV!P47+DV!P50</f>
        <v>0</v>
      </c>
      <c r="R80">
        <f>DV!Q47+DV!Q50</f>
        <v>0</v>
      </c>
      <c r="S80">
        <f>DV!R47+DV!R50</f>
        <v>0</v>
      </c>
      <c r="T80">
        <f>DV!S47+DV!S50</f>
        <v>0</v>
      </c>
      <c r="U80">
        <f>DV!T47+DV!T50</f>
        <v>0</v>
      </c>
      <c r="V80">
        <f>DV!U47+DV!U50</f>
        <v>0</v>
      </c>
      <c r="W80">
        <f>DV!V47+DV!V50</f>
        <v>0</v>
      </c>
      <c r="X80">
        <f>DV!W47+DV!W50</f>
        <v>0</v>
      </c>
      <c r="Y80">
        <f>DV!X47+DV!X50</f>
        <v>0</v>
      </c>
      <c r="Z80">
        <f>DV!Y47+DV!Y50</f>
        <v>0</v>
      </c>
      <c r="AA80">
        <f>DV!Z47+DV!Z50</f>
        <v>0</v>
      </c>
      <c r="AB80">
        <f>DV!AA47+DV!AA50</f>
        <v>0</v>
      </c>
      <c r="AC80">
        <f>DV!AB47+DV!AB50</f>
        <v>0</v>
      </c>
      <c r="AD80">
        <f>DV!AC47+DV!AC50</f>
        <v>0</v>
      </c>
      <c r="AE80">
        <f>DV!AD47+DV!AD50</f>
        <v>0</v>
      </c>
      <c r="AF80">
        <f>DV!AE47+DV!AE50</f>
        <v>0</v>
      </c>
      <c r="AG80">
        <f>DV!AF47+DV!AF50</f>
        <v>0</v>
      </c>
      <c r="AH80">
        <f>DV!AG47+DV!AG50</f>
        <v>0</v>
      </c>
      <c r="AI80">
        <f>DV!AH47+DV!AH50</f>
        <v>0</v>
      </c>
      <c r="AJ80">
        <f>DV!AI47+DV!AI50</f>
        <v>0</v>
      </c>
      <c r="AK80">
        <f>DV!AJ47+DV!AJ50</f>
        <v>0</v>
      </c>
      <c r="AL80">
        <f>DV!AK47+DV!AK50</f>
        <v>0</v>
      </c>
      <c r="AM80">
        <f>DV!AL47+DV!AL50</f>
        <v>0</v>
      </c>
      <c r="AN80">
        <f>DV!AM47+DV!AM50</f>
        <v>0</v>
      </c>
      <c r="AO80">
        <f>DV!AN47+DV!AN50</f>
        <v>0</v>
      </c>
      <c r="AP80">
        <f>DV!AO47+DV!AO50</f>
        <v>0</v>
      </c>
      <c r="AQ80">
        <f>DV!AP47+DV!AP50</f>
        <v>0</v>
      </c>
      <c r="AR80">
        <f>DV!AQ47+DV!AQ50</f>
        <v>0</v>
      </c>
      <c r="AS80">
        <f>DV!AR47+DV!AR50</f>
        <v>0</v>
      </c>
      <c r="AT80">
        <f>DV!AS47+DV!AS50</f>
        <v>0</v>
      </c>
      <c r="AU80">
        <f>DV!AT47+DV!AT50</f>
        <v>0</v>
      </c>
      <c r="AV80">
        <f>DV!AU47+DV!AU50</f>
        <v>0</v>
      </c>
      <c r="AW80">
        <f>DV!AV47+DV!AV50</f>
        <v>0</v>
      </c>
      <c r="AX80">
        <f>DV!AW47+DV!AW50</f>
        <v>0</v>
      </c>
      <c r="AY80">
        <f>DV!AX47+DV!AX50</f>
        <v>0</v>
      </c>
      <c r="AZ80">
        <f>DV!AY47+DV!AY50</f>
        <v>0</v>
      </c>
      <c r="BA80">
        <f>DV!AZ47+DV!AZ50</f>
        <v>0</v>
      </c>
      <c r="BB80">
        <f>DV!BA47+DV!BA50</f>
        <v>0</v>
      </c>
      <c r="BC80">
        <f>DV!BB47+DV!BB50</f>
        <v>0</v>
      </c>
      <c r="BD80">
        <f>DV!BC47+DV!BC50</f>
        <v>0</v>
      </c>
      <c r="BE80">
        <f>DV!BD47+DV!BD50</f>
        <v>0</v>
      </c>
      <c r="BF80">
        <f>DV!BE47+DV!BE50</f>
        <v>0</v>
      </c>
      <c r="BG80">
        <f>DV!BF47+DV!BF50</f>
        <v>0</v>
      </c>
      <c r="BH80">
        <f>DV!BG47+DV!BG50</f>
        <v>0</v>
      </c>
      <c r="BI80">
        <f>DV!BH47+DV!BH50</f>
        <v>0</v>
      </c>
      <c r="BJ80">
        <f>DV!BI47+DV!BI50</f>
        <v>0</v>
      </c>
      <c r="BK80">
        <f>DV!BJ47+DV!BJ50</f>
        <v>0</v>
      </c>
      <c r="BL80">
        <f>DV!BK47+DV!BK50</f>
        <v>0</v>
      </c>
    </row>
    <row r="81" spans="1:64">
      <c r="A81">
        <v>31</v>
      </c>
      <c r="B81" s="5" t="str">
        <f>TEXT(VLOOKUP(A81,СВ[],2),"чч:мм")&amp;"-"&amp;TEXT(VLOOKUP(A81,СВ[],3),"чч:мм")</f>
        <v>15:15-16:00</v>
      </c>
      <c r="C81" s="6">
        <v>32</v>
      </c>
      <c r="D81" s="5" t="str">
        <f>TEXT(VLOOKUP(C81,СВ[],2),"чч:мм")&amp;"-"&amp;TEXT(VLOOKUP(C81,СВ[],3),"чч:мм")</f>
        <v>15:30-16:15</v>
      </c>
      <c r="E81">
        <f>DV!D48+DV!D49</f>
        <v>0</v>
      </c>
      <c r="F81">
        <f>DV!E48+DV!E49</f>
        <v>0</v>
      </c>
      <c r="G81">
        <f>DV!F48+DV!F49</f>
        <v>0</v>
      </c>
      <c r="H81">
        <f>DV!G48+DV!G49</f>
        <v>0</v>
      </c>
      <c r="I81">
        <f>DV!H48+DV!H49</f>
        <v>0</v>
      </c>
      <c r="J81">
        <f>DV!I48+DV!I49</f>
        <v>0</v>
      </c>
      <c r="K81">
        <f>DV!J48+DV!J49</f>
        <v>0</v>
      </c>
      <c r="L81">
        <f>DV!K48+DV!K49</f>
        <v>0</v>
      </c>
      <c r="M81">
        <f>DV!L48+DV!L49</f>
        <v>0</v>
      </c>
      <c r="N81">
        <f>DV!M48+DV!M49</f>
        <v>0</v>
      </c>
      <c r="O81">
        <f>DV!N48+DV!N49</f>
        <v>0</v>
      </c>
      <c r="P81">
        <f>DV!O48+DV!O49</f>
        <v>0</v>
      </c>
      <c r="Q81">
        <f>DV!P48+DV!P49</f>
        <v>0</v>
      </c>
      <c r="R81">
        <f>DV!Q48+DV!Q49</f>
        <v>0</v>
      </c>
      <c r="S81">
        <f>DV!R48+DV!R49</f>
        <v>0</v>
      </c>
      <c r="T81">
        <f>DV!S48+DV!S49</f>
        <v>0</v>
      </c>
      <c r="U81">
        <f>DV!T48+DV!T49</f>
        <v>0</v>
      </c>
      <c r="V81">
        <f>DV!U48+DV!U49</f>
        <v>0</v>
      </c>
      <c r="W81">
        <f>DV!V48+DV!V49</f>
        <v>0</v>
      </c>
      <c r="X81">
        <f>DV!W48+DV!W49</f>
        <v>0</v>
      </c>
      <c r="Y81">
        <f>DV!X48+DV!X49</f>
        <v>0</v>
      </c>
      <c r="Z81">
        <f>DV!Y48+DV!Y49</f>
        <v>0</v>
      </c>
      <c r="AA81">
        <f>DV!Z48+DV!Z49</f>
        <v>0</v>
      </c>
      <c r="AB81">
        <f>DV!AA48+DV!AA49</f>
        <v>0</v>
      </c>
      <c r="AC81">
        <f>DV!AB48+DV!AB49</f>
        <v>0</v>
      </c>
      <c r="AD81">
        <f>DV!AC48+DV!AC49</f>
        <v>0</v>
      </c>
      <c r="AE81">
        <f>DV!AD48+DV!AD49</f>
        <v>0</v>
      </c>
      <c r="AF81">
        <f>DV!AE48+DV!AE49</f>
        <v>0</v>
      </c>
      <c r="AG81">
        <f>DV!AF48+DV!AF49</f>
        <v>0</v>
      </c>
      <c r="AH81">
        <f>DV!AG48+DV!AG49</f>
        <v>0</v>
      </c>
      <c r="AI81">
        <f>DV!AH48+DV!AH49</f>
        <v>0</v>
      </c>
      <c r="AJ81">
        <f>DV!AI48+DV!AI49</f>
        <v>0</v>
      </c>
      <c r="AK81">
        <f>DV!AJ48+DV!AJ49</f>
        <v>0</v>
      </c>
      <c r="AL81">
        <f>DV!AK48+DV!AK49</f>
        <v>0</v>
      </c>
      <c r="AM81">
        <f>DV!AL48+DV!AL49</f>
        <v>0</v>
      </c>
      <c r="AN81">
        <f>DV!AM48+DV!AM49</f>
        <v>0</v>
      </c>
      <c r="AO81">
        <f>DV!AN48+DV!AN49</f>
        <v>0</v>
      </c>
      <c r="AP81">
        <f>DV!AO48+DV!AO49</f>
        <v>0</v>
      </c>
      <c r="AQ81">
        <f>DV!AP48+DV!AP49</f>
        <v>0</v>
      </c>
      <c r="AR81">
        <f>DV!AQ48+DV!AQ49</f>
        <v>0</v>
      </c>
      <c r="AS81">
        <f>DV!AR48+DV!AR49</f>
        <v>0</v>
      </c>
      <c r="AT81">
        <f>DV!AS48+DV!AS49</f>
        <v>0</v>
      </c>
      <c r="AU81">
        <f>DV!AT48+DV!AT49</f>
        <v>0</v>
      </c>
      <c r="AV81">
        <f>DV!AU48+DV!AU49</f>
        <v>0</v>
      </c>
      <c r="AW81">
        <f>DV!AV48+DV!AV49</f>
        <v>0</v>
      </c>
      <c r="AX81">
        <f>DV!AW48+DV!AW49</f>
        <v>0</v>
      </c>
      <c r="AY81">
        <f>DV!AX48+DV!AX49</f>
        <v>0</v>
      </c>
      <c r="AZ81">
        <f>DV!AY48+DV!AY49</f>
        <v>0</v>
      </c>
      <c r="BA81">
        <f>DV!AZ48+DV!AZ49</f>
        <v>0</v>
      </c>
      <c r="BB81">
        <f>DV!BA48+DV!BA49</f>
        <v>0</v>
      </c>
      <c r="BC81">
        <f>DV!BB48+DV!BB49</f>
        <v>0</v>
      </c>
      <c r="BD81">
        <f>DV!BC48+DV!BC49</f>
        <v>0</v>
      </c>
      <c r="BE81">
        <f>DV!BD48+DV!BD49</f>
        <v>0</v>
      </c>
      <c r="BF81">
        <f>DV!BE48+DV!BE49</f>
        <v>0</v>
      </c>
      <c r="BG81">
        <f>DV!BF48+DV!BF49</f>
        <v>0</v>
      </c>
      <c r="BH81">
        <f>DV!BG48+DV!BG49</f>
        <v>0</v>
      </c>
      <c r="BI81">
        <f>DV!BH48+DV!BH49</f>
        <v>0</v>
      </c>
      <c r="BJ81">
        <f>DV!BI48+DV!BI49</f>
        <v>0</v>
      </c>
      <c r="BK81">
        <f>DV!BJ48+DV!BJ49</f>
        <v>0</v>
      </c>
      <c r="BL81">
        <f>DV!BK48+DV!BK49</f>
        <v>0</v>
      </c>
    </row>
    <row r="82" spans="1:64">
      <c r="A82">
        <v>31</v>
      </c>
      <c r="B82" s="5" t="str">
        <f>TEXT(VLOOKUP(A82,СВ[],2),"чч:мм")&amp;"-"&amp;TEXT(VLOOKUP(A82,СВ[],3),"чч:мм")</f>
        <v>15:15-16:00</v>
      </c>
      <c r="C82" s="6">
        <v>33</v>
      </c>
      <c r="D82" s="5" t="str">
        <f>TEXT(VLOOKUP(C82,СВ[],2),"чч:мм")&amp;"-"&amp;TEXT(VLOOKUP(C82,СВ[],3),"чч:мм")</f>
        <v>15:45-16:30</v>
      </c>
      <c r="E82">
        <f>DV!D48+DV!D50</f>
        <v>0</v>
      </c>
      <c r="F82">
        <f>DV!E48+DV!E50</f>
        <v>0</v>
      </c>
      <c r="G82">
        <f>DV!F48+DV!F50</f>
        <v>0</v>
      </c>
      <c r="H82">
        <f>DV!G48+DV!G50</f>
        <v>0</v>
      </c>
      <c r="I82">
        <f>DV!H48+DV!H50</f>
        <v>0</v>
      </c>
      <c r="J82">
        <f>DV!I48+DV!I50</f>
        <v>0</v>
      </c>
      <c r="K82">
        <f>DV!J48+DV!J50</f>
        <v>0</v>
      </c>
      <c r="L82">
        <f>DV!K48+DV!K50</f>
        <v>0</v>
      </c>
      <c r="M82">
        <f>DV!L48+DV!L50</f>
        <v>0</v>
      </c>
      <c r="N82">
        <f>DV!M48+DV!M50</f>
        <v>0</v>
      </c>
      <c r="O82">
        <f>DV!N48+DV!N50</f>
        <v>0</v>
      </c>
      <c r="P82">
        <f>DV!O48+DV!O50</f>
        <v>0</v>
      </c>
      <c r="Q82">
        <f>DV!P48+DV!P50</f>
        <v>0</v>
      </c>
      <c r="R82">
        <f>DV!Q48+DV!Q50</f>
        <v>0</v>
      </c>
      <c r="S82">
        <f>DV!R48+DV!R50</f>
        <v>0</v>
      </c>
      <c r="T82">
        <f>DV!S48+DV!S50</f>
        <v>0</v>
      </c>
      <c r="U82">
        <f>DV!T48+DV!T50</f>
        <v>0</v>
      </c>
      <c r="V82">
        <f>DV!U48+DV!U50</f>
        <v>0</v>
      </c>
      <c r="W82">
        <f>DV!V48+DV!V50</f>
        <v>0</v>
      </c>
      <c r="X82">
        <f>DV!W48+DV!W50</f>
        <v>0</v>
      </c>
      <c r="Y82">
        <f>DV!X48+DV!X50</f>
        <v>0</v>
      </c>
      <c r="Z82">
        <f>DV!Y48+DV!Y50</f>
        <v>0</v>
      </c>
      <c r="AA82">
        <f>DV!Z48+DV!Z50</f>
        <v>0</v>
      </c>
      <c r="AB82">
        <f>DV!AA48+DV!AA50</f>
        <v>0</v>
      </c>
      <c r="AC82">
        <f>DV!AB48+DV!AB50</f>
        <v>0</v>
      </c>
      <c r="AD82">
        <f>DV!AC48+DV!AC50</f>
        <v>0</v>
      </c>
      <c r="AE82">
        <f>DV!AD48+DV!AD50</f>
        <v>0</v>
      </c>
      <c r="AF82">
        <f>DV!AE48+DV!AE50</f>
        <v>0</v>
      </c>
      <c r="AG82">
        <f>DV!AF48+DV!AF50</f>
        <v>0</v>
      </c>
      <c r="AH82">
        <f>DV!AG48+DV!AG50</f>
        <v>0</v>
      </c>
      <c r="AI82">
        <f>DV!AH48+DV!AH50</f>
        <v>0</v>
      </c>
      <c r="AJ82">
        <f>DV!AI48+DV!AI50</f>
        <v>0</v>
      </c>
      <c r="AK82">
        <f>DV!AJ48+DV!AJ50</f>
        <v>0</v>
      </c>
      <c r="AL82">
        <f>DV!AK48+DV!AK50</f>
        <v>0</v>
      </c>
      <c r="AM82">
        <f>DV!AL48+DV!AL50</f>
        <v>0</v>
      </c>
      <c r="AN82">
        <f>DV!AM48+DV!AM50</f>
        <v>0</v>
      </c>
      <c r="AO82">
        <f>DV!AN48+DV!AN50</f>
        <v>0</v>
      </c>
      <c r="AP82">
        <f>DV!AO48+DV!AO50</f>
        <v>0</v>
      </c>
      <c r="AQ82">
        <f>DV!AP48+DV!AP50</f>
        <v>0</v>
      </c>
      <c r="AR82">
        <f>DV!AQ48+DV!AQ50</f>
        <v>0</v>
      </c>
      <c r="AS82">
        <f>DV!AR48+DV!AR50</f>
        <v>0</v>
      </c>
      <c r="AT82">
        <f>DV!AS48+DV!AS50</f>
        <v>0</v>
      </c>
      <c r="AU82">
        <f>DV!AT48+DV!AT50</f>
        <v>0</v>
      </c>
      <c r="AV82">
        <f>DV!AU48+DV!AU50</f>
        <v>0</v>
      </c>
      <c r="AW82">
        <f>DV!AV48+DV!AV50</f>
        <v>0</v>
      </c>
      <c r="AX82">
        <f>DV!AW48+DV!AW50</f>
        <v>0</v>
      </c>
      <c r="AY82">
        <f>DV!AX48+DV!AX50</f>
        <v>0</v>
      </c>
      <c r="AZ82">
        <f>DV!AY48+DV!AY50</f>
        <v>0</v>
      </c>
      <c r="BA82">
        <f>DV!AZ48+DV!AZ50</f>
        <v>0</v>
      </c>
      <c r="BB82">
        <f>DV!BA48+DV!BA50</f>
        <v>0</v>
      </c>
      <c r="BC82">
        <f>DV!BB48+DV!BB50</f>
        <v>0</v>
      </c>
      <c r="BD82">
        <f>DV!BC48+DV!BC50</f>
        <v>0</v>
      </c>
      <c r="BE82">
        <f>DV!BD48+DV!BD50</f>
        <v>0</v>
      </c>
      <c r="BF82">
        <f>DV!BE48+DV!BE50</f>
        <v>0</v>
      </c>
      <c r="BG82">
        <f>DV!BF48+DV!BF50</f>
        <v>0</v>
      </c>
      <c r="BH82">
        <f>DV!BG48+DV!BG50</f>
        <v>0</v>
      </c>
      <c r="BI82">
        <f>DV!BH48+DV!BH50</f>
        <v>0</v>
      </c>
      <c r="BJ82">
        <f>DV!BI48+DV!BI50</f>
        <v>0</v>
      </c>
      <c r="BK82">
        <f>DV!BJ48+DV!BJ50</f>
        <v>0</v>
      </c>
      <c r="BL82">
        <f>DV!BK48+DV!BK50</f>
        <v>0</v>
      </c>
    </row>
    <row r="83" spans="1:64">
      <c r="A83">
        <v>32</v>
      </c>
      <c r="B83" s="5" t="str">
        <f>TEXT(VLOOKUP(A83,СВ[],2),"чч:мм")&amp;"-"&amp;TEXT(VLOOKUP(A83,СВ[],3),"чч:мм")</f>
        <v>15:30-16:15</v>
      </c>
      <c r="C83" s="6">
        <v>33</v>
      </c>
      <c r="D83" s="5" t="str">
        <f>TEXT(VLOOKUP(C83,СВ[],2),"чч:мм")&amp;"-"&amp;TEXT(VLOOKUP(C83,СВ[],3),"чч:мм")</f>
        <v>15:45-16:30</v>
      </c>
      <c r="E83">
        <f>DV!D49+DV!D50</f>
        <v>0</v>
      </c>
      <c r="F83">
        <f>DV!E49+DV!E50</f>
        <v>0</v>
      </c>
      <c r="G83">
        <f>DV!F49+DV!F50</f>
        <v>0</v>
      </c>
      <c r="H83">
        <f>DV!G49+DV!G50</f>
        <v>0</v>
      </c>
      <c r="I83">
        <f>DV!H49+DV!H50</f>
        <v>0</v>
      </c>
      <c r="J83">
        <f>DV!I49+DV!I50</f>
        <v>0</v>
      </c>
      <c r="K83">
        <f>DV!J49+DV!J50</f>
        <v>0</v>
      </c>
      <c r="L83">
        <f>DV!K49+DV!K50</f>
        <v>0</v>
      </c>
      <c r="M83">
        <f>DV!L49+DV!L50</f>
        <v>0</v>
      </c>
      <c r="N83">
        <f>DV!M49+DV!M50</f>
        <v>0</v>
      </c>
      <c r="O83">
        <f>DV!N49+DV!N50</f>
        <v>0</v>
      </c>
      <c r="P83">
        <f>DV!O49+DV!O50</f>
        <v>0</v>
      </c>
      <c r="Q83">
        <f>DV!P49+DV!P50</f>
        <v>0</v>
      </c>
      <c r="R83">
        <f>DV!Q49+DV!Q50</f>
        <v>0</v>
      </c>
      <c r="S83">
        <f>DV!R49+DV!R50</f>
        <v>0</v>
      </c>
      <c r="T83">
        <f>DV!S49+DV!S50</f>
        <v>0</v>
      </c>
      <c r="U83">
        <f>DV!T49+DV!T50</f>
        <v>0</v>
      </c>
      <c r="V83">
        <f>DV!U49+DV!U50</f>
        <v>0</v>
      </c>
      <c r="W83">
        <f>DV!V49+DV!V50</f>
        <v>0</v>
      </c>
      <c r="X83">
        <f>DV!W49+DV!W50</f>
        <v>0</v>
      </c>
      <c r="Y83">
        <f>DV!X49+DV!X50</f>
        <v>0</v>
      </c>
      <c r="Z83">
        <f>DV!Y49+DV!Y50</f>
        <v>0</v>
      </c>
      <c r="AA83">
        <f>DV!Z49+DV!Z50</f>
        <v>0</v>
      </c>
      <c r="AB83">
        <f>DV!AA49+DV!AA50</f>
        <v>0</v>
      </c>
      <c r="AC83">
        <f>DV!AB49+DV!AB50</f>
        <v>0</v>
      </c>
      <c r="AD83">
        <f>DV!AC49+DV!AC50</f>
        <v>0</v>
      </c>
      <c r="AE83">
        <f>DV!AD49+DV!AD50</f>
        <v>0</v>
      </c>
      <c r="AF83">
        <f>DV!AE49+DV!AE50</f>
        <v>0</v>
      </c>
      <c r="AG83">
        <f>DV!AF49+DV!AF50</f>
        <v>0</v>
      </c>
      <c r="AH83">
        <f>DV!AG49+DV!AG50</f>
        <v>0</v>
      </c>
      <c r="AI83">
        <f>DV!AH49+DV!AH50</f>
        <v>0</v>
      </c>
      <c r="AJ83">
        <f>DV!AI49+DV!AI50</f>
        <v>0</v>
      </c>
      <c r="AK83">
        <f>DV!AJ49+DV!AJ50</f>
        <v>0</v>
      </c>
      <c r="AL83">
        <f>DV!AK49+DV!AK50</f>
        <v>0</v>
      </c>
      <c r="AM83">
        <f>DV!AL49+DV!AL50</f>
        <v>0</v>
      </c>
      <c r="AN83">
        <f>DV!AM49+DV!AM50</f>
        <v>0</v>
      </c>
      <c r="AO83">
        <f>DV!AN49+DV!AN50</f>
        <v>0</v>
      </c>
      <c r="AP83">
        <f>DV!AO49+DV!AO50</f>
        <v>0</v>
      </c>
      <c r="AQ83">
        <f>DV!AP49+DV!AP50</f>
        <v>0</v>
      </c>
      <c r="AR83">
        <f>DV!AQ49+DV!AQ50</f>
        <v>0</v>
      </c>
      <c r="AS83">
        <f>DV!AR49+DV!AR50</f>
        <v>0</v>
      </c>
      <c r="AT83">
        <f>DV!AS49+DV!AS50</f>
        <v>0</v>
      </c>
      <c r="AU83">
        <f>DV!AT49+DV!AT50</f>
        <v>0</v>
      </c>
      <c r="AV83">
        <f>DV!AU49+DV!AU50</f>
        <v>0</v>
      </c>
      <c r="AW83">
        <f>DV!AV49+DV!AV50</f>
        <v>0</v>
      </c>
      <c r="AX83">
        <f>DV!AW49+DV!AW50</f>
        <v>0</v>
      </c>
      <c r="AY83">
        <f>DV!AX49+DV!AX50</f>
        <v>0</v>
      </c>
      <c r="AZ83">
        <f>DV!AY49+DV!AY50</f>
        <v>0</v>
      </c>
      <c r="BA83">
        <f>DV!AZ49+DV!AZ50</f>
        <v>0</v>
      </c>
      <c r="BB83">
        <f>DV!BA49+DV!BA50</f>
        <v>0</v>
      </c>
      <c r="BC83">
        <f>DV!BB49+DV!BB50</f>
        <v>0</v>
      </c>
      <c r="BD83">
        <f>DV!BC49+DV!BC50</f>
        <v>0</v>
      </c>
      <c r="BE83">
        <f>DV!BD49+DV!BD50</f>
        <v>0</v>
      </c>
      <c r="BF83">
        <f>DV!BE49+DV!BE50</f>
        <v>0</v>
      </c>
      <c r="BG83">
        <f>DV!BF49+DV!BF50</f>
        <v>0</v>
      </c>
      <c r="BH83">
        <f>DV!BG49+DV!BG50</f>
        <v>0</v>
      </c>
      <c r="BI83">
        <f>DV!BH49+DV!BH50</f>
        <v>0</v>
      </c>
      <c r="BJ83">
        <f>DV!BI49+DV!BI50</f>
        <v>0</v>
      </c>
      <c r="BK83">
        <f>DV!BJ49+DV!BJ50</f>
        <v>0</v>
      </c>
      <c r="BL83">
        <f>DV!BK49+DV!BK50</f>
        <v>0</v>
      </c>
    </row>
    <row r="84" spans="1:64">
      <c r="A84">
        <v>32</v>
      </c>
      <c r="B84" s="5" t="str">
        <f>TEXT(VLOOKUP(A84,СВ[],2),"чч:мм")&amp;"-"&amp;TEXT(VLOOKUP(A84,СВ[],3),"чч:мм")</f>
        <v>15:30-16:15</v>
      </c>
      <c r="C84" s="6">
        <v>34</v>
      </c>
      <c r="D84" s="5" t="str">
        <f>TEXT(VLOOKUP(C84,СВ[],2),"чч:мм")&amp;"-"&amp;TEXT(VLOOKUP(C84,СВ[],3),"чч:мм")</f>
        <v>16:00-17:00</v>
      </c>
      <c r="E84">
        <f>DV!D49+DV!D51</f>
        <v>0</v>
      </c>
      <c r="F84">
        <f>DV!E49+DV!E51</f>
        <v>0</v>
      </c>
      <c r="G84">
        <f>DV!F49+DV!F51</f>
        <v>0</v>
      </c>
      <c r="H84">
        <f>DV!G49+DV!G51</f>
        <v>0</v>
      </c>
      <c r="I84">
        <f>DV!H49+DV!H51</f>
        <v>0</v>
      </c>
      <c r="J84">
        <f>DV!I49+DV!I51</f>
        <v>0</v>
      </c>
      <c r="K84">
        <f>DV!J49+DV!J51</f>
        <v>0</v>
      </c>
      <c r="L84">
        <f>DV!K49+DV!K51</f>
        <v>0</v>
      </c>
      <c r="M84">
        <f>DV!L49+DV!L51</f>
        <v>0</v>
      </c>
      <c r="N84">
        <f>DV!M49+DV!M51</f>
        <v>0</v>
      </c>
      <c r="O84">
        <f>DV!N49+DV!N51</f>
        <v>0</v>
      </c>
      <c r="P84">
        <f>DV!O49+DV!O51</f>
        <v>0</v>
      </c>
      <c r="Q84">
        <f>DV!P49+DV!P51</f>
        <v>0</v>
      </c>
      <c r="R84">
        <f>DV!Q49+DV!Q51</f>
        <v>0</v>
      </c>
      <c r="S84">
        <f>DV!R49+DV!R51</f>
        <v>0</v>
      </c>
      <c r="T84">
        <f>DV!S49+DV!S51</f>
        <v>0</v>
      </c>
      <c r="U84">
        <f>DV!T49+DV!T51</f>
        <v>0</v>
      </c>
      <c r="V84">
        <f>DV!U49+DV!U51</f>
        <v>0</v>
      </c>
      <c r="W84">
        <f>DV!V49+DV!V51</f>
        <v>0</v>
      </c>
      <c r="X84">
        <f>DV!W49+DV!W51</f>
        <v>0</v>
      </c>
      <c r="Y84">
        <f>DV!X49+DV!X51</f>
        <v>0</v>
      </c>
      <c r="Z84">
        <f>DV!Y49+DV!Y51</f>
        <v>0</v>
      </c>
      <c r="AA84">
        <f>DV!Z49+DV!Z51</f>
        <v>0</v>
      </c>
      <c r="AB84">
        <f>DV!AA49+DV!AA51</f>
        <v>0</v>
      </c>
      <c r="AC84">
        <f>DV!AB49+DV!AB51</f>
        <v>0</v>
      </c>
      <c r="AD84">
        <f>DV!AC49+DV!AC51</f>
        <v>0</v>
      </c>
      <c r="AE84">
        <f>DV!AD49+DV!AD51</f>
        <v>0</v>
      </c>
      <c r="AF84">
        <f>DV!AE49+DV!AE51</f>
        <v>0</v>
      </c>
      <c r="AG84">
        <f>DV!AF49+DV!AF51</f>
        <v>0</v>
      </c>
      <c r="AH84">
        <f>DV!AG49+DV!AG51</f>
        <v>0</v>
      </c>
      <c r="AI84">
        <f>DV!AH49+DV!AH51</f>
        <v>0</v>
      </c>
      <c r="AJ84">
        <f>DV!AI49+DV!AI51</f>
        <v>0</v>
      </c>
      <c r="AK84">
        <f>DV!AJ49+DV!AJ51</f>
        <v>0</v>
      </c>
      <c r="AL84">
        <f>DV!AK49+DV!AK51</f>
        <v>0</v>
      </c>
      <c r="AM84">
        <f>DV!AL49+DV!AL51</f>
        <v>0</v>
      </c>
      <c r="AN84">
        <f>DV!AM49+DV!AM51</f>
        <v>0</v>
      </c>
      <c r="AO84">
        <f>DV!AN49+DV!AN51</f>
        <v>0</v>
      </c>
      <c r="AP84">
        <f>DV!AO49+DV!AO51</f>
        <v>0</v>
      </c>
      <c r="AQ84">
        <f>DV!AP49+DV!AP51</f>
        <v>0</v>
      </c>
      <c r="AR84">
        <f>DV!AQ49+DV!AQ51</f>
        <v>0</v>
      </c>
      <c r="AS84">
        <f>DV!AR49+DV!AR51</f>
        <v>0</v>
      </c>
      <c r="AT84">
        <f>DV!AS49+DV!AS51</f>
        <v>0</v>
      </c>
      <c r="AU84">
        <f>DV!AT49+DV!AT51</f>
        <v>0</v>
      </c>
      <c r="AV84">
        <f>DV!AU49+DV!AU51</f>
        <v>0</v>
      </c>
      <c r="AW84">
        <f>DV!AV49+DV!AV51</f>
        <v>0</v>
      </c>
      <c r="AX84">
        <f>DV!AW49+DV!AW51</f>
        <v>0</v>
      </c>
      <c r="AY84">
        <f>DV!AX49+DV!AX51</f>
        <v>0</v>
      </c>
      <c r="AZ84">
        <f>DV!AY49+DV!AY51</f>
        <v>0</v>
      </c>
      <c r="BA84">
        <f>DV!AZ49+DV!AZ51</f>
        <v>0</v>
      </c>
      <c r="BB84">
        <f>DV!BA49+DV!BA51</f>
        <v>0</v>
      </c>
      <c r="BC84">
        <f>DV!BB49+DV!BB51</f>
        <v>0</v>
      </c>
      <c r="BD84">
        <f>DV!BC49+DV!BC51</f>
        <v>0</v>
      </c>
      <c r="BE84">
        <f>DV!BD49+DV!BD51</f>
        <v>0</v>
      </c>
      <c r="BF84">
        <f>DV!BE49+DV!BE51</f>
        <v>0</v>
      </c>
      <c r="BG84">
        <f>DV!BF49+DV!BF51</f>
        <v>0</v>
      </c>
      <c r="BH84">
        <f>DV!BG49+DV!BG51</f>
        <v>0</v>
      </c>
      <c r="BI84">
        <f>DV!BH49+DV!BH51</f>
        <v>0</v>
      </c>
      <c r="BJ84">
        <f>DV!BI49+DV!BI51</f>
        <v>0</v>
      </c>
      <c r="BK84">
        <f>DV!BJ49+DV!BJ51</f>
        <v>0</v>
      </c>
      <c r="BL84">
        <f>DV!BK49+DV!BK51</f>
        <v>0</v>
      </c>
    </row>
    <row r="85" spans="1:64">
      <c r="A85">
        <v>33</v>
      </c>
      <c r="B85" s="5" t="str">
        <f>TEXT(VLOOKUP(A85,СВ[],2),"чч:мм")&amp;"-"&amp;TEXT(VLOOKUP(A85,СВ[],3),"чч:мм")</f>
        <v>15:45-16:30</v>
      </c>
      <c r="C85" s="6">
        <v>34</v>
      </c>
      <c r="D85" s="5" t="str">
        <f>TEXT(VLOOKUP(C85,СВ[],2),"чч:мм")&amp;"-"&amp;TEXT(VLOOKUP(C85,СВ[],3),"чч:мм")</f>
        <v>16:00-17:00</v>
      </c>
      <c r="E85">
        <f>DV!D50+DV!D51</f>
        <v>0</v>
      </c>
      <c r="F85">
        <f>DV!E50+DV!E51</f>
        <v>0</v>
      </c>
      <c r="G85">
        <f>DV!F50+DV!F51</f>
        <v>0</v>
      </c>
      <c r="H85">
        <f>DV!G50+DV!G51</f>
        <v>0</v>
      </c>
      <c r="I85">
        <f>DV!H50+DV!H51</f>
        <v>0</v>
      </c>
      <c r="J85">
        <f>DV!I50+DV!I51</f>
        <v>0</v>
      </c>
      <c r="K85">
        <f>DV!J50+DV!J51</f>
        <v>0</v>
      </c>
      <c r="L85">
        <f>DV!K50+DV!K51</f>
        <v>0</v>
      </c>
      <c r="M85">
        <f>DV!L50+DV!L51</f>
        <v>0</v>
      </c>
      <c r="N85">
        <f>DV!M50+DV!M51</f>
        <v>0</v>
      </c>
      <c r="O85">
        <f>DV!N50+DV!N51</f>
        <v>0</v>
      </c>
      <c r="P85">
        <f>DV!O50+DV!O51</f>
        <v>0</v>
      </c>
      <c r="Q85">
        <f>DV!P50+DV!P51</f>
        <v>0</v>
      </c>
      <c r="R85">
        <f>DV!Q50+DV!Q51</f>
        <v>0</v>
      </c>
      <c r="S85">
        <f>DV!R50+DV!R51</f>
        <v>0</v>
      </c>
      <c r="T85">
        <f>DV!S50+DV!S51</f>
        <v>0</v>
      </c>
      <c r="U85">
        <f>DV!T50+DV!T51</f>
        <v>0</v>
      </c>
      <c r="V85">
        <f>DV!U50+DV!U51</f>
        <v>0</v>
      </c>
      <c r="W85">
        <f>DV!V50+DV!V51</f>
        <v>0</v>
      </c>
      <c r="X85">
        <f>DV!W50+DV!W51</f>
        <v>0</v>
      </c>
      <c r="Y85">
        <f>DV!X50+DV!X51</f>
        <v>0</v>
      </c>
      <c r="Z85">
        <f>DV!Y50+DV!Y51</f>
        <v>0</v>
      </c>
      <c r="AA85">
        <f>DV!Z50+DV!Z51</f>
        <v>0</v>
      </c>
      <c r="AB85">
        <f>DV!AA50+DV!AA51</f>
        <v>0</v>
      </c>
      <c r="AC85">
        <f>DV!AB50+DV!AB51</f>
        <v>0</v>
      </c>
      <c r="AD85">
        <f>DV!AC50+DV!AC51</f>
        <v>0</v>
      </c>
      <c r="AE85">
        <f>DV!AD50+DV!AD51</f>
        <v>0</v>
      </c>
      <c r="AF85">
        <f>DV!AE50+DV!AE51</f>
        <v>0</v>
      </c>
      <c r="AG85">
        <f>DV!AF50+DV!AF51</f>
        <v>0</v>
      </c>
      <c r="AH85">
        <f>DV!AG50+DV!AG51</f>
        <v>0</v>
      </c>
      <c r="AI85">
        <f>DV!AH50+DV!AH51</f>
        <v>0</v>
      </c>
      <c r="AJ85">
        <f>DV!AI50+DV!AI51</f>
        <v>0</v>
      </c>
      <c r="AK85">
        <f>DV!AJ50+DV!AJ51</f>
        <v>0</v>
      </c>
      <c r="AL85">
        <f>DV!AK50+DV!AK51</f>
        <v>0</v>
      </c>
      <c r="AM85">
        <f>DV!AL50+DV!AL51</f>
        <v>0</v>
      </c>
      <c r="AN85">
        <f>DV!AM50+DV!AM51</f>
        <v>0</v>
      </c>
      <c r="AO85">
        <f>DV!AN50+DV!AN51</f>
        <v>0</v>
      </c>
      <c r="AP85">
        <f>DV!AO50+DV!AO51</f>
        <v>0</v>
      </c>
      <c r="AQ85">
        <f>DV!AP50+DV!AP51</f>
        <v>0</v>
      </c>
      <c r="AR85">
        <f>DV!AQ50+DV!AQ51</f>
        <v>0</v>
      </c>
      <c r="AS85">
        <f>DV!AR50+DV!AR51</f>
        <v>0</v>
      </c>
      <c r="AT85">
        <f>DV!AS50+DV!AS51</f>
        <v>0</v>
      </c>
      <c r="AU85">
        <f>DV!AT50+DV!AT51</f>
        <v>0</v>
      </c>
      <c r="AV85">
        <f>DV!AU50+DV!AU51</f>
        <v>0</v>
      </c>
      <c r="AW85">
        <f>DV!AV50+DV!AV51</f>
        <v>0</v>
      </c>
      <c r="AX85">
        <f>DV!AW50+DV!AW51</f>
        <v>0</v>
      </c>
      <c r="AY85">
        <f>DV!AX50+DV!AX51</f>
        <v>0</v>
      </c>
      <c r="AZ85">
        <f>DV!AY50+DV!AY51</f>
        <v>0</v>
      </c>
      <c r="BA85">
        <f>DV!AZ50+DV!AZ51</f>
        <v>0</v>
      </c>
      <c r="BB85">
        <f>DV!BA50+DV!BA51</f>
        <v>0</v>
      </c>
      <c r="BC85">
        <f>DV!BB50+DV!BB51</f>
        <v>0</v>
      </c>
      <c r="BD85">
        <f>DV!BC50+DV!BC51</f>
        <v>0</v>
      </c>
      <c r="BE85">
        <f>DV!BD50+DV!BD51</f>
        <v>0</v>
      </c>
      <c r="BF85">
        <f>DV!BE50+DV!BE51</f>
        <v>0</v>
      </c>
      <c r="BG85">
        <f>DV!BF50+DV!BF51</f>
        <v>0</v>
      </c>
      <c r="BH85">
        <f>DV!BG50+DV!BG51</f>
        <v>0</v>
      </c>
      <c r="BI85">
        <f>DV!BH50+DV!BH51</f>
        <v>0</v>
      </c>
      <c r="BJ85">
        <f>DV!BI50+DV!BI51</f>
        <v>0</v>
      </c>
      <c r="BK85">
        <f>DV!BJ50+DV!BJ51</f>
        <v>0</v>
      </c>
      <c r="BL85">
        <f>DV!BK50+DV!BK51</f>
        <v>0</v>
      </c>
    </row>
    <row r="86" spans="1:64">
      <c r="A86">
        <v>33</v>
      </c>
      <c r="B86" s="5" t="str">
        <f>TEXT(VLOOKUP(A86,СВ[],2),"чч:мм")&amp;"-"&amp;TEXT(VLOOKUP(A86,СВ[],3),"чч:мм")</f>
        <v>15:45-16:30</v>
      </c>
      <c r="C86" s="6">
        <v>35</v>
      </c>
      <c r="D86" s="5" t="str">
        <f>TEXT(VLOOKUP(C86,СВ[],2),"чч:мм")&amp;"-"&amp;TEXT(VLOOKUP(C86,СВ[],3),"чч:мм")</f>
        <v>16:15-17:00</v>
      </c>
      <c r="E86">
        <f>DV!D50+DV!D52</f>
        <v>0</v>
      </c>
      <c r="F86">
        <f>DV!E50+DV!E52</f>
        <v>0</v>
      </c>
      <c r="G86">
        <f>DV!F50+DV!F52</f>
        <v>0</v>
      </c>
      <c r="H86">
        <f>DV!G50+DV!G52</f>
        <v>0</v>
      </c>
      <c r="I86">
        <f>DV!H50+DV!H52</f>
        <v>0</v>
      </c>
      <c r="J86">
        <f>DV!I50+DV!I52</f>
        <v>0</v>
      </c>
      <c r="K86">
        <f>DV!J50+DV!J52</f>
        <v>0</v>
      </c>
      <c r="L86">
        <f>DV!K50+DV!K52</f>
        <v>0</v>
      </c>
      <c r="M86">
        <f>DV!L50+DV!L52</f>
        <v>0</v>
      </c>
      <c r="N86">
        <f>DV!M50+DV!M52</f>
        <v>0</v>
      </c>
      <c r="O86">
        <f>DV!N50+DV!N52</f>
        <v>0</v>
      </c>
      <c r="P86">
        <f>DV!O50+DV!O52</f>
        <v>0</v>
      </c>
      <c r="Q86">
        <f>DV!P50+DV!P52</f>
        <v>0</v>
      </c>
      <c r="R86">
        <f>DV!Q50+DV!Q52</f>
        <v>0</v>
      </c>
      <c r="S86">
        <f>DV!R50+DV!R52</f>
        <v>0</v>
      </c>
      <c r="T86">
        <f>DV!S50+DV!S52</f>
        <v>0</v>
      </c>
      <c r="U86">
        <f>DV!T50+DV!T52</f>
        <v>0</v>
      </c>
      <c r="V86">
        <f>DV!U50+DV!U52</f>
        <v>0</v>
      </c>
      <c r="W86">
        <f>DV!V50+DV!V52</f>
        <v>0</v>
      </c>
      <c r="X86">
        <f>DV!W50+DV!W52</f>
        <v>0</v>
      </c>
      <c r="Y86">
        <f>DV!X50+DV!X52</f>
        <v>0</v>
      </c>
      <c r="Z86">
        <f>DV!Y50+DV!Y52</f>
        <v>0</v>
      </c>
      <c r="AA86">
        <f>DV!Z50+DV!Z52</f>
        <v>0</v>
      </c>
      <c r="AB86">
        <f>DV!AA50+DV!AA52</f>
        <v>0</v>
      </c>
      <c r="AC86">
        <f>DV!AB50+DV!AB52</f>
        <v>0</v>
      </c>
      <c r="AD86">
        <f>DV!AC50+DV!AC52</f>
        <v>0</v>
      </c>
      <c r="AE86">
        <f>DV!AD50+DV!AD52</f>
        <v>0</v>
      </c>
      <c r="AF86">
        <f>DV!AE50+DV!AE52</f>
        <v>0</v>
      </c>
      <c r="AG86">
        <f>DV!AF50+DV!AF52</f>
        <v>0</v>
      </c>
      <c r="AH86">
        <f>DV!AG50+DV!AG52</f>
        <v>0</v>
      </c>
      <c r="AI86">
        <f>DV!AH50+DV!AH52</f>
        <v>0</v>
      </c>
      <c r="AJ86">
        <f>DV!AI50+DV!AI52</f>
        <v>0</v>
      </c>
      <c r="AK86">
        <f>DV!AJ50+DV!AJ52</f>
        <v>0</v>
      </c>
      <c r="AL86">
        <f>DV!AK50+DV!AK52</f>
        <v>0</v>
      </c>
      <c r="AM86">
        <f>DV!AL50+DV!AL52</f>
        <v>0</v>
      </c>
      <c r="AN86">
        <f>DV!AM50+DV!AM52</f>
        <v>0</v>
      </c>
      <c r="AO86">
        <f>DV!AN50+DV!AN52</f>
        <v>0</v>
      </c>
      <c r="AP86">
        <f>DV!AO50+DV!AO52</f>
        <v>0</v>
      </c>
      <c r="AQ86">
        <f>DV!AP50+DV!AP52</f>
        <v>0</v>
      </c>
      <c r="AR86">
        <f>DV!AQ50+DV!AQ52</f>
        <v>0</v>
      </c>
      <c r="AS86">
        <f>DV!AR50+DV!AR52</f>
        <v>0</v>
      </c>
      <c r="AT86">
        <f>DV!AS50+DV!AS52</f>
        <v>0</v>
      </c>
      <c r="AU86">
        <f>DV!AT50+DV!AT52</f>
        <v>0</v>
      </c>
      <c r="AV86">
        <f>DV!AU50+DV!AU52</f>
        <v>0</v>
      </c>
      <c r="AW86">
        <f>DV!AV50+DV!AV52</f>
        <v>0</v>
      </c>
      <c r="AX86">
        <f>DV!AW50+DV!AW52</f>
        <v>0</v>
      </c>
      <c r="AY86">
        <f>DV!AX50+DV!AX52</f>
        <v>0</v>
      </c>
      <c r="AZ86">
        <f>DV!AY50+DV!AY52</f>
        <v>0</v>
      </c>
      <c r="BA86">
        <f>DV!AZ50+DV!AZ52</f>
        <v>0</v>
      </c>
      <c r="BB86">
        <f>DV!BA50+DV!BA52</f>
        <v>0</v>
      </c>
      <c r="BC86">
        <f>DV!BB50+DV!BB52</f>
        <v>0</v>
      </c>
      <c r="BD86">
        <f>DV!BC50+DV!BC52</f>
        <v>0</v>
      </c>
      <c r="BE86">
        <f>DV!BD50+DV!BD52</f>
        <v>0</v>
      </c>
      <c r="BF86">
        <f>DV!BE50+DV!BE52</f>
        <v>0</v>
      </c>
      <c r="BG86">
        <f>DV!BF50+DV!BF52</f>
        <v>0</v>
      </c>
      <c r="BH86">
        <f>DV!BG50+DV!BG52</f>
        <v>0</v>
      </c>
      <c r="BI86">
        <f>DV!BH50+DV!BH52</f>
        <v>0</v>
      </c>
      <c r="BJ86">
        <f>DV!BI50+DV!BI52</f>
        <v>0</v>
      </c>
      <c r="BK86">
        <f>DV!BJ50+DV!BJ52</f>
        <v>0</v>
      </c>
      <c r="BL86">
        <f>DV!BK50+DV!BK52</f>
        <v>0</v>
      </c>
    </row>
    <row r="87" spans="1:64">
      <c r="A87">
        <v>34</v>
      </c>
      <c r="B87" s="5" t="str">
        <f>TEXT(VLOOKUP(A87,СВ[],2),"чч:мм")&amp;"-"&amp;TEXT(VLOOKUP(A87,СВ[],3),"чч:мм")</f>
        <v>16:00-17:00</v>
      </c>
      <c r="C87" s="6">
        <v>35</v>
      </c>
      <c r="D87" s="5" t="str">
        <f>TEXT(VLOOKUP(C87,СВ[],2),"чч:мм")&amp;"-"&amp;TEXT(VLOOKUP(C87,СВ[],3),"чч:мм")</f>
        <v>16:15-17:00</v>
      </c>
      <c r="E87">
        <f>DV!D51+DV!D52</f>
        <v>0</v>
      </c>
      <c r="F87">
        <f>DV!E51+DV!E52</f>
        <v>0</v>
      </c>
      <c r="G87">
        <f>DV!F51+DV!F52</f>
        <v>0</v>
      </c>
      <c r="H87">
        <f>DV!G51+DV!G52</f>
        <v>0</v>
      </c>
      <c r="I87">
        <f>DV!H51+DV!H52</f>
        <v>0</v>
      </c>
      <c r="J87">
        <f>DV!I51+DV!I52</f>
        <v>0</v>
      </c>
      <c r="K87">
        <f>DV!J51+DV!J52</f>
        <v>0</v>
      </c>
      <c r="L87">
        <f>DV!K51+DV!K52</f>
        <v>0</v>
      </c>
      <c r="M87">
        <f>DV!L51+DV!L52</f>
        <v>0</v>
      </c>
      <c r="N87">
        <f>DV!M51+DV!M52</f>
        <v>0</v>
      </c>
      <c r="O87">
        <f>DV!N51+DV!N52</f>
        <v>0</v>
      </c>
      <c r="P87">
        <f>DV!O51+DV!O52</f>
        <v>0</v>
      </c>
      <c r="Q87">
        <f>DV!P51+DV!P52</f>
        <v>0</v>
      </c>
      <c r="R87">
        <f>DV!Q51+DV!Q52</f>
        <v>0</v>
      </c>
      <c r="S87">
        <f>DV!R51+DV!R52</f>
        <v>0</v>
      </c>
      <c r="T87">
        <f>DV!S51+DV!S52</f>
        <v>0</v>
      </c>
      <c r="U87">
        <f>DV!T51+DV!T52</f>
        <v>0</v>
      </c>
      <c r="V87">
        <f>DV!U51+DV!U52</f>
        <v>0</v>
      </c>
      <c r="W87">
        <f>DV!V51+DV!V52</f>
        <v>0</v>
      </c>
      <c r="X87">
        <f>DV!W51+DV!W52</f>
        <v>0</v>
      </c>
      <c r="Y87">
        <f>DV!X51+DV!X52</f>
        <v>0</v>
      </c>
      <c r="Z87">
        <f>DV!Y51+DV!Y52</f>
        <v>0</v>
      </c>
      <c r="AA87">
        <f>DV!Z51+DV!Z52</f>
        <v>0</v>
      </c>
      <c r="AB87">
        <f>DV!AA51+DV!AA52</f>
        <v>0</v>
      </c>
      <c r="AC87">
        <f>DV!AB51+DV!AB52</f>
        <v>0</v>
      </c>
      <c r="AD87">
        <f>DV!AC51+DV!AC52</f>
        <v>0</v>
      </c>
      <c r="AE87">
        <f>DV!AD51+DV!AD52</f>
        <v>0</v>
      </c>
      <c r="AF87">
        <f>DV!AE51+DV!AE52</f>
        <v>0</v>
      </c>
      <c r="AG87">
        <f>DV!AF51+DV!AF52</f>
        <v>0</v>
      </c>
      <c r="AH87">
        <f>DV!AG51+DV!AG52</f>
        <v>0</v>
      </c>
      <c r="AI87">
        <f>DV!AH51+DV!AH52</f>
        <v>0</v>
      </c>
      <c r="AJ87">
        <f>DV!AI51+DV!AI52</f>
        <v>0</v>
      </c>
      <c r="AK87">
        <f>DV!AJ51+DV!AJ52</f>
        <v>0</v>
      </c>
      <c r="AL87">
        <f>DV!AK51+DV!AK52</f>
        <v>0</v>
      </c>
      <c r="AM87">
        <f>DV!AL51+DV!AL52</f>
        <v>0</v>
      </c>
      <c r="AN87">
        <f>DV!AM51+DV!AM52</f>
        <v>0</v>
      </c>
      <c r="AO87">
        <f>DV!AN51+DV!AN52</f>
        <v>0</v>
      </c>
      <c r="AP87">
        <f>DV!AO51+DV!AO52</f>
        <v>0</v>
      </c>
      <c r="AQ87">
        <f>DV!AP51+DV!AP52</f>
        <v>0</v>
      </c>
      <c r="AR87">
        <f>DV!AQ51+DV!AQ52</f>
        <v>0</v>
      </c>
      <c r="AS87">
        <f>DV!AR51+DV!AR52</f>
        <v>0</v>
      </c>
      <c r="AT87">
        <f>DV!AS51+DV!AS52</f>
        <v>0</v>
      </c>
      <c r="AU87">
        <f>DV!AT51+DV!AT52</f>
        <v>0</v>
      </c>
      <c r="AV87">
        <f>DV!AU51+DV!AU52</f>
        <v>0</v>
      </c>
      <c r="AW87">
        <f>DV!AV51+DV!AV52</f>
        <v>0</v>
      </c>
      <c r="AX87">
        <f>DV!AW51+DV!AW52</f>
        <v>0</v>
      </c>
      <c r="AY87">
        <f>DV!AX51+DV!AX52</f>
        <v>0</v>
      </c>
      <c r="AZ87">
        <f>DV!AY51+DV!AY52</f>
        <v>0</v>
      </c>
      <c r="BA87">
        <f>DV!AZ51+DV!AZ52</f>
        <v>0</v>
      </c>
      <c r="BB87">
        <f>DV!BA51+DV!BA52</f>
        <v>0</v>
      </c>
      <c r="BC87">
        <f>DV!BB51+DV!BB52</f>
        <v>0</v>
      </c>
      <c r="BD87">
        <f>DV!BC51+DV!BC52</f>
        <v>0</v>
      </c>
      <c r="BE87">
        <f>DV!BD51+DV!BD52</f>
        <v>0</v>
      </c>
      <c r="BF87">
        <f>DV!BE51+DV!BE52</f>
        <v>0</v>
      </c>
      <c r="BG87">
        <f>DV!BF51+DV!BF52</f>
        <v>0</v>
      </c>
      <c r="BH87">
        <f>DV!BG51+DV!BG52</f>
        <v>0</v>
      </c>
      <c r="BI87">
        <f>DV!BH51+DV!BH52</f>
        <v>0</v>
      </c>
      <c r="BJ87">
        <f>DV!BI51+DV!BI52</f>
        <v>0</v>
      </c>
      <c r="BK87">
        <f>DV!BJ51+DV!BJ52</f>
        <v>0</v>
      </c>
      <c r="BL87">
        <f>DV!BK51+DV!BK52</f>
        <v>0</v>
      </c>
    </row>
    <row r="88" spans="1:64">
      <c r="A88">
        <v>34</v>
      </c>
      <c r="B88" s="5" t="str">
        <f>TEXT(VLOOKUP(A88,СВ[],2),"чч:мм")&amp;"-"&amp;TEXT(VLOOKUP(A88,СВ[],3),"чч:мм")</f>
        <v>16:00-17:00</v>
      </c>
      <c r="C88" s="6">
        <v>36</v>
      </c>
      <c r="D88" s="5" t="str">
        <f>TEXT(VLOOKUP(C88,СВ[],2),"чч:мм")&amp;"-"&amp;TEXT(VLOOKUP(C88,СВ[],3),"чч:мм")</f>
        <v>16:30-17:15</v>
      </c>
      <c r="E88">
        <f>DV!D51+DV!D53</f>
        <v>0</v>
      </c>
      <c r="F88">
        <f>DV!E51+DV!E53</f>
        <v>0</v>
      </c>
      <c r="G88">
        <f>DV!F51+DV!F53</f>
        <v>0</v>
      </c>
      <c r="H88">
        <f>DV!G51+DV!G53</f>
        <v>0</v>
      </c>
      <c r="I88">
        <f>DV!H51+DV!H53</f>
        <v>0</v>
      </c>
      <c r="J88">
        <f>DV!I51+DV!I53</f>
        <v>0</v>
      </c>
      <c r="K88">
        <f>DV!J51+DV!J53</f>
        <v>0</v>
      </c>
      <c r="L88">
        <f>DV!K51+DV!K53</f>
        <v>0</v>
      </c>
      <c r="M88">
        <f>DV!L51+DV!L53</f>
        <v>0</v>
      </c>
      <c r="N88">
        <f>DV!M51+DV!M53</f>
        <v>0</v>
      </c>
      <c r="O88">
        <f>DV!N51+DV!N53</f>
        <v>0</v>
      </c>
      <c r="P88">
        <f>DV!O51+DV!O53</f>
        <v>0</v>
      </c>
      <c r="Q88">
        <f>DV!P51+DV!P53</f>
        <v>0</v>
      </c>
      <c r="R88">
        <f>DV!Q51+DV!Q53</f>
        <v>0</v>
      </c>
      <c r="S88">
        <f>DV!R51+DV!R53</f>
        <v>0</v>
      </c>
      <c r="T88">
        <f>DV!S51+DV!S53</f>
        <v>0</v>
      </c>
      <c r="U88">
        <f>DV!T51+DV!T53</f>
        <v>0</v>
      </c>
      <c r="V88">
        <f>DV!U51+DV!U53</f>
        <v>0</v>
      </c>
      <c r="W88">
        <f>DV!V51+DV!V53</f>
        <v>0</v>
      </c>
      <c r="X88">
        <f>DV!W51+DV!W53</f>
        <v>0</v>
      </c>
      <c r="Y88">
        <f>DV!X51+DV!X53</f>
        <v>0</v>
      </c>
      <c r="Z88">
        <f>DV!Y51+DV!Y53</f>
        <v>0</v>
      </c>
      <c r="AA88">
        <f>DV!Z51+DV!Z53</f>
        <v>0</v>
      </c>
      <c r="AB88">
        <f>DV!AA51+DV!AA53</f>
        <v>0</v>
      </c>
      <c r="AC88">
        <f>DV!AB51+DV!AB53</f>
        <v>0</v>
      </c>
      <c r="AD88">
        <f>DV!AC51+DV!AC53</f>
        <v>0</v>
      </c>
      <c r="AE88">
        <f>DV!AD51+DV!AD53</f>
        <v>0</v>
      </c>
      <c r="AF88">
        <f>DV!AE51+DV!AE53</f>
        <v>0</v>
      </c>
      <c r="AG88">
        <f>DV!AF51+DV!AF53</f>
        <v>0</v>
      </c>
      <c r="AH88">
        <f>DV!AG51+DV!AG53</f>
        <v>0</v>
      </c>
      <c r="AI88">
        <f>DV!AH51+DV!AH53</f>
        <v>0</v>
      </c>
      <c r="AJ88">
        <f>DV!AI51+DV!AI53</f>
        <v>0</v>
      </c>
      <c r="AK88">
        <f>DV!AJ51+DV!AJ53</f>
        <v>0</v>
      </c>
      <c r="AL88">
        <f>DV!AK51+DV!AK53</f>
        <v>0</v>
      </c>
      <c r="AM88">
        <f>DV!AL51+DV!AL53</f>
        <v>0</v>
      </c>
      <c r="AN88">
        <f>DV!AM51+DV!AM53</f>
        <v>0</v>
      </c>
      <c r="AO88">
        <f>DV!AN51+DV!AN53</f>
        <v>0</v>
      </c>
      <c r="AP88">
        <f>DV!AO51+DV!AO53</f>
        <v>0</v>
      </c>
      <c r="AQ88">
        <f>DV!AP51+DV!AP53</f>
        <v>0</v>
      </c>
      <c r="AR88">
        <f>DV!AQ51+DV!AQ53</f>
        <v>0</v>
      </c>
      <c r="AS88">
        <f>DV!AR51+DV!AR53</f>
        <v>0</v>
      </c>
      <c r="AT88">
        <f>DV!AS51+DV!AS53</f>
        <v>0</v>
      </c>
      <c r="AU88">
        <f>DV!AT51+DV!AT53</f>
        <v>0</v>
      </c>
      <c r="AV88">
        <f>DV!AU51+DV!AU53</f>
        <v>0</v>
      </c>
      <c r="AW88">
        <f>DV!AV51+DV!AV53</f>
        <v>0</v>
      </c>
      <c r="AX88">
        <f>DV!AW51+DV!AW53</f>
        <v>0</v>
      </c>
      <c r="AY88">
        <f>DV!AX51+DV!AX53</f>
        <v>0</v>
      </c>
      <c r="AZ88">
        <f>DV!AY51+DV!AY53</f>
        <v>0</v>
      </c>
      <c r="BA88">
        <f>DV!AZ51+DV!AZ53</f>
        <v>0</v>
      </c>
      <c r="BB88">
        <f>DV!BA51+DV!BA53</f>
        <v>0</v>
      </c>
      <c r="BC88">
        <f>DV!BB51+DV!BB53</f>
        <v>0</v>
      </c>
      <c r="BD88">
        <f>DV!BC51+DV!BC53</f>
        <v>0</v>
      </c>
      <c r="BE88">
        <f>DV!BD51+DV!BD53</f>
        <v>0</v>
      </c>
      <c r="BF88">
        <f>DV!BE51+DV!BE53</f>
        <v>0</v>
      </c>
      <c r="BG88">
        <f>DV!BF51+DV!BF53</f>
        <v>0</v>
      </c>
      <c r="BH88">
        <f>DV!BG51+DV!BG53</f>
        <v>0</v>
      </c>
      <c r="BI88">
        <f>DV!BH51+DV!BH53</f>
        <v>0</v>
      </c>
      <c r="BJ88">
        <f>DV!BI51+DV!BI53</f>
        <v>0</v>
      </c>
      <c r="BK88">
        <f>DV!BJ51+DV!BJ53</f>
        <v>0</v>
      </c>
      <c r="BL88">
        <f>DV!BK51+DV!BK53</f>
        <v>0</v>
      </c>
    </row>
    <row r="89" spans="1:64">
      <c r="A89">
        <v>34</v>
      </c>
      <c r="B89" s="5" t="str">
        <f>TEXT(VLOOKUP(A89,СВ[],2),"чч:мм")&amp;"-"&amp;TEXT(VLOOKUP(A89,СВ[],3),"чч:мм")</f>
        <v>16:00-17:00</v>
      </c>
      <c r="C89" s="6">
        <v>37</v>
      </c>
      <c r="D89" s="5" t="str">
        <f>TEXT(VLOOKUP(C89,СВ[],2),"чч:мм")&amp;"-"&amp;TEXT(VLOOKUP(C89,СВ[],3),"чч:мм")</f>
        <v>16:45-17:30</v>
      </c>
      <c r="E89">
        <f>DV!D51+DV!D54</f>
        <v>0</v>
      </c>
      <c r="F89">
        <f>DV!E51+DV!E54</f>
        <v>0</v>
      </c>
      <c r="G89">
        <f>DV!F51+DV!F54</f>
        <v>0</v>
      </c>
      <c r="H89">
        <f>DV!G51+DV!G54</f>
        <v>0</v>
      </c>
      <c r="I89">
        <f>DV!H51+DV!H54</f>
        <v>0</v>
      </c>
      <c r="J89">
        <f>DV!I51+DV!I54</f>
        <v>0</v>
      </c>
      <c r="K89">
        <f>DV!J51+DV!J54</f>
        <v>0</v>
      </c>
      <c r="L89">
        <f>DV!K51+DV!K54</f>
        <v>0</v>
      </c>
      <c r="M89">
        <f>DV!L51+DV!L54</f>
        <v>0</v>
      </c>
      <c r="N89">
        <f>DV!M51+DV!M54</f>
        <v>0</v>
      </c>
      <c r="O89">
        <f>DV!N51+DV!N54</f>
        <v>0</v>
      </c>
      <c r="P89">
        <f>DV!O51+DV!O54</f>
        <v>0</v>
      </c>
      <c r="Q89">
        <f>DV!P51+DV!P54</f>
        <v>0</v>
      </c>
      <c r="R89">
        <f>DV!Q51+DV!Q54</f>
        <v>0</v>
      </c>
      <c r="S89">
        <f>DV!R51+DV!R54</f>
        <v>0</v>
      </c>
      <c r="T89">
        <f>DV!S51+DV!S54</f>
        <v>0</v>
      </c>
      <c r="U89">
        <f>DV!T51+DV!T54</f>
        <v>0</v>
      </c>
      <c r="V89">
        <f>DV!U51+DV!U54</f>
        <v>0</v>
      </c>
      <c r="W89">
        <f>DV!V51+DV!V54</f>
        <v>0</v>
      </c>
      <c r="X89">
        <f>DV!W51+DV!W54</f>
        <v>0</v>
      </c>
      <c r="Y89">
        <f>DV!X51+DV!X54</f>
        <v>0</v>
      </c>
      <c r="Z89">
        <f>DV!Y51+DV!Y54</f>
        <v>0</v>
      </c>
      <c r="AA89">
        <f>DV!Z51+DV!Z54</f>
        <v>0</v>
      </c>
      <c r="AB89">
        <f>DV!AA51+DV!AA54</f>
        <v>0</v>
      </c>
      <c r="AC89">
        <f>DV!AB51+DV!AB54</f>
        <v>0</v>
      </c>
      <c r="AD89">
        <f>DV!AC51+DV!AC54</f>
        <v>0</v>
      </c>
      <c r="AE89">
        <f>DV!AD51+DV!AD54</f>
        <v>0</v>
      </c>
      <c r="AF89">
        <f>DV!AE51+DV!AE54</f>
        <v>0</v>
      </c>
      <c r="AG89">
        <f>DV!AF51+DV!AF54</f>
        <v>0</v>
      </c>
      <c r="AH89">
        <f>DV!AG51+DV!AG54</f>
        <v>0</v>
      </c>
      <c r="AI89">
        <f>DV!AH51+DV!AH54</f>
        <v>0</v>
      </c>
      <c r="AJ89">
        <f>DV!AI51+DV!AI54</f>
        <v>0</v>
      </c>
      <c r="AK89">
        <f>DV!AJ51+DV!AJ54</f>
        <v>0</v>
      </c>
      <c r="AL89">
        <f>DV!AK51+DV!AK54</f>
        <v>0</v>
      </c>
      <c r="AM89">
        <f>DV!AL51+DV!AL54</f>
        <v>0</v>
      </c>
      <c r="AN89">
        <f>DV!AM51+DV!AM54</f>
        <v>0</v>
      </c>
      <c r="AO89">
        <f>DV!AN51+DV!AN54</f>
        <v>0</v>
      </c>
      <c r="AP89">
        <f>DV!AO51+DV!AO54</f>
        <v>0</v>
      </c>
      <c r="AQ89">
        <f>DV!AP51+DV!AP54</f>
        <v>0</v>
      </c>
      <c r="AR89">
        <f>DV!AQ51+DV!AQ54</f>
        <v>0</v>
      </c>
      <c r="AS89">
        <f>DV!AR51+DV!AR54</f>
        <v>0</v>
      </c>
      <c r="AT89">
        <f>DV!AS51+DV!AS54</f>
        <v>0</v>
      </c>
      <c r="AU89">
        <f>DV!AT51+DV!AT54</f>
        <v>0</v>
      </c>
      <c r="AV89">
        <f>DV!AU51+DV!AU54</f>
        <v>0</v>
      </c>
      <c r="AW89">
        <f>DV!AV51+DV!AV54</f>
        <v>0</v>
      </c>
      <c r="AX89">
        <f>DV!AW51+DV!AW54</f>
        <v>0</v>
      </c>
      <c r="AY89">
        <f>DV!AX51+DV!AX54</f>
        <v>0</v>
      </c>
      <c r="AZ89">
        <f>DV!AY51+DV!AY54</f>
        <v>0</v>
      </c>
      <c r="BA89">
        <f>DV!AZ51+DV!AZ54</f>
        <v>0</v>
      </c>
      <c r="BB89">
        <f>DV!BA51+DV!BA54</f>
        <v>0</v>
      </c>
      <c r="BC89">
        <f>DV!BB51+DV!BB54</f>
        <v>0</v>
      </c>
      <c r="BD89">
        <f>DV!BC51+DV!BC54</f>
        <v>0</v>
      </c>
      <c r="BE89">
        <f>DV!BD51+DV!BD54</f>
        <v>0</v>
      </c>
      <c r="BF89">
        <f>DV!BE51+DV!BE54</f>
        <v>0</v>
      </c>
      <c r="BG89">
        <f>DV!BF51+DV!BF54</f>
        <v>0</v>
      </c>
      <c r="BH89">
        <f>DV!BG51+DV!BG54</f>
        <v>0</v>
      </c>
      <c r="BI89">
        <f>DV!BH51+DV!BH54</f>
        <v>0</v>
      </c>
      <c r="BJ89">
        <f>DV!BI51+DV!BI54</f>
        <v>0</v>
      </c>
      <c r="BK89">
        <f>DV!BJ51+DV!BJ54</f>
        <v>0</v>
      </c>
      <c r="BL89">
        <f>DV!BK51+DV!BK54</f>
        <v>0</v>
      </c>
    </row>
    <row r="90" spans="1:64">
      <c r="A90">
        <v>35</v>
      </c>
      <c r="B90" s="5" t="str">
        <f>TEXT(VLOOKUP(A90,СВ[],2),"чч:мм")&amp;"-"&amp;TEXT(VLOOKUP(A90,СВ[],3),"чч:мм")</f>
        <v>16:15-17:00</v>
      </c>
      <c r="C90" s="6">
        <v>36</v>
      </c>
      <c r="D90" s="5" t="str">
        <f>TEXT(VLOOKUP(C90,СВ[],2),"чч:мм")&amp;"-"&amp;TEXT(VLOOKUP(C90,СВ[],3),"чч:мм")</f>
        <v>16:30-17:15</v>
      </c>
      <c r="E90">
        <f>DV!D52+DV!D53</f>
        <v>0</v>
      </c>
      <c r="F90">
        <f>DV!E52+DV!E53</f>
        <v>0</v>
      </c>
      <c r="G90">
        <f>DV!F52+DV!F53</f>
        <v>0</v>
      </c>
      <c r="H90">
        <f>DV!G52+DV!G53</f>
        <v>0</v>
      </c>
      <c r="I90">
        <f>DV!H52+DV!H53</f>
        <v>0</v>
      </c>
      <c r="J90">
        <f>DV!I52+DV!I53</f>
        <v>0</v>
      </c>
      <c r="K90">
        <f>DV!J52+DV!J53</f>
        <v>0</v>
      </c>
      <c r="L90">
        <f>DV!K52+DV!K53</f>
        <v>0</v>
      </c>
      <c r="M90">
        <f>DV!L52+DV!L53</f>
        <v>0</v>
      </c>
      <c r="N90">
        <f>DV!M52+DV!M53</f>
        <v>0</v>
      </c>
      <c r="O90">
        <f>DV!N52+DV!N53</f>
        <v>0</v>
      </c>
      <c r="P90">
        <f>DV!O52+DV!O53</f>
        <v>0</v>
      </c>
      <c r="Q90">
        <f>DV!P52+DV!P53</f>
        <v>0</v>
      </c>
      <c r="R90">
        <f>DV!Q52+DV!Q53</f>
        <v>0</v>
      </c>
      <c r="S90">
        <f>DV!R52+DV!R53</f>
        <v>0</v>
      </c>
      <c r="T90">
        <f>DV!S52+DV!S53</f>
        <v>0</v>
      </c>
      <c r="U90">
        <f>DV!T52+DV!T53</f>
        <v>0</v>
      </c>
      <c r="V90">
        <f>DV!U52+DV!U53</f>
        <v>0</v>
      </c>
      <c r="W90">
        <f>DV!V52+DV!V53</f>
        <v>0</v>
      </c>
      <c r="X90">
        <f>DV!W52+DV!W53</f>
        <v>0</v>
      </c>
      <c r="Y90">
        <f>DV!X52+DV!X53</f>
        <v>0</v>
      </c>
      <c r="Z90">
        <f>DV!Y52+DV!Y53</f>
        <v>0</v>
      </c>
      <c r="AA90">
        <f>DV!Z52+DV!Z53</f>
        <v>0</v>
      </c>
      <c r="AB90">
        <f>DV!AA52+DV!AA53</f>
        <v>0</v>
      </c>
      <c r="AC90">
        <f>DV!AB52+DV!AB53</f>
        <v>0</v>
      </c>
      <c r="AD90">
        <f>DV!AC52+DV!AC53</f>
        <v>0</v>
      </c>
      <c r="AE90">
        <f>DV!AD52+DV!AD53</f>
        <v>0</v>
      </c>
      <c r="AF90">
        <f>DV!AE52+DV!AE53</f>
        <v>0</v>
      </c>
      <c r="AG90">
        <f>DV!AF52+DV!AF53</f>
        <v>0</v>
      </c>
      <c r="AH90">
        <f>DV!AG52+DV!AG53</f>
        <v>0</v>
      </c>
      <c r="AI90">
        <f>DV!AH52+DV!AH53</f>
        <v>0</v>
      </c>
      <c r="AJ90">
        <f>DV!AI52+DV!AI53</f>
        <v>0</v>
      </c>
      <c r="AK90">
        <f>DV!AJ52+DV!AJ53</f>
        <v>0</v>
      </c>
      <c r="AL90">
        <f>DV!AK52+DV!AK53</f>
        <v>0</v>
      </c>
      <c r="AM90">
        <f>DV!AL52+DV!AL53</f>
        <v>0</v>
      </c>
      <c r="AN90">
        <f>DV!AM52+DV!AM53</f>
        <v>0</v>
      </c>
      <c r="AO90">
        <f>DV!AN52+DV!AN53</f>
        <v>0</v>
      </c>
      <c r="AP90">
        <f>DV!AO52+DV!AO53</f>
        <v>0</v>
      </c>
      <c r="AQ90">
        <f>DV!AP52+DV!AP53</f>
        <v>0</v>
      </c>
      <c r="AR90">
        <f>DV!AQ52+DV!AQ53</f>
        <v>0</v>
      </c>
      <c r="AS90">
        <f>DV!AR52+DV!AR53</f>
        <v>0</v>
      </c>
      <c r="AT90">
        <f>DV!AS52+DV!AS53</f>
        <v>0</v>
      </c>
      <c r="AU90">
        <f>DV!AT52+DV!AT53</f>
        <v>0</v>
      </c>
      <c r="AV90">
        <f>DV!AU52+DV!AU53</f>
        <v>0</v>
      </c>
      <c r="AW90">
        <f>DV!AV52+DV!AV53</f>
        <v>0</v>
      </c>
      <c r="AX90">
        <f>DV!AW52+DV!AW53</f>
        <v>0</v>
      </c>
      <c r="AY90">
        <f>DV!AX52+DV!AX53</f>
        <v>0</v>
      </c>
      <c r="AZ90">
        <f>DV!AY52+DV!AY53</f>
        <v>0</v>
      </c>
      <c r="BA90">
        <f>DV!AZ52+DV!AZ53</f>
        <v>0</v>
      </c>
      <c r="BB90">
        <f>DV!BA52+DV!BA53</f>
        <v>0</v>
      </c>
      <c r="BC90">
        <f>DV!BB52+DV!BB53</f>
        <v>0</v>
      </c>
      <c r="BD90">
        <f>DV!BC52+DV!BC53</f>
        <v>0</v>
      </c>
      <c r="BE90">
        <f>DV!BD52+DV!BD53</f>
        <v>0</v>
      </c>
      <c r="BF90">
        <f>DV!BE52+DV!BE53</f>
        <v>0</v>
      </c>
      <c r="BG90">
        <f>DV!BF52+DV!BF53</f>
        <v>0</v>
      </c>
      <c r="BH90">
        <f>DV!BG52+DV!BG53</f>
        <v>0</v>
      </c>
      <c r="BI90">
        <f>DV!BH52+DV!BH53</f>
        <v>0</v>
      </c>
      <c r="BJ90">
        <f>DV!BI52+DV!BI53</f>
        <v>0</v>
      </c>
      <c r="BK90">
        <f>DV!BJ52+DV!BJ53</f>
        <v>0</v>
      </c>
      <c r="BL90">
        <f>DV!BK52+DV!BK53</f>
        <v>0</v>
      </c>
    </row>
    <row r="91" spans="1:64">
      <c r="A91">
        <v>35</v>
      </c>
      <c r="B91" s="5" t="str">
        <f>TEXT(VLOOKUP(A91,СВ[],2),"чч:мм")&amp;"-"&amp;TEXT(VLOOKUP(A91,СВ[],3),"чч:мм")</f>
        <v>16:15-17:00</v>
      </c>
      <c r="C91" s="6">
        <v>37</v>
      </c>
      <c r="D91" s="5" t="str">
        <f>TEXT(VLOOKUP(C91,СВ[],2),"чч:мм")&amp;"-"&amp;TEXT(VLOOKUP(C91,СВ[],3),"чч:мм")</f>
        <v>16:45-17:30</v>
      </c>
      <c r="E91">
        <f>DV!D52+DV!D54</f>
        <v>0</v>
      </c>
      <c r="F91">
        <f>DV!E52+DV!E54</f>
        <v>0</v>
      </c>
      <c r="G91">
        <f>DV!F52+DV!F54</f>
        <v>0</v>
      </c>
      <c r="H91">
        <f>DV!G52+DV!G54</f>
        <v>0</v>
      </c>
      <c r="I91">
        <f>DV!H52+DV!H54</f>
        <v>0</v>
      </c>
      <c r="J91">
        <f>DV!I52+DV!I54</f>
        <v>0</v>
      </c>
      <c r="K91">
        <f>DV!J52+DV!J54</f>
        <v>0</v>
      </c>
      <c r="L91">
        <f>DV!K52+DV!K54</f>
        <v>0</v>
      </c>
      <c r="M91">
        <f>DV!L52+DV!L54</f>
        <v>0</v>
      </c>
      <c r="N91">
        <f>DV!M52+DV!M54</f>
        <v>0</v>
      </c>
      <c r="O91">
        <f>DV!N52+DV!N54</f>
        <v>0</v>
      </c>
      <c r="P91">
        <f>DV!O52+DV!O54</f>
        <v>0</v>
      </c>
      <c r="Q91">
        <f>DV!P52+DV!P54</f>
        <v>0</v>
      </c>
      <c r="R91">
        <f>DV!Q52+DV!Q54</f>
        <v>0</v>
      </c>
      <c r="S91">
        <f>DV!R52+DV!R54</f>
        <v>0</v>
      </c>
      <c r="T91">
        <f>DV!S52+DV!S54</f>
        <v>0</v>
      </c>
      <c r="U91">
        <f>DV!T52+DV!T54</f>
        <v>0</v>
      </c>
      <c r="V91">
        <f>DV!U52+DV!U54</f>
        <v>0</v>
      </c>
      <c r="W91">
        <f>DV!V52+DV!V54</f>
        <v>0</v>
      </c>
      <c r="X91">
        <f>DV!W52+DV!W54</f>
        <v>0</v>
      </c>
      <c r="Y91">
        <f>DV!X52+DV!X54</f>
        <v>0</v>
      </c>
      <c r="Z91">
        <f>DV!Y52+DV!Y54</f>
        <v>0</v>
      </c>
      <c r="AA91">
        <f>DV!Z52+DV!Z54</f>
        <v>0</v>
      </c>
      <c r="AB91">
        <f>DV!AA52+DV!AA54</f>
        <v>0</v>
      </c>
      <c r="AC91">
        <f>DV!AB52+DV!AB54</f>
        <v>0</v>
      </c>
      <c r="AD91">
        <f>DV!AC52+DV!AC54</f>
        <v>0</v>
      </c>
      <c r="AE91">
        <f>DV!AD52+DV!AD54</f>
        <v>0</v>
      </c>
      <c r="AF91">
        <f>DV!AE52+DV!AE54</f>
        <v>0</v>
      </c>
      <c r="AG91">
        <f>DV!AF52+DV!AF54</f>
        <v>0</v>
      </c>
      <c r="AH91">
        <f>DV!AG52+DV!AG54</f>
        <v>0</v>
      </c>
      <c r="AI91">
        <f>DV!AH52+DV!AH54</f>
        <v>0</v>
      </c>
      <c r="AJ91">
        <f>DV!AI52+DV!AI54</f>
        <v>0</v>
      </c>
      <c r="AK91">
        <f>DV!AJ52+DV!AJ54</f>
        <v>0</v>
      </c>
      <c r="AL91">
        <f>DV!AK52+DV!AK54</f>
        <v>0</v>
      </c>
      <c r="AM91">
        <f>DV!AL52+DV!AL54</f>
        <v>0</v>
      </c>
      <c r="AN91">
        <f>DV!AM52+DV!AM54</f>
        <v>0</v>
      </c>
      <c r="AO91">
        <f>DV!AN52+DV!AN54</f>
        <v>0</v>
      </c>
      <c r="AP91">
        <f>DV!AO52+DV!AO54</f>
        <v>0</v>
      </c>
      <c r="AQ91">
        <f>DV!AP52+DV!AP54</f>
        <v>0</v>
      </c>
      <c r="AR91">
        <f>DV!AQ52+DV!AQ54</f>
        <v>0</v>
      </c>
      <c r="AS91">
        <f>DV!AR52+DV!AR54</f>
        <v>0</v>
      </c>
      <c r="AT91">
        <f>DV!AS52+DV!AS54</f>
        <v>0</v>
      </c>
      <c r="AU91">
        <f>DV!AT52+DV!AT54</f>
        <v>0</v>
      </c>
      <c r="AV91">
        <f>DV!AU52+DV!AU54</f>
        <v>0</v>
      </c>
      <c r="AW91">
        <f>DV!AV52+DV!AV54</f>
        <v>0</v>
      </c>
      <c r="AX91">
        <f>DV!AW52+DV!AW54</f>
        <v>0</v>
      </c>
      <c r="AY91">
        <f>DV!AX52+DV!AX54</f>
        <v>0</v>
      </c>
      <c r="AZ91">
        <f>DV!AY52+DV!AY54</f>
        <v>0</v>
      </c>
      <c r="BA91">
        <f>DV!AZ52+DV!AZ54</f>
        <v>0</v>
      </c>
      <c r="BB91">
        <f>DV!BA52+DV!BA54</f>
        <v>0</v>
      </c>
      <c r="BC91">
        <f>DV!BB52+DV!BB54</f>
        <v>0</v>
      </c>
      <c r="BD91">
        <f>DV!BC52+DV!BC54</f>
        <v>0</v>
      </c>
      <c r="BE91">
        <f>DV!BD52+DV!BD54</f>
        <v>0</v>
      </c>
      <c r="BF91">
        <f>DV!BE52+DV!BE54</f>
        <v>0</v>
      </c>
      <c r="BG91">
        <f>DV!BF52+DV!BF54</f>
        <v>0</v>
      </c>
      <c r="BH91">
        <f>DV!BG52+DV!BG54</f>
        <v>0</v>
      </c>
      <c r="BI91">
        <f>DV!BH52+DV!BH54</f>
        <v>0</v>
      </c>
      <c r="BJ91">
        <f>DV!BI52+DV!BI54</f>
        <v>0</v>
      </c>
      <c r="BK91">
        <f>DV!BJ52+DV!BJ54</f>
        <v>0</v>
      </c>
      <c r="BL91">
        <f>DV!BK52+DV!BK54</f>
        <v>0</v>
      </c>
    </row>
    <row r="92" spans="1:64">
      <c r="A92">
        <v>36</v>
      </c>
      <c r="B92" s="5" t="str">
        <f>TEXT(VLOOKUP(A92,СВ[],2),"чч:мм")&amp;"-"&amp;TEXT(VLOOKUP(A92,СВ[],3),"чч:мм")</f>
        <v>16:30-17:15</v>
      </c>
      <c r="C92" s="6">
        <v>37</v>
      </c>
      <c r="D92" s="5" t="str">
        <f>TEXT(VLOOKUP(C92,СВ[],2),"чч:мм")&amp;"-"&amp;TEXT(VLOOKUP(C92,СВ[],3),"чч:мм")</f>
        <v>16:45-17:30</v>
      </c>
      <c r="E92">
        <f>DV!D53+DV!D54</f>
        <v>0</v>
      </c>
      <c r="F92">
        <f>DV!E53+DV!E54</f>
        <v>0</v>
      </c>
      <c r="G92">
        <f>DV!F53+DV!F54</f>
        <v>0</v>
      </c>
      <c r="H92">
        <f>DV!G53+DV!G54</f>
        <v>0</v>
      </c>
      <c r="I92">
        <f>DV!H53+DV!H54</f>
        <v>0</v>
      </c>
      <c r="J92">
        <f>DV!I53+DV!I54</f>
        <v>0</v>
      </c>
      <c r="K92">
        <f>DV!J53+DV!J54</f>
        <v>0</v>
      </c>
      <c r="L92">
        <f>DV!K53+DV!K54</f>
        <v>0</v>
      </c>
      <c r="M92">
        <f>DV!L53+DV!L54</f>
        <v>0</v>
      </c>
      <c r="N92">
        <f>DV!M53+DV!M54</f>
        <v>0</v>
      </c>
      <c r="O92">
        <f>DV!N53+DV!N54</f>
        <v>0</v>
      </c>
      <c r="P92">
        <f>DV!O53+DV!O54</f>
        <v>0</v>
      </c>
      <c r="Q92">
        <f>DV!P53+DV!P54</f>
        <v>0</v>
      </c>
      <c r="R92">
        <f>DV!Q53+DV!Q54</f>
        <v>0</v>
      </c>
      <c r="S92">
        <f>DV!R53+DV!R54</f>
        <v>0</v>
      </c>
      <c r="T92">
        <f>DV!S53+DV!S54</f>
        <v>0</v>
      </c>
      <c r="U92">
        <f>DV!T53+DV!T54</f>
        <v>0</v>
      </c>
      <c r="V92">
        <f>DV!U53+DV!U54</f>
        <v>0</v>
      </c>
      <c r="W92">
        <f>DV!V53+DV!V54</f>
        <v>0</v>
      </c>
      <c r="X92">
        <f>DV!W53+DV!W54</f>
        <v>0</v>
      </c>
      <c r="Y92">
        <f>DV!X53+DV!X54</f>
        <v>0</v>
      </c>
      <c r="Z92">
        <f>DV!Y53+DV!Y54</f>
        <v>0</v>
      </c>
      <c r="AA92">
        <f>DV!Z53+DV!Z54</f>
        <v>0</v>
      </c>
      <c r="AB92">
        <f>DV!AA53+DV!AA54</f>
        <v>0</v>
      </c>
      <c r="AC92">
        <f>DV!AB53+DV!AB54</f>
        <v>0</v>
      </c>
      <c r="AD92">
        <f>DV!AC53+DV!AC54</f>
        <v>0</v>
      </c>
      <c r="AE92">
        <f>DV!AD53+DV!AD54</f>
        <v>0</v>
      </c>
      <c r="AF92">
        <f>DV!AE53+DV!AE54</f>
        <v>0</v>
      </c>
      <c r="AG92">
        <f>DV!AF53+DV!AF54</f>
        <v>0</v>
      </c>
      <c r="AH92">
        <f>DV!AG53+DV!AG54</f>
        <v>0</v>
      </c>
      <c r="AI92">
        <f>DV!AH53+DV!AH54</f>
        <v>0</v>
      </c>
      <c r="AJ92">
        <f>DV!AI53+DV!AI54</f>
        <v>0</v>
      </c>
      <c r="AK92">
        <f>DV!AJ53+DV!AJ54</f>
        <v>0</v>
      </c>
      <c r="AL92">
        <f>DV!AK53+DV!AK54</f>
        <v>0</v>
      </c>
      <c r="AM92">
        <f>DV!AL53+DV!AL54</f>
        <v>0</v>
      </c>
      <c r="AN92">
        <f>DV!AM53+DV!AM54</f>
        <v>0</v>
      </c>
      <c r="AO92">
        <f>DV!AN53+DV!AN54</f>
        <v>0</v>
      </c>
      <c r="AP92">
        <f>DV!AO53+DV!AO54</f>
        <v>0</v>
      </c>
      <c r="AQ92">
        <f>DV!AP53+DV!AP54</f>
        <v>0</v>
      </c>
      <c r="AR92">
        <f>DV!AQ53+DV!AQ54</f>
        <v>0</v>
      </c>
      <c r="AS92">
        <f>DV!AR53+DV!AR54</f>
        <v>0</v>
      </c>
      <c r="AT92">
        <f>DV!AS53+DV!AS54</f>
        <v>0</v>
      </c>
      <c r="AU92">
        <f>DV!AT53+DV!AT54</f>
        <v>0</v>
      </c>
      <c r="AV92">
        <f>DV!AU53+DV!AU54</f>
        <v>0</v>
      </c>
      <c r="AW92">
        <f>DV!AV53+DV!AV54</f>
        <v>0</v>
      </c>
      <c r="AX92">
        <f>DV!AW53+DV!AW54</f>
        <v>0</v>
      </c>
      <c r="AY92">
        <f>DV!AX53+DV!AX54</f>
        <v>0</v>
      </c>
      <c r="AZ92">
        <f>DV!AY53+DV!AY54</f>
        <v>0</v>
      </c>
      <c r="BA92">
        <f>DV!AZ53+DV!AZ54</f>
        <v>0</v>
      </c>
      <c r="BB92">
        <f>DV!BA53+DV!BA54</f>
        <v>0</v>
      </c>
      <c r="BC92">
        <f>DV!BB53+DV!BB54</f>
        <v>0</v>
      </c>
      <c r="BD92">
        <f>DV!BC53+DV!BC54</f>
        <v>0</v>
      </c>
      <c r="BE92">
        <f>DV!BD53+DV!BD54</f>
        <v>0</v>
      </c>
      <c r="BF92">
        <f>DV!BE53+DV!BE54</f>
        <v>0</v>
      </c>
      <c r="BG92">
        <f>DV!BF53+DV!BF54</f>
        <v>0</v>
      </c>
      <c r="BH92">
        <f>DV!BG53+DV!BG54</f>
        <v>0</v>
      </c>
      <c r="BI92">
        <f>DV!BH53+DV!BH54</f>
        <v>0</v>
      </c>
      <c r="BJ92">
        <f>DV!BI53+DV!BI54</f>
        <v>0</v>
      </c>
      <c r="BK92">
        <f>DV!BJ53+DV!BJ54</f>
        <v>0</v>
      </c>
      <c r="BL92">
        <f>DV!BK53+DV!BK54</f>
        <v>0</v>
      </c>
    </row>
    <row r="93" spans="1:64">
      <c r="A93">
        <v>36</v>
      </c>
      <c r="B93" s="5" t="str">
        <f>TEXT(VLOOKUP(A93,СВ[],2),"чч:мм")&amp;"-"&amp;TEXT(VLOOKUP(A93,СВ[],3),"чч:мм")</f>
        <v>16:30-17:15</v>
      </c>
      <c r="C93" s="6">
        <v>38</v>
      </c>
      <c r="D93" s="5" t="str">
        <f>TEXT(VLOOKUP(C93,СВ[],2),"чч:мм")&amp;"-"&amp;TEXT(VLOOKUP(C93,СВ[],3),"чч:мм")</f>
        <v>17:00-18:00</v>
      </c>
      <c r="E93">
        <f>DV!D53+DV!D55</f>
        <v>0</v>
      </c>
      <c r="F93">
        <f>DV!E53+DV!E55</f>
        <v>0</v>
      </c>
      <c r="G93">
        <f>DV!F53+DV!F55</f>
        <v>0</v>
      </c>
      <c r="H93">
        <f>DV!G53+DV!G55</f>
        <v>0</v>
      </c>
      <c r="I93">
        <f>DV!H53+DV!H55</f>
        <v>0</v>
      </c>
      <c r="J93">
        <f>DV!I53+DV!I55</f>
        <v>0</v>
      </c>
      <c r="K93">
        <f>DV!J53+DV!J55</f>
        <v>0</v>
      </c>
      <c r="L93">
        <f>DV!K53+DV!K55</f>
        <v>0</v>
      </c>
      <c r="M93">
        <f>DV!L53+DV!L55</f>
        <v>0</v>
      </c>
      <c r="N93">
        <f>DV!M53+DV!M55</f>
        <v>0</v>
      </c>
      <c r="O93">
        <f>DV!N53+DV!N55</f>
        <v>0</v>
      </c>
      <c r="P93">
        <f>DV!O53+DV!O55</f>
        <v>0</v>
      </c>
      <c r="Q93">
        <f>DV!P53+DV!P55</f>
        <v>0</v>
      </c>
      <c r="R93">
        <f>DV!Q53+DV!Q55</f>
        <v>0</v>
      </c>
      <c r="S93">
        <f>DV!R53+DV!R55</f>
        <v>0</v>
      </c>
      <c r="T93">
        <f>DV!S53+DV!S55</f>
        <v>0</v>
      </c>
      <c r="U93">
        <f>DV!T53+DV!T55</f>
        <v>0</v>
      </c>
      <c r="V93">
        <f>DV!U53+DV!U55</f>
        <v>0</v>
      </c>
      <c r="W93">
        <f>DV!V53+DV!V55</f>
        <v>0</v>
      </c>
      <c r="X93">
        <f>DV!W53+DV!W55</f>
        <v>0</v>
      </c>
      <c r="Y93">
        <f>DV!X53+DV!X55</f>
        <v>0</v>
      </c>
      <c r="Z93">
        <f>DV!Y53+DV!Y55</f>
        <v>0</v>
      </c>
      <c r="AA93">
        <f>DV!Z53+DV!Z55</f>
        <v>0</v>
      </c>
      <c r="AB93">
        <f>DV!AA53+DV!AA55</f>
        <v>0</v>
      </c>
      <c r="AC93">
        <f>DV!AB53+DV!AB55</f>
        <v>0</v>
      </c>
      <c r="AD93">
        <f>DV!AC53+DV!AC55</f>
        <v>0</v>
      </c>
      <c r="AE93">
        <f>DV!AD53+DV!AD55</f>
        <v>0</v>
      </c>
      <c r="AF93">
        <f>DV!AE53+DV!AE55</f>
        <v>0</v>
      </c>
      <c r="AG93">
        <f>DV!AF53+DV!AF55</f>
        <v>0</v>
      </c>
      <c r="AH93">
        <f>DV!AG53+DV!AG55</f>
        <v>0</v>
      </c>
      <c r="AI93">
        <f>DV!AH53+DV!AH55</f>
        <v>0</v>
      </c>
      <c r="AJ93">
        <f>DV!AI53+DV!AI55</f>
        <v>0</v>
      </c>
      <c r="AK93">
        <f>DV!AJ53+DV!AJ55</f>
        <v>0</v>
      </c>
      <c r="AL93">
        <f>DV!AK53+DV!AK55</f>
        <v>0</v>
      </c>
      <c r="AM93">
        <f>DV!AL53+DV!AL55</f>
        <v>0</v>
      </c>
      <c r="AN93">
        <f>DV!AM53+DV!AM55</f>
        <v>0</v>
      </c>
      <c r="AO93">
        <f>DV!AN53+DV!AN55</f>
        <v>0</v>
      </c>
      <c r="AP93">
        <f>DV!AO53+DV!AO55</f>
        <v>0</v>
      </c>
      <c r="AQ93">
        <f>DV!AP53+DV!AP55</f>
        <v>0</v>
      </c>
      <c r="AR93">
        <f>DV!AQ53+DV!AQ55</f>
        <v>0</v>
      </c>
      <c r="AS93">
        <f>DV!AR53+DV!AR55</f>
        <v>0</v>
      </c>
      <c r="AT93">
        <f>DV!AS53+DV!AS55</f>
        <v>0</v>
      </c>
      <c r="AU93">
        <f>DV!AT53+DV!AT55</f>
        <v>0</v>
      </c>
      <c r="AV93">
        <f>DV!AU53+DV!AU55</f>
        <v>0</v>
      </c>
      <c r="AW93">
        <f>DV!AV53+DV!AV55</f>
        <v>0</v>
      </c>
      <c r="AX93">
        <f>DV!AW53+DV!AW55</f>
        <v>0</v>
      </c>
      <c r="AY93">
        <f>DV!AX53+DV!AX55</f>
        <v>0</v>
      </c>
      <c r="AZ93">
        <f>DV!AY53+DV!AY55</f>
        <v>0</v>
      </c>
      <c r="BA93">
        <f>DV!AZ53+DV!AZ55</f>
        <v>0</v>
      </c>
      <c r="BB93">
        <f>DV!BA53+DV!BA55</f>
        <v>0</v>
      </c>
      <c r="BC93">
        <f>DV!BB53+DV!BB55</f>
        <v>0</v>
      </c>
      <c r="BD93">
        <f>DV!BC53+DV!BC55</f>
        <v>0</v>
      </c>
      <c r="BE93">
        <f>DV!BD53+DV!BD55</f>
        <v>0</v>
      </c>
      <c r="BF93">
        <f>DV!BE53+DV!BE55</f>
        <v>0</v>
      </c>
      <c r="BG93">
        <f>DV!BF53+DV!BF55</f>
        <v>0</v>
      </c>
      <c r="BH93">
        <f>DV!BG53+DV!BG55</f>
        <v>0</v>
      </c>
      <c r="BI93">
        <f>DV!BH53+DV!BH55</f>
        <v>0</v>
      </c>
      <c r="BJ93">
        <f>DV!BI53+DV!BI55</f>
        <v>0</v>
      </c>
      <c r="BK93">
        <f>DV!BJ53+DV!BJ55</f>
        <v>0</v>
      </c>
      <c r="BL93">
        <f>DV!BK53+DV!BK55</f>
        <v>0</v>
      </c>
    </row>
    <row r="94" spans="1:64">
      <c r="A94">
        <v>37</v>
      </c>
      <c r="B94" s="5" t="str">
        <f>TEXT(VLOOKUP(A94,СВ[],2),"чч:мм")&amp;"-"&amp;TEXT(VLOOKUP(A94,СВ[],3),"чч:мм")</f>
        <v>16:45-17:30</v>
      </c>
      <c r="C94" s="6">
        <v>38</v>
      </c>
      <c r="D94" s="5" t="str">
        <f>TEXT(VLOOKUP(C94,СВ[],2),"чч:мм")&amp;"-"&amp;TEXT(VLOOKUP(C94,СВ[],3),"чч:мм")</f>
        <v>17:00-18:00</v>
      </c>
      <c r="E94">
        <f>DV!D54+DV!D55</f>
        <v>0</v>
      </c>
      <c r="F94">
        <f>DV!E54+DV!E55</f>
        <v>0</v>
      </c>
      <c r="G94">
        <f>DV!F54+DV!F55</f>
        <v>0</v>
      </c>
      <c r="H94">
        <f>DV!G54+DV!G55</f>
        <v>0</v>
      </c>
      <c r="I94">
        <f>DV!H54+DV!H55</f>
        <v>0</v>
      </c>
      <c r="J94">
        <f>DV!I54+DV!I55</f>
        <v>0</v>
      </c>
      <c r="K94">
        <f>DV!J54+DV!J55</f>
        <v>0</v>
      </c>
      <c r="L94">
        <f>DV!K54+DV!K55</f>
        <v>0</v>
      </c>
      <c r="M94">
        <f>DV!L54+DV!L55</f>
        <v>0</v>
      </c>
      <c r="N94">
        <f>DV!M54+DV!M55</f>
        <v>0</v>
      </c>
      <c r="O94">
        <f>DV!N54+DV!N55</f>
        <v>0</v>
      </c>
      <c r="P94">
        <f>DV!O54+DV!O55</f>
        <v>0</v>
      </c>
      <c r="Q94">
        <f>DV!P54+DV!P55</f>
        <v>0</v>
      </c>
      <c r="R94">
        <f>DV!Q54+DV!Q55</f>
        <v>0</v>
      </c>
      <c r="S94">
        <f>DV!R54+DV!R55</f>
        <v>0</v>
      </c>
      <c r="T94">
        <f>DV!S54+DV!S55</f>
        <v>0</v>
      </c>
      <c r="U94">
        <f>DV!T54+DV!T55</f>
        <v>0</v>
      </c>
      <c r="V94">
        <f>DV!U54+DV!U55</f>
        <v>0</v>
      </c>
      <c r="W94">
        <f>DV!V54+DV!V55</f>
        <v>0</v>
      </c>
      <c r="X94">
        <f>DV!W54+DV!W55</f>
        <v>0</v>
      </c>
      <c r="Y94">
        <f>DV!X54+DV!X55</f>
        <v>0</v>
      </c>
      <c r="Z94">
        <f>DV!Y54+DV!Y55</f>
        <v>0</v>
      </c>
      <c r="AA94">
        <f>DV!Z54+DV!Z55</f>
        <v>0</v>
      </c>
      <c r="AB94">
        <f>DV!AA54+DV!AA55</f>
        <v>0</v>
      </c>
      <c r="AC94">
        <f>DV!AB54+DV!AB55</f>
        <v>0</v>
      </c>
      <c r="AD94">
        <f>DV!AC54+DV!AC55</f>
        <v>0</v>
      </c>
      <c r="AE94">
        <f>DV!AD54+DV!AD55</f>
        <v>0</v>
      </c>
      <c r="AF94">
        <f>DV!AE54+DV!AE55</f>
        <v>0</v>
      </c>
      <c r="AG94">
        <f>DV!AF54+DV!AF55</f>
        <v>0</v>
      </c>
      <c r="AH94">
        <f>DV!AG54+DV!AG55</f>
        <v>0</v>
      </c>
      <c r="AI94">
        <f>DV!AH54+DV!AH55</f>
        <v>0</v>
      </c>
      <c r="AJ94">
        <f>DV!AI54+DV!AI55</f>
        <v>0</v>
      </c>
      <c r="AK94">
        <f>DV!AJ54+DV!AJ55</f>
        <v>0</v>
      </c>
      <c r="AL94">
        <f>DV!AK54+DV!AK55</f>
        <v>0</v>
      </c>
      <c r="AM94">
        <f>DV!AL54+DV!AL55</f>
        <v>0</v>
      </c>
      <c r="AN94">
        <f>DV!AM54+DV!AM55</f>
        <v>0</v>
      </c>
      <c r="AO94">
        <f>DV!AN54+DV!AN55</f>
        <v>0</v>
      </c>
      <c r="AP94">
        <f>DV!AO54+DV!AO55</f>
        <v>0</v>
      </c>
      <c r="AQ94">
        <f>DV!AP54+DV!AP55</f>
        <v>0</v>
      </c>
      <c r="AR94">
        <f>DV!AQ54+DV!AQ55</f>
        <v>0</v>
      </c>
      <c r="AS94">
        <f>DV!AR54+DV!AR55</f>
        <v>0</v>
      </c>
      <c r="AT94">
        <f>DV!AS54+DV!AS55</f>
        <v>0</v>
      </c>
      <c r="AU94">
        <f>DV!AT54+DV!AT55</f>
        <v>0</v>
      </c>
      <c r="AV94">
        <f>DV!AU54+DV!AU55</f>
        <v>0</v>
      </c>
      <c r="AW94">
        <f>DV!AV54+DV!AV55</f>
        <v>0</v>
      </c>
      <c r="AX94">
        <f>DV!AW54+DV!AW55</f>
        <v>0</v>
      </c>
      <c r="AY94">
        <f>DV!AX54+DV!AX55</f>
        <v>0</v>
      </c>
      <c r="AZ94">
        <f>DV!AY54+DV!AY55</f>
        <v>0</v>
      </c>
      <c r="BA94">
        <f>DV!AZ54+DV!AZ55</f>
        <v>0</v>
      </c>
      <c r="BB94">
        <f>DV!BA54+DV!BA55</f>
        <v>0</v>
      </c>
      <c r="BC94">
        <f>DV!BB54+DV!BB55</f>
        <v>0</v>
      </c>
      <c r="BD94">
        <f>DV!BC54+DV!BC55</f>
        <v>0</v>
      </c>
      <c r="BE94">
        <f>DV!BD54+DV!BD55</f>
        <v>0</v>
      </c>
      <c r="BF94">
        <f>DV!BE54+DV!BE55</f>
        <v>0</v>
      </c>
      <c r="BG94">
        <f>DV!BF54+DV!BF55</f>
        <v>0</v>
      </c>
      <c r="BH94">
        <f>DV!BG54+DV!BG55</f>
        <v>0</v>
      </c>
      <c r="BI94">
        <f>DV!BH54+DV!BH55</f>
        <v>0</v>
      </c>
      <c r="BJ94">
        <f>DV!BI54+DV!BI55</f>
        <v>0</v>
      </c>
      <c r="BK94">
        <f>DV!BJ54+DV!BJ55</f>
        <v>0</v>
      </c>
      <c r="BL94">
        <f>DV!BK54+DV!BK55</f>
        <v>0</v>
      </c>
    </row>
    <row r="95" spans="1:64">
      <c r="A95">
        <v>37</v>
      </c>
      <c r="B95" s="5" t="str">
        <f>TEXT(VLOOKUP(A95,СВ[],2),"чч:мм")&amp;"-"&amp;TEXT(VLOOKUP(A95,СВ[],3),"чч:мм")</f>
        <v>16:45-17:30</v>
      </c>
      <c r="C95" s="6">
        <v>39</v>
      </c>
      <c r="D95" s="5" t="str">
        <f>TEXT(VLOOKUP(C95,СВ[],2),"чч:мм")&amp;"-"&amp;TEXT(VLOOKUP(C95,СВ[],3),"чч:мм")</f>
        <v>17:15-18:00</v>
      </c>
      <c r="E95">
        <f>DV!D54+DV!D56</f>
        <v>0</v>
      </c>
      <c r="F95">
        <f>DV!E54+DV!E56</f>
        <v>1</v>
      </c>
      <c r="G95">
        <f>DV!F54+DV!F56</f>
        <v>0</v>
      </c>
      <c r="H95">
        <f>DV!G54+DV!G56</f>
        <v>1</v>
      </c>
      <c r="I95">
        <f>DV!H54+DV!H56</f>
        <v>0</v>
      </c>
      <c r="J95">
        <f>DV!I54+DV!I56</f>
        <v>0</v>
      </c>
      <c r="K95">
        <f>DV!J54+DV!J56</f>
        <v>0</v>
      </c>
      <c r="L95">
        <f>DV!K54+DV!K56</f>
        <v>0</v>
      </c>
      <c r="M95">
        <f>DV!L54+DV!L56</f>
        <v>0</v>
      </c>
      <c r="N95">
        <f>DV!M54+DV!M56</f>
        <v>0</v>
      </c>
      <c r="O95">
        <f>DV!N54+DV!N56</f>
        <v>0</v>
      </c>
      <c r="P95">
        <f>DV!O54+DV!O56</f>
        <v>0</v>
      </c>
      <c r="Q95">
        <f>DV!P54+DV!P56</f>
        <v>0</v>
      </c>
      <c r="R95">
        <f>DV!Q54+DV!Q56</f>
        <v>0</v>
      </c>
      <c r="S95">
        <f>DV!R54+DV!R56</f>
        <v>0</v>
      </c>
      <c r="T95">
        <f>DV!S54+DV!S56</f>
        <v>0</v>
      </c>
      <c r="U95">
        <f>DV!T54+DV!T56</f>
        <v>0</v>
      </c>
      <c r="V95">
        <f>DV!U54+DV!U56</f>
        <v>0</v>
      </c>
      <c r="W95">
        <f>DV!V54+DV!V56</f>
        <v>0</v>
      </c>
      <c r="X95">
        <f>DV!W54+DV!W56</f>
        <v>0</v>
      </c>
      <c r="Y95">
        <f>DV!X54+DV!X56</f>
        <v>0</v>
      </c>
      <c r="Z95">
        <f>DV!Y54+DV!Y56</f>
        <v>0</v>
      </c>
      <c r="AA95">
        <f>DV!Z54+DV!Z56</f>
        <v>0</v>
      </c>
      <c r="AB95">
        <f>DV!AA54+DV!AA56</f>
        <v>0</v>
      </c>
      <c r="AC95">
        <f>DV!AB54+DV!AB56</f>
        <v>0</v>
      </c>
      <c r="AD95">
        <f>DV!AC54+DV!AC56</f>
        <v>0</v>
      </c>
      <c r="AE95">
        <f>DV!AD54+DV!AD56</f>
        <v>0</v>
      </c>
      <c r="AF95">
        <f>DV!AE54+DV!AE56</f>
        <v>0</v>
      </c>
      <c r="AG95">
        <f>DV!AF54+DV!AF56</f>
        <v>0</v>
      </c>
      <c r="AH95">
        <f>DV!AG54+DV!AG56</f>
        <v>0</v>
      </c>
      <c r="AI95">
        <f>DV!AH54+DV!AH56</f>
        <v>0</v>
      </c>
      <c r="AJ95">
        <f>DV!AI54+DV!AI56</f>
        <v>0</v>
      </c>
      <c r="AK95">
        <f>DV!AJ54+DV!AJ56</f>
        <v>0</v>
      </c>
      <c r="AL95">
        <f>DV!AK54+DV!AK56</f>
        <v>0</v>
      </c>
      <c r="AM95">
        <f>DV!AL54+DV!AL56</f>
        <v>0</v>
      </c>
      <c r="AN95">
        <f>DV!AM54+DV!AM56</f>
        <v>0</v>
      </c>
      <c r="AO95">
        <f>DV!AN54+DV!AN56</f>
        <v>0</v>
      </c>
      <c r="AP95">
        <f>DV!AO54+DV!AO56</f>
        <v>0</v>
      </c>
      <c r="AQ95">
        <f>DV!AP54+DV!AP56</f>
        <v>0</v>
      </c>
      <c r="AR95">
        <f>DV!AQ54+DV!AQ56</f>
        <v>0</v>
      </c>
      <c r="AS95">
        <f>DV!AR54+DV!AR56</f>
        <v>0</v>
      </c>
      <c r="AT95">
        <f>DV!AS54+DV!AS56</f>
        <v>0</v>
      </c>
      <c r="AU95">
        <f>DV!AT54+DV!AT56</f>
        <v>0</v>
      </c>
      <c r="AV95">
        <f>DV!AU54+DV!AU56</f>
        <v>0</v>
      </c>
      <c r="AW95">
        <f>DV!AV54+DV!AV56</f>
        <v>0</v>
      </c>
      <c r="AX95">
        <f>DV!AW54+DV!AW56</f>
        <v>0</v>
      </c>
      <c r="AY95">
        <f>DV!AX54+DV!AX56</f>
        <v>0</v>
      </c>
      <c r="AZ95">
        <f>DV!AY54+DV!AY56</f>
        <v>0</v>
      </c>
      <c r="BA95">
        <f>DV!AZ54+DV!AZ56</f>
        <v>0</v>
      </c>
      <c r="BB95">
        <f>DV!BA54+DV!BA56</f>
        <v>0</v>
      </c>
      <c r="BC95">
        <f>DV!BB54+DV!BB56</f>
        <v>0</v>
      </c>
      <c r="BD95">
        <f>DV!BC54+DV!BC56</f>
        <v>0</v>
      </c>
      <c r="BE95">
        <f>DV!BD54+DV!BD56</f>
        <v>0</v>
      </c>
      <c r="BF95">
        <f>DV!BE54+DV!BE56</f>
        <v>0</v>
      </c>
      <c r="BG95">
        <f>DV!BF54+DV!BF56</f>
        <v>0</v>
      </c>
      <c r="BH95">
        <f>DV!BG54+DV!BG56</f>
        <v>0</v>
      </c>
      <c r="BI95">
        <f>DV!BH54+DV!BH56</f>
        <v>0</v>
      </c>
      <c r="BJ95">
        <f>DV!BI54+DV!BI56</f>
        <v>0</v>
      </c>
      <c r="BK95">
        <f>DV!BJ54+DV!BJ56</f>
        <v>0</v>
      </c>
      <c r="BL95">
        <f>DV!BK54+DV!BK56</f>
        <v>0</v>
      </c>
    </row>
    <row r="96" spans="1:64">
      <c r="A96">
        <v>38</v>
      </c>
      <c r="B96" s="5" t="str">
        <f>TEXT(VLOOKUP(A96,СВ[],2),"чч:мм")&amp;"-"&amp;TEXT(VLOOKUP(A96,СВ[],3),"чч:мм")</f>
        <v>17:00-18:00</v>
      </c>
      <c r="C96" s="6">
        <v>39</v>
      </c>
      <c r="D96" s="5" t="str">
        <f>TEXT(VLOOKUP(C96,СВ[],2),"чч:мм")&amp;"-"&amp;TEXT(VLOOKUP(C96,СВ[],3),"чч:мм")</f>
        <v>17:15-18:00</v>
      </c>
      <c r="E96">
        <f>DV!D55+DV!D56</f>
        <v>0</v>
      </c>
      <c r="F96">
        <f>DV!E55+DV!E56</f>
        <v>1</v>
      </c>
      <c r="G96">
        <f>DV!F55+DV!F56</f>
        <v>0</v>
      </c>
      <c r="H96">
        <f>DV!G55+DV!G56</f>
        <v>1</v>
      </c>
      <c r="I96">
        <f>DV!H55+DV!H56</f>
        <v>0</v>
      </c>
      <c r="J96">
        <f>DV!I55+DV!I56</f>
        <v>0</v>
      </c>
      <c r="K96">
        <f>DV!J55+DV!J56</f>
        <v>0</v>
      </c>
      <c r="L96">
        <f>DV!K55+DV!K56</f>
        <v>0</v>
      </c>
      <c r="M96">
        <f>DV!L55+DV!L56</f>
        <v>0</v>
      </c>
      <c r="N96">
        <f>DV!M55+DV!M56</f>
        <v>0</v>
      </c>
      <c r="O96">
        <f>DV!N55+DV!N56</f>
        <v>0</v>
      </c>
      <c r="P96">
        <f>DV!O55+DV!O56</f>
        <v>0</v>
      </c>
      <c r="Q96">
        <f>DV!P55+DV!P56</f>
        <v>0</v>
      </c>
      <c r="R96">
        <f>DV!Q55+DV!Q56</f>
        <v>0</v>
      </c>
      <c r="S96">
        <f>DV!R55+DV!R56</f>
        <v>0</v>
      </c>
      <c r="T96">
        <f>DV!S55+DV!S56</f>
        <v>0</v>
      </c>
      <c r="U96">
        <f>DV!T55+DV!T56</f>
        <v>0</v>
      </c>
      <c r="V96">
        <f>DV!U55+DV!U56</f>
        <v>0</v>
      </c>
      <c r="W96">
        <f>DV!V55+DV!V56</f>
        <v>0</v>
      </c>
      <c r="X96">
        <f>DV!W55+DV!W56</f>
        <v>0</v>
      </c>
      <c r="Y96">
        <f>DV!X55+DV!X56</f>
        <v>0</v>
      </c>
      <c r="Z96">
        <f>DV!Y55+DV!Y56</f>
        <v>0</v>
      </c>
      <c r="AA96">
        <f>DV!Z55+DV!Z56</f>
        <v>0</v>
      </c>
      <c r="AB96">
        <f>DV!AA55+DV!AA56</f>
        <v>0</v>
      </c>
      <c r="AC96">
        <f>DV!AB55+DV!AB56</f>
        <v>0</v>
      </c>
      <c r="AD96">
        <f>DV!AC55+DV!AC56</f>
        <v>0</v>
      </c>
      <c r="AE96">
        <f>DV!AD55+DV!AD56</f>
        <v>0</v>
      </c>
      <c r="AF96">
        <f>DV!AE55+DV!AE56</f>
        <v>0</v>
      </c>
      <c r="AG96">
        <f>DV!AF55+DV!AF56</f>
        <v>0</v>
      </c>
      <c r="AH96">
        <f>DV!AG55+DV!AG56</f>
        <v>0</v>
      </c>
      <c r="AI96">
        <f>DV!AH55+DV!AH56</f>
        <v>0</v>
      </c>
      <c r="AJ96">
        <f>DV!AI55+DV!AI56</f>
        <v>0</v>
      </c>
      <c r="AK96">
        <f>DV!AJ55+DV!AJ56</f>
        <v>0</v>
      </c>
      <c r="AL96">
        <f>DV!AK55+DV!AK56</f>
        <v>0</v>
      </c>
      <c r="AM96">
        <f>DV!AL55+DV!AL56</f>
        <v>0</v>
      </c>
      <c r="AN96">
        <f>DV!AM55+DV!AM56</f>
        <v>0</v>
      </c>
      <c r="AO96">
        <f>DV!AN55+DV!AN56</f>
        <v>0</v>
      </c>
      <c r="AP96">
        <f>DV!AO55+DV!AO56</f>
        <v>0</v>
      </c>
      <c r="AQ96">
        <f>DV!AP55+DV!AP56</f>
        <v>0</v>
      </c>
      <c r="AR96">
        <f>DV!AQ55+DV!AQ56</f>
        <v>0</v>
      </c>
      <c r="AS96">
        <f>DV!AR55+DV!AR56</f>
        <v>0</v>
      </c>
      <c r="AT96">
        <f>DV!AS55+DV!AS56</f>
        <v>0</v>
      </c>
      <c r="AU96">
        <f>DV!AT55+DV!AT56</f>
        <v>0</v>
      </c>
      <c r="AV96">
        <f>DV!AU55+DV!AU56</f>
        <v>0</v>
      </c>
      <c r="AW96">
        <f>DV!AV55+DV!AV56</f>
        <v>0</v>
      </c>
      <c r="AX96">
        <f>DV!AW55+DV!AW56</f>
        <v>0</v>
      </c>
      <c r="AY96">
        <f>DV!AX55+DV!AX56</f>
        <v>0</v>
      </c>
      <c r="AZ96">
        <f>DV!AY55+DV!AY56</f>
        <v>0</v>
      </c>
      <c r="BA96">
        <f>DV!AZ55+DV!AZ56</f>
        <v>0</v>
      </c>
      <c r="BB96">
        <f>DV!BA55+DV!BA56</f>
        <v>0</v>
      </c>
      <c r="BC96">
        <f>DV!BB55+DV!BB56</f>
        <v>0</v>
      </c>
      <c r="BD96">
        <f>DV!BC55+DV!BC56</f>
        <v>0</v>
      </c>
      <c r="BE96">
        <f>DV!BD55+DV!BD56</f>
        <v>0</v>
      </c>
      <c r="BF96">
        <f>DV!BE55+DV!BE56</f>
        <v>0</v>
      </c>
      <c r="BG96">
        <f>DV!BF55+DV!BF56</f>
        <v>0</v>
      </c>
      <c r="BH96">
        <f>DV!BG55+DV!BG56</f>
        <v>0</v>
      </c>
      <c r="BI96">
        <f>DV!BH55+DV!BH56</f>
        <v>0</v>
      </c>
      <c r="BJ96">
        <f>DV!BI55+DV!BI56</f>
        <v>0</v>
      </c>
      <c r="BK96">
        <f>DV!BJ55+DV!BJ56</f>
        <v>0</v>
      </c>
      <c r="BL96">
        <f>DV!BK55+DV!BK56</f>
        <v>0</v>
      </c>
    </row>
    <row r="97" spans="1:64">
      <c r="A97">
        <v>38</v>
      </c>
      <c r="B97" s="5" t="str">
        <f>TEXT(VLOOKUP(A97,СВ[],2),"чч:мм")&amp;"-"&amp;TEXT(VLOOKUP(A97,СВ[],3),"чч:мм")</f>
        <v>17:00-18:00</v>
      </c>
      <c r="C97" s="6">
        <v>40</v>
      </c>
      <c r="D97" s="5" t="str">
        <f>TEXT(VLOOKUP(C97,СВ[],2),"чч:мм")&amp;"-"&amp;TEXT(VLOOKUP(C97,СВ[],3),"чч:мм")</f>
        <v>17:30-18:15</v>
      </c>
      <c r="E97">
        <f>DV!D55+DV!D57</f>
        <v>0</v>
      </c>
      <c r="F97">
        <f>DV!E55+DV!E57</f>
        <v>0</v>
      </c>
      <c r="G97">
        <f>DV!F55+DV!F57</f>
        <v>0</v>
      </c>
      <c r="H97">
        <f>DV!G55+DV!G57</f>
        <v>0</v>
      </c>
      <c r="I97">
        <f>DV!H55+DV!H57</f>
        <v>0</v>
      </c>
      <c r="J97">
        <f>DV!I55+DV!I57</f>
        <v>0</v>
      </c>
      <c r="K97">
        <f>DV!J55+DV!J57</f>
        <v>0</v>
      </c>
      <c r="L97">
        <f>DV!K55+DV!K57</f>
        <v>0</v>
      </c>
      <c r="M97">
        <f>DV!L55+DV!L57</f>
        <v>0</v>
      </c>
      <c r="N97">
        <f>DV!M55+DV!M57</f>
        <v>0</v>
      </c>
      <c r="O97">
        <f>DV!N55+DV!N57</f>
        <v>0</v>
      </c>
      <c r="P97">
        <f>DV!O55+DV!O57</f>
        <v>0</v>
      </c>
      <c r="Q97">
        <f>DV!P55+DV!P57</f>
        <v>0</v>
      </c>
      <c r="R97">
        <f>DV!Q55+DV!Q57</f>
        <v>0</v>
      </c>
      <c r="S97">
        <f>DV!R55+DV!R57</f>
        <v>0</v>
      </c>
      <c r="T97">
        <f>DV!S55+DV!S57</f>
        <v>0</v>
      </c>
      <c r="U97">
        <f>DV!T55+DV!T57</f>
        <v>0</v>
      </c>
      <c r="V97">
        <f>DV!U55+DV!U57</f>
        <v>0</v>
      </c>
      <c r="W97">
        <f>DV!V55+DV!V57</f>
        <v>0</v>
      </c>
      <c r="X97">
        <f>DV!W55+DV!W57</f>
        <v>0</v>
      </c>
      <c r="Y97">
        <f>DV!X55+DV!X57</f>
        <v>0</v>
      </c>
      <c r="Z97">
        <f>DV!Y55+DV!Y57</f>
        <v>0</v>
      </c>
      <c r="AA97">
        <f>DV!Z55+DV!Z57</f>
        <v>0</v>
      </c>
      <c r="AB97">
        <f>DV!AA55+DV!AA57</f>
        <v>0</v>
      </c>
      <c r="AC97">
        <f>DV!AB55+DV!AB57</f>
        <v>0</v>
      </c>
      <c r="AD97">
        <f>DV!AC55+DV!AC57</f>
        <v>0</v>
      </c>
      <c r="AE97">
        <f>DV!AD55+DV!AD57</f>
        <v>0</v>
      </c>
      <c r="AF97">
        <f>DV!AE55+DV!AE57</f>
        <v>0</v>
      </c>
      <c r="AG97">
        <f>DV!AF55+DV!AF57</f>
        <v>0</v>
      </c>
      <c r="AH97">
        <f>DV!AG55+DV!AG57</f>
        <v>0</v>
      </c>
      <c r="AI97">
        <f>DV!AH55+DV!AH57</f>
        <v>0</v>
      </c>
      <c r="AJ97">
        <f>DV!AI55+DV!AI57</f>
        <v>0</v>
      </c>
      <c r="AK97">
        <f>DV!AJ55+DV!AJ57</f>
        <v>0</v>
      </c>
      <c r="AL97">
        <f>DV!AK55+DV!AK57</f>
        <v>0</v>
      </c>
      <c r="AM97">
        <f>DV!AL55+DV!AL57</f>
        <v>0</v>
      </c>
      <c r="AN97">
        <f>DV!AM55+DV!AM57</f>
        <v>0</v>
      </c>
      <c r="AO97">
        <f>DV!AN55+DV!AN57</f>
        <v>0</v>
      </c>
      <c r="AP97">
        <f>DV!AO55+DV!AO57</f>
        <v>0</v>
      </c>
      <c r="AQ97">
        <f>DV!AP55+DV!AP57</f>
        <v>0</v>
      </c>
      <c r="AR97">
        <f>DV!AQ55+DV!AQ57</f>
        <v>0</v>
      </c>
      <c r="AS97">
        <f>DV!AR55+DV!AR57</f>
        <v>0</v>
      </c>
      <c r="AT97">
        <f>DV!AS55+DV!AS57</f>
        <v>0</v>
      </c>
      <c r="AU97">
        <f>DV!AT55+DV!AT57</f>
        <v>0</v>
      </c>
      <c r="AV97">
        <f>DV!AU55+DV!AU57</f>
        <v>0</v>
      </c>
      <c r="AW97">
        <f>DV!AV55+DV!AV57</f>
        <v>0</v>
      </c>
      <c r="AX97">
        <f>DV!AW55+DV!AW57</f>
        <v>0</v>
      </c>
      <c r="AY97">
        <f>DV!AX55+DV!AX57</f>
        <v>0</v>
      </c>
      <c r="AZ97">
        <f>DV!AY55+DV!AY57</f>
        <v>0</v>
      </c>
      <c r="BA97">
        <f>DV!AZ55+DV!AZ57</f>
        <v>0</v>
      </c>
      <c r="BB97">
        <f>DV!BA55+DV!BA57</f>
        <v>0</v>
      </c>
      <c r="BC97">
        <f>DV!BB55+DV!BB57</f>
        <v>0</v>
      </c>
      <c r="BD97">
        <f>DV!BC55+DV!BC57</f>
        <v>0</v>
      </c>
      <c r="BE97">
        <f>DV!BD55+DV!BD57</f>
        <v>0</v>
      </c>
      <c r="BF97">
        <f>DV!BE55+DV!BE57</f>
        <v>0</v>
      </c>
      <c r="BG97">
        <f>DV!BF55+DV!BF57</f>
        <v>0</v>
      </c>
      <c r="BH97">
        <f>DV!BG55+DV!BG57</f>
        <v>0</v>
      </c>
      <c r="BI97">
        <f>DV!BH55+DV!BH57</f>
        <v>0</v>
      </c>
      <c r="BJ97">
        <f>DV!BI55+DV!BI57</f>
        <v>0</v>
      </c>
      <c r="BK97">
        <f>DV!BJ55+DV!BJ57</f>
        <v>0</v>
      </c>
      <c r="BL97">
        <f>DV!BK55+DV!BK57</f>
        <v>0</v>
      </c>
    </row>
    <row r="98" spans="1:64">
      <c r="A98">
        <v>38</v>
      </c>
      <c r="B98" s="5" t="str">
        <f>TEXT(VLOOKUP(A98,СВ[],2),"чч:мм")&amp;"-"&amp;TEXT(VLOOKUP(A98,СВ[],3),"чч:мм")</f>
        <v>17:00-18:00</v>
      </c>
      <c r="C98" s="6">
        <v>41</v>
      </c>
      <c r="D98" s="5" t="str">
        <f>TEXT(VLOOKUP(C98,СВ[],2),"чч:мм")&amp;"-"&amp;TEXT(VLOOKUP(C98,СВ[],3),"чч:мм")</f>
        <v>17:45-18:30</v>
      </c>
      <c r="E98">
        <f>DV!D55+DV!D58</f>
        <v>0</v>
      </c>
      <c r="F98">
        <f>DV!E55+DV!E58</f>
        <v>0</v>
      </c>
      <c r="G98">
        <f>DV!F55+DV!F58</f>
        <v>0</v>
      </c>
      <c r="H98">
        <f>DV!G55+DV!G58</f>
        <v>0</v>
      </c>
      <c r="I98">
        <f>DV!H55+DV!H58</f>
        <v>0</v>
      </c>
      <c r="J98">
        <f>DV!I55+DV!I58</f>
        <v>0</v>
      </c>
      <c r="K98">
        <f>DV!J55+DV!J58</f>
        <v>0</v>
      </c>
      <c r="L98">
        <f>DV!K55+DV!K58</f>
        <v>0</v>
      </c>
      <c r="M98">
        <f>DV!L55+DV!L58</f>
        <v>0</v>
      </c>
      <c r="N98">
        <f>DV!M55+DV!M58</f>
        <v>0</v>
      </c>
      <c r="O98">
        <f>DV!N55+DV!N58</f>
        <v>0</v>
      </c>
      <c r="P98">
        <f>DV!O55+DV!O58</f>
        <v>0</v>
      </c>
      <c r="Q98">
        <f>DV!P55+DV!P58</f>
        <v>0</v>
      </c>
      <c r="R98">
        <f>DV!Q55+DV!Q58</f>
        <v>0</v>
      </c>
      <c r="S98">
        <f>DV!R55+DV!R58</f>
        <v>0</v>
      </c>
      <c r="T98">
        <f>DV!S55+DV!S58</f>
        <v>0</v>
      </c>
      <c r="U98">
        <f>DV!T55+DV!T58</f>
        <v>0</v>
      </c>
      <c r="V98">
        <f>DV!U55+DV!U58</f>
        <v>0</v>
      </c>
      <c r="W98">
        <f>DV!V55+DV!V58</f>
        <v>0</v>
      </c>
      <c r="X98">
        <f>DV!W55+DV!W58</f>
        <v>0</v>
      </c>
      <c r="Y98">
        <f>DV!X55+DV!X58</f>
        <v>0</v>
      </c>
      <c r="Z98">
        <f>DV!Y55+DV!Y58</f>
        <v>0</v>
      </c>
      <c r="AA98">
        <f>DV!Z55+DV!Z58</f>
        <v>0</v>
      </c>
      <c r="AB98">
        <f>DV!AA55+DV!AA58</f>
        <v>0</v>
      </c>
      <c r="AC98">
        <f>DV!AB55+DV!AB58</f>
        <v>0</v>
      </c>
      <c r="AD98">
        <f>DV!AC55+DV!AC58</f>
        <v>0</v>
      </c>
      <c r="AE98">
        <f>DV!AD55+DV!AD58</f>
        <v>0</v>
      </c>
      <c r="AF98">
        <f>DV!AE55+DV!AE58</f>
        <v>0</v>
      </c>
      <c r="AG98">
        <f>DV!AF55+DV!AF58</f>
        <v>0</v>
      </c>
      <c r="AH98">
        <f>DV!AG55+DV!AG58</f>
        <v>0</v>
      </c>
      <c r="AI98">
        <f>DV!AH55+DV!AH58</f>
        <v>0</v>
      </c>
      <c r="AJ98">
        <f>DV!AI55+DV!AI58</f>
        <v>0</v>
      </c>
      <c r="AK98">
        <f>DV!AJ55+DV!AJ58</f>
        <v>0</v>
      </c>
      <c r="AL98">
        <f>DV!AK55+DV!AK58</f>
        <v>0</v>
      </c>
      <c r="AM98">
        <f>DV!AL55+DV!AL58</f>
        <v>0</v>
      </c>
      <c r="AN98">
        <f>DV!AM55+DV!AM58</f>
        <v>0</v>
      </c>
      <c r="AO98">
        <f>DV!AN55+DV!AN58</f>
        <v>0</v>
      </c>
      <c r="AP98">
        <f>DV!AO55+DV!AO58</f>
        <v>0</v>
      </c>
      <c r="AQ98">
        <f>DV!AP55+DV!AP58</f>
        <v>0</v>
      </c>
      <c r="AR98">
        <f>DV!AQ55+DV!AQ58</f>
        <v>0</v>
      </c>
      <c r="AS98">
        <f>DV!AR55+DV!AR58</f>
        <v>0</v>
      </c>
      <c r="AT98">
        <f>DV!AS55+DV!AS58</f>
        <v>0</v>
      </c>
      <c r="AU98">
        <f>DV!AT55+DV!AT58</f>
        <v>0</v>
      </c>
      <c r="AV98">
        <f>DV!AU55+DV!AU58</f>
        <v>0</v>
      </c>
      <c r="AW98">
        <f>DV!AV55+DV!AV58</f>
        <v>0</v>
      </c>
      <c r="AX98">
        <f>DV!AW55+DV!AW58</f>
        <v>0</v>
      </c>
      <c r="AY98">
        <f>DV!AX55+DV!AX58</f>
        <v>0</v>
      </c>
      <c r="AZ98">
        <f>DV!AY55+DV!AY58</f>
        <v>0</v>
      </c>
      <c r="BA98">
        <f>DV!AZ55+DV!AZ58</f>
        <v>0</v>
      </c>
      <c r="BB98">
        <f>DV!BA55+DV!BA58</f>
        <v>0</v>
      </c>
      <c r="BC98">
        <f>DV!BB55+DV!BB58</f>
        <v>0</v>
      </c>
      <c r="BD98">
        <f>DV!BC55+DV!BC58</f>
        <v>0</v>
      </c>
      <c r="BE98">
        <f>DV!BD55+DV!BD58</f>
        <v>0</v>
      </c>
      <c r="BF98">
        <f>DV!BE55+DV!BE58</f>
        <v>0</v>
      </c>
      <c r="BG98">
        <f>DV!BF55+DV!BF58</f>
        <v>0</v>
      </c>
      <c r="BH98">
        <f>DV!BG55+DV!BG58</f>
        <v>0</v>
      </c>
      <c r="BI98">
        <f>DV!BH55+DV!BH58</f>
        <v>0</v>
      </c>
      <c r="BJ98">
        <f>DV!BI55+DV!BI58</f>
        <v>0</v>
      </c>
      <c r="BK98">
        <f>DV!BJ55+DV!BJ58</f>
        <v>0</v>
      </c>
      <c r="BL98">
        <f>DV!BK55+DV!BK58</f>
        <v>0</v>
      </c>
    </row>
    <row r="99" spans="1:64">
      <c r="A99">
        <v>39</v>
      </c>
      <c r="B99" s="5" t="str">
        <f>TEXT(VLOOKUP(A99,СВ[],2),"чч:мм")&amp;"-"&amp;TEXT(VLOOKUP(A99,СВ[],3),"чч:мм")</f>
        <v>17:15-18:00</v>
      </c>
      <c r="C99" s="6">
        <v>40</v>
      </c>
      <c r="D99" s="5" t="str">
        <f>TEXT(VLOOKUP(C99,СВ[],2),"чч:мм")&amp;"-"&amp;TEXT(VLOOKUP(C99,СВ[],3),"чч:мм")</f>
        <v>17:30-18:15</v>
      </c>
      <c r="E99">
        <f>DV!D56+DV!D57</f>
        <v>0</v>
      </c>
      <c r="F99">
        <f>DV!E56+DV!E57</f>
        <v>1</v>
      </c>
      <c r="G99">
        <f>DV!F56+DV!F57</f>
        <v>0</v>
      </c>
      <c r="H99">
        <f>DV!G56+DV!G57</f>
        <v>1</v>
      </c>
      <c r="I99">
        <f>DV!H56+DV!H57</f>
        <v>0</v>
      </c>
      <c r="J99">
        <f>DV!I56+DV!I57</f>
        <v>0</v>
      </c>
      <c r="K99">
        <f>DV!J56+DV!J57</f>
        <v>0</v>
      </c>
      <c r="L99">
        <f>DV!K56+DV!K57</f>
        <v>0</v>
      </c>
      <c r="M99">
        <f>DV!L56+DV!L57</f>
        <v>0</v>
      </c>
      <c r="N99">
        <f>DV!M56+DV!M57</f>
        <v>0</v>
      </c>
      <c r="O99">
        <f>DV!N56+DV!N57</f>
        <v>0</v>
      </c>
      <c r="P99">
        <f>DV!O56+DV!O57</f>
        <v>0</v>
      </c>
      <c r="Q99">
        <f>DV!P56+DV!P57</f>
        <v>0</v>
      </c>
      <c r="R99">
        <f>DV!Q56+DV!Q57</f>
        <v>0</v>
      </c>
      <c r="S99">
        <f>DV!R56+DV!R57</f>
        <v>0</v>
      </c>
      <c r="T99">
        <f>DV!S56+DV!S57</f>
        <v>0</v>
      </c>
      <c r="U99">
        <f>DV!T56+DV!T57</f>
        <v>0</v>
      </c>
      <c r="V99">
        <f>DV!U56+DV!U57</f>
        <v>0</v>
      </c>
      <c r="W99">
        <f>DV!V56+DV!V57</f>
        <v>0</v>
      </c>
      <c r="X99">
        <f>DV!W56+DV!W57</f>
        <v>0</v>
      </c>
      <c r="Y99">
        <f>DV!X56+DV!X57</f>
        <v>0</v>
      </c>
      <c r="Z99">
        <f>DV!Y56+DV!Y57</f>
        <v>0</v>
      </c>
      <c r="AA99">
        <f>DV!Z56+DV!Z57</f>
        <v>0</v>
      </c>
      <c r="AB99">
        <f>DV!AA56+DV!AA57</f>
        <v>0</v>
      </c>
      <c r="AC99">
        <f>DV!AB56+DV!AB57</f>
        <v>0</v>
      </c>
      <c r="AD99">
        <f>DV!AC56+DV!AC57</f>
        <v>0</v>
      </c>
      <c r="AE99">
        <f>DV!AD56+DV!AD57</f>
        <v>0</v>
      </c>
      <c r="AF99">
        <f>DV!AE56+DV!AE57</f>
        <v>0</v>
      </c>
      <c r="AG99">
        <f>DV!AF56+DV!AF57</f>
        <v>0</v>
      </c>
      <c r="AH99">
        <f>DV!AG56+DV!AG57</f>
        <v>0</v>
      </c>
      <c r="AI99">
        <f>DV!AH56+DV!AH57</f>
        <v>0</v>
      </c>
      <c r="AJ99">
        <f>DV!AI56+DV!AI57</f>
        <v>0</v>
      </c>
      <c r="AK99">
        <f>DV!AJ56+DV!AJ57</f>
        <v>0</v>
      </c>
      <c r="AL99">
        <f>DV!AK56+DV!AK57</f>
        <v>0</v>
      </c>
      <c r="AM99">
        <f>DV!AL56+DV!AL57</f>
        <v>0</v>
      </c>
      <c r="AN99">
        <f>DV!AM56+DV!AM57</f>
        <v>0</v>
      </c>
      <c r="AO99">
        <f>DV!AN56+DV!AN57</f>
        <v>0</v>
      </c>
      <c r="AP99">
        <f>DV!AO56+DV!AO57</f>
        <v>0</v>
      </c>
      <c r="AQ99">
        <f>DV!AP56+DV!AP57</f>
        <v>0</v>
      </c>
      <c r="AR99">
        <f>DV!AQ56+DV!AQ57</f>
        <v>0</v>
      </c>
      <c r="AS99">
        <f>DV!AR56+DV!AR57</f>
        <v>0</v>
      </c>
      <c r="AT99">
        <f>DV!AS56+DV!AS57</f>
        <v>0</v>
      </c>
      <c r="AU99">
        <f>DV!AT56+DV!AT57</f>
        <v>0</v>
      </c>
      <c r="AV99">
        <f>DV!AU56+DV!AU57</f>
        <v>0</v>
      </c>
      <c r="AW99">
        <f>DV!AV56+DV!AV57</f>
        <v>0</v>
      </c>
      <c r="AX99">
        <f>DV!AW56+DV!AW57</f>
        <v>0</v>
      </c>
      <c r="AY99">
        <f>DV!AX56+DV!AX57</f>
        <v>0</v>
      </c>
      <c r="AZ99">
        <f>DV!AY56+DV!AY57</f>
        <v>0</v>
      </c>
      <c r="BA99">
        <f>DV!AZ56+DV!AZ57</f>
        <v>0</v>
      </c>
      <c r="BB99">
        <f>DV!BA56+DV!BA57</f>
        <v>0</v>
      </c>
      <c r="BC99">
        <f>DV!BB56+DV!BB57</f>
        <v>0</v>
      </c>
      <c r="BD99">
        <f>DV!BC56+DV!BC57</f>
        <v>0</v>
      </c>
      <c r="BE99">
        <f>DV!BD56+DV!BD57</f>
        <v>0</v>
      </c>
      <c r="BF99">
        <f>DV!BE56+DV!BE57</f>
        <v>0</v>
      </c>
      <c r="BG99">
        <f>DV!BF56+DV!BF57</f>
        <v>0</v>
      </c>
      <c r="BH99">
        <f>DV!BG56+DV!BG57</f>
        <v>0</v>
      </c>
      <c r="BI99">
        <f>DV!BH56+DV!BH57</f>
        <v>0</v>
      </c>
      <c r="BJ99">
        <f>DV!BI56+DV!BI57</f>
        <v>0</v>
      </c>
      <c r="BK99">
        <f>DV!BJ56+DV!BJ57</f>
        <v>0</v>
      </c>
      <c r="BL99">
        <f>DV!BK56+DV!BK57</f>
        <v>0</v>
      </c>
    </row>
    <row r="100" spans="1:64">
      <c r="A100">
        <v>39</v>
      </c>
      <c r="B100" s="5" t="str">
        <f>TEXT(VLOOKUP(A100,СВ[],2),"чч:мм")&amp;"-"&amp;TEXT(VLOOKUP(A100,СВ[],3),"чч:мм")</f>
        <v>17:15-18:00</v>
      </c>
      <c r="C100" s="6">
        <v>41</v>
      </c>
      <c r="D100" s="5" t="str">
        <f>TEXT(VLOOKUP(C100,СВ[],2),"чч:мм")&amp;"-"&amp;TEXT(VLOOKUP(C100,СВ[],3),"чч:мм")</f>
        <v>17:45-18:30</v>
      </c>
      <c r="E100">
        <f>DV!D56+DV!D58</f>
        <v>0</v>
      </c>
      <c r="F100">
        <f>DV!E56+DV!E58</f>
        <v>1</v>
      </c>
      <c r="G100">
        <f>DV!F56+DV!F58</f>
        <v>0</v>
      </c>
      <c r="H100">
        <f>DV!G56+DV!G58</f>
        <v>1</v>
      </c>
      <c r="I100">
        <f>DV!H56+DV!H58</f>
        <v>0</v>
      </c>
      <c r="J100">
        <f>DV!I56+DV!I58</f>
        <v>0</v>
      </c>
      <c r="K100">
        <f>DV!J56+DV!J58</f>
        <v>0</v>
      </c>
      <c r="L100">
        <f>DV!K56+DV!K58</f>
        <v>0</v>
      </c>
      <c r="M100">
        <f>DV!L56+DV!L58</f>
        <v>0</v>
      </c>
      <c r="N100">
        <f>DV!M56+DV!M58</f>
        <v>0</v>
      </c>
      <c r="O100">
        <f>DV!N56+DV!N58</f>
        <v>0</v>
      </c>
      <c r="P100">
        <f>DV!O56+DV!O58</f>
        <v>0</v>
      </c>
      <c r="Q100">
        <f>DV!P56+DV!P58</f>
        <v>0</v>
      </c>
      <c r="R100">
        <f>DV!Q56+DV!Q58</f>
        <v>0</v>
      </c>
      <c r="S100">
        <f>DV!R56+DV!R58</f>
        <v>0</v>
      </c>
      <c r="T100">
        <f>DV!S56+DV!S58</f>
        <v>0</v>
      </c>
      <c r="U100">
        <f>DV!T56+DV!T58</f>
        <v>0</v>
      </c>
      <c r="V100">
        <f>DV!U56+DV!U58</f>
        <v>0</v>
      </c>
      <c r="W100">
        <f>DV!V56+DV!V58</f>
        <v>0</v>
      </c>
      <c r="X100">
        <f>DV!W56+DV!W58</f>
        <v>0</v>
      </c>
      <c r="Y100">
        <f>DV!X56+DV!X58</f>
        <v>0</v>
      </c>
      <c r="Z100">
        <f>DV!Y56+DV!Y58</f>
        <v>0</v>
      </c>
      <c r="AA100">
        <f>DV!Z56+DV!Z58</f>
        <v>0</v>
      </c>
      <c r="AB100">
        <f>DV!AA56+DV!AA58</f>
        <v>0</v>
      </c>
      <c r="AC100">
        <f>DV!AB56+DV!AB58</f>
        <v>0</v>
      </c>
      <c r="AD100">
        <f>DV!AC56+DV!AC58</f>
        <v>0</v>
      </c>
      <c r="AE100">
        <f>DV!AD56+DV!AD58</f>
        <v>0</v>
      </c>
      <c r="AF100">
        <f>DV!AE56+DV!AE58</f>
        <v>0</v>
      </c>
      <c r="AG100">
        <f>DV!AF56+DV!AF58</f>
        <v>0</v>
      </c>
      <c r="AH100">
        <f>DV!AG56+DV!AG58</f>
        <v>0</v>
      </c>
      <c r="AI100">
        <f>DV!AH56+DV!AH58</f>
        <v>0</v>
      </c>
      <c r="AJ100">
        <f>DV!AI56+DV!AI58</f>
        <v>0</v>
      </c>
      <c r="AK100">
        <f>DV!AJ56+DV!AJ58</f>
        <v>0</v>
      </c>
      <c r="AL100">
        <f>DV!AK56+DV!AK58</f>
        <v>0</v>
      </c>
      <c r="AM100">
        <f>DV!AL56+DV!AL58</f>
        <v>0</v>
      </c>
      <c r="AN100">
        <f>DV!AM56+DV!AM58</f>
        <v>0</v>
      </c>
      <c r="AO100">
        <f>DV!AN56+DV!AN58</f>
        <v>0</v>
      </c>
      <c r="AP100">
        <f>DV!AO56+DV!AO58</f>
        <v>0</v>
      </c>
      <c r="AQ100">
        <f>DV!AP56+DV!AP58</f>
        <v>0</v>
      </c>
      <c r="AR100">
        <f>DV!AQ56+DV!AQ58</f>
        <v>0</v>
      </c>
      <c r="AS100">
        <f>DV!AR56+DV!AR58</f>
        <v>0</v>
      </c>
      <c r="AT100">
        <f>DV!AS56+DV!AS58</f>
        <v>0</v>
      </c>
      <c r="AU100">
        <f>DV!AT56+DV!AT58</f>
        <v>0</v>
      </c>
      <c r="AV100">
        <f>DV!AU56+DV!AU58</f>
        <v>0</v>
      </c>
      <c r="AW100">
        <f>DV!AV56+DV!AV58</f>
        <v>0</v>
      </c>
      <c r="AX100">
        <f>DV!AW56+DV!AW58</f>
        <v>0</v>
      </c>
      <c r="AY100">
        <f>DV!AX56+DV!AX58</f>
        <v>0</v>
      </c>
      <c r="AZ100">
        <f>DV!AY56+DV!AY58</f>
        <v>0</v>
      </c>
      <c r="BA100">
        <f>DV!AZ56+DV!AZ58</f>
        <v>0</v>
      </c>
      <c r="BB100">
        <f>DV!BA56+DV!BA58</f>
        <v>0</v>
      </c>
      <c r="BC100">
        <f>DV!BB56+DV!BB58</f>
        <v>0</v>
      </c>
      <c r="BD100">
        <f>DV!BC56+DV!BC58</f>
        <v>0</v>
      </c>
      <c r="BE100">
        <f>DV!BD56+DV!BD58</f>
        <v>0</v>
      </c>
      <c r="BF100">
        <f>DV!BE56+DV!BE58</f>
        <v>0</v>
      </c>
      <c r="BG100">
        <f>DV!BF56+DV!BF58</f>
        <v>0</v>
      </c>
      <c r="BH100">
        <f>DV!BG56+DV!BG58</f>
        <v>0</v>
      </c>
      <c r="BI100">
        <f>DV!BH56+DV!BH58</f>
        <v>0</v>
      </c>
      <c r="BJ100">
        <f>DV!BI56+DV!BI58</f>
        <v>0</v>
      </c>
      <c r="BK100">
        <f>DV!BJ56+DV!BJ58</f>
        <v>0</v>
      </c>
      <c r="BL100">
        <f>DV!BK56+DV!BK58</f>
        <v>0</v>
      </c>
    </row>
    <row r="101" spans="1:64">
      <c r="A101">
        <v>40</v>
      </c>
      <c r="B101" s="5" t="str">
        <f>TEXT(VLOOKUP(A101,СВ[],2),"чч:мм")&amp;"-"&amp;TEXT(VLOOKUP(A101,СВ[],3),"чч:мм")</f>
        <v>17:30-18:15</v>
      </c>
      <c r="C101" s="6">
        <v>41</v>
      </c>
      <c r="D101" s="5" t="str">
        <f>TEXT(VLOOKUP(C101,СВ[],2),"чч:мм")&amp;"-"&amp;TEXT(VLOOKUP(C101,СВ[],3),"чч:мм")</f>
        <v>17:45-18:30</v>
      </c>
      <c r="E101">
        <f>DV!D57+DV!D58</f>
        <v>0</v>
      </c>
      <c r="F101">
        <f>DV!E57+DV!E58</f>
        <v>0</v>
      </c>
      <c r="G101">
        <f>DV!F57+DV!F58</f>
        <v>0</v>
      </c>
      <c r="H101">
        <f>DV!G57+DV!G58</f>
        <v>0</v>
      </c>
      <c r="I101">
        <f>DV!H57+DV!H58</f>
        <v>0</v>
      </c>
      <c r="J101">
        <f>DV!I57+DV!I58</f>
        <v>0</v>
      </c>
      <c r="K101">
        <f>DV!J57+DV!J58</f>
        <v>0</v>
      </c>
      <c r="L101">
        <f>DV!K57+DV!K58</f>
        <v>0</v>
      </c>
      <c r="M101">
        <f>DV!L57+DV!L58</f>
        <v>0</v>
      </c>
      <c r="N101">
        <f>DV!M57+DV!M58</f>
        <v>0</v>
      </c>
      <c r="O101">
        <f>DV!N57+DV!N58</f>
        <v>0</v>
      </c>
      <c r="P101">
        <f>DV!O57+DV!O58</f>
        <v>0</v>
      </c>
      <c r="Q101">
        <f>DV!P57+DV!P58</f>
        <v>0</v>
      </c>
      <c r="R101">
        <f>DV!Q57+DV!Q58</f>
        <v>0</v>
      </c>
      <c r="S101">
        <f>DV!R57+DV!R58</f>
        <v>0</v>
      </c>
      <c r="T101">
        <f>DV!S57+DV!S58</f>
        <v>0</v>
      </c>
      <c r="U101">
        <f>DV!T57+DV!T58</f>
        <v>0</v>
      </c>
      <c r="V101">
        <f>DV!U57+DV!U58</f>
        <v>0</v>
      </c>
      <c r="W101">
        <f>DV!V57+DV!V58</f>
        <v>0</v>
      </c>
      <c r="X101">
        <f>DV!W57+DV!W58</f>
        <v>0</v>
      </c>
      <c r="Y101">
        <f>DV!X57+DV!X58</f>
        <v>0</v>
      </c>
      <c r="Z101">
        <f>DV!Y57+DV!Y58</f>
        <v>0</v>
      </c>
      <c r="AA101">
        <f>DV!Z57+DV!Z58</f>
        <v>0</v>
      </c>
      <c r="AB101">
        <f>DV!AA57+DV!AA58</f>
        <v>0</v>
      </c>
      <c r="AC101">
        <f>DV!AB57+DV!AB58</f>
        <v>0</v>
      </c>
      <c r="AD101">
        <f>DV!AC57+DV!AC58</f>
        <v>0</v>
      </c>
      <c r="AE101">
        <f>DV!AD57+DV!AD58</f>
        <v>0</v>
      </c>
      <c r="AF101">
        <f>DV!AE57+DV!AE58</f>
        <v>0</v>
      </c>
      <c r="AG101">
        <f>DV!AF57+DV!AF58</f>
        <v>0</v>
      </c>
      <c r="AH101">
        <f>DV!AG57+DV!AG58</f>
        <v>0</v>
      </c>
      <c r="AI101">
        <f>DV!AH57+DV!AH58</f>
        <v>0</v>
      </c>
      <c r="AJ101">
        <f>DV!AI57+DV!AI58</f>
        <v>0</v>
      </c>
      <c r="AK101">
        <f>DV!AJ57+DV!AJ58</f>
        <v>0</v>
      </c>
      <c r="AL101">
        <f>DV!AK57+DV!AK58</f>
        <v>0</v>
      </c>
      <c r="AM101">
        <f>DV!AL57+DV!AL58</f>
        <v>0</v>
      </c>
      <c r="AN101">
        <f>DV!AM57+DV!AM58</f>
        <v>0</v>
      </c>
      <c r="AO101">
        <f>DV!AN57+DV!AN58</f>
        <v>0</v>
      </c>
      <c r="AP101">
        <f>DV!AO57+DV!AO58</f>
        <v>0</v>
      </c>
      <c r="AQ101">
        <f>DV!AP57+DV!AP58</f>
        <v>0</v>
      </c>
      <c r="AR101">
        <f>DV!AQ57+DV!AQ58</f>
        <v>0</v>
      </c>
      <c r="AS101">
        <f>DV!AR57+DV!AR58</f>
        <v>0</v>
      </c>
      <c r="AT101">
        <f>DV!AS57+DV!AS58</f>
        <v>0</v>
      </c>
      <c r="AU101">
        <f>DV!AT57+DV!AT58</f>
        <v>0</v>
      </c>
      <c r="AV101">
        <f>DV!AU57+DV!AU58</f>
        <v>0</v>
      </c>
      <c r="AW101">
        <f>DV!AV57+DV!AV58</f>
        <v>0</v>
      </c>
      <c r="AX101">
        <f>DV!AW57+DV!AW58</f>
        <v>0</v>
      </c>
      <c r="AY101">
        <f>DV!AX57+DV!AX58</f>
        <v>0</v>
      </c>
      <c r="AZ101">
        <f>DV!AY57+DV!AY58</f>
        <v>0</v>
      </c>
      <c r="BA101">
        <f>DV!AZ57+DV!AZ58</f>
        <v>0</v>
      </c>
      <c r="BB101">
        <f>DV!BA57+DV!BA58</f>
        <v>0</v>
      </c>
      <c r="BC101">
        <f>DV!BB57+DV!BB58</f>
        <v>0</v>
      </c>
      <c r="BD101">
        <f>DV!BC57+DV!BC58</f>
        <v>0</v>
      </c>
      <c r="BE101">
        <f>DV!BD57+DV!BD58</f>
        <v>0</v>
      </c>
      <c r="BF101">
        <f>DV!BE57+DV!BE58</f>
        <v>0</v>
      </c>
      <c r="BG101">
        <f>DV!BF57+DV!BF58</f>
        <v>0</v>
      </c>
      <c r="BH101">
        <f>DV!BG57+DV!BG58</f>
        <v>0</v>
      </c>
      <c r="BI101">
        <f>DV!BH57+DV!BH58</f>
        <v>0</v>
      </c>
      <c r="BJ101">
        <f>DV!BI57+DV!BI58</f>
        <v>0</v>
      </c>
      <c r="BK101">
        <f>DV!BJ57+DV!BJ58</f>
        <v>0</v>
      </c>
      <c r="BL101">
        <f>DV!BK57+DV!BK58</f>
        <v>0</v>
      </c>
    </row>
    <row r="102" spans="1:64">
      <c r="A102">
        <v>40</v>
      </c>
      <c r="B102" s="5" t="str">
        <f>TEXT(VLOOKUP(A102,СВ[],2),"чч:мм")&amp;"-"&amp;TEXT(VLOOKUP(A102,СВ[],3),"чч:мм")</f>
        <v>17:30-18:15</v>
      </c>
      <c r="C102" s="6">
        <v>42</v>
      </c>
      <c r="D102" s="5" t="str">
        <f>TEXT(VLOOKUP(C102,СВ[],2),"чч:мм")&amp;"-"&amp;TEXT(VLOOKUP(C102,СВ[],3),"чч:мм")</f>
        <v>18:00-19:00</v>
      </c>
      <c r="E102">
        <f>DV!D57+DV!D59</f>
        <v>0</v>
      </c>
      <c r="F102">
        <f>DV!E57+DV!E59</f>
        <v>0</v>
      </c>
      <c r="G102">
        <f>DV!F57+DV!F59</f>
        <v>0</v>
      </c>
      <c r="H102">
        <f>DV!G57+DV!G59</f>
        <v>0</v>
      </c>
      <c r="I102">
        <f>DV!H57+DV!H59</f>
        <v>0</v>
      </c>
      <c r="J102">
        <f>DV!I57+DV!I59</f>
        <v>0</v>
      </c>
      <c r="K102">
        <f>DV!J57+DV!J59</f>
        <v>0</v>
      </c>
      <c r="L102">
        <f>DV!K57+DV!K59</f>
        <v>0</v>
      </c>
      <c r="M102">
        <f>DV!L57+DV!L59</f>
        <v>0</v>
      </c>
      <c r="N102">
        <f>DV!M57+DV!M59</f>
        <v>0</v>
      </c>
      <c r="O102">
        <f>DV!N57+DV!N59</f>
        <v>0</v>
      </c>
      <c r="P102">
        <f>DV!O57+DV!O59</f>
        <v>0</v>
      </c>
      <c r="Q102">
        <f>DV!P57+DV!P59</f>
        <v>0</v>
      </c>
      <c r="R102">
        <f>DV!Q57+DV!Q59</f>
        <v>0</v>
      </c>
      <c r="S102">
        <f>DV!R57+DV!R59</f>
        <v>0</v>
      </c>
      <c r="T102">
        <f>DV!S57+DV!S59</f>
        <v>0</v>
      </c>
      <c r="U102">
        <f>DV!T57+DV!T59</f>
        <v>0</v>
      </c>
      <c r="V102">
        <f>DV!U57+DV!U59</f>
        <v>0</v>
      </c>
      <c r="W102">
        <f>DV!V57+DV!V59</f>
        <v>0</v>
      </c>
      <c r="X102">
        <f>DV!W57+DV!W59</f>
        <v>0</v>
      </c>
      <c r="Y102">
        <f>DV!X57+DV!X59</f>
        <v>0</v>
      </c>
      <c r="Z102">
        <f>DV!Y57+DV!Y59</f>
        <v>0</v>
      </c>
      <c r="AA102">
        <f>DV!Z57+DV!Z59</f>
        <v>0</v>
      </c>
      <c r="AB102">
        <f>DV!AA57+DV!AA59</f>
        <v>0</v>
      </c>
      <c r="AC102">
        <f>DV!AB57+DV!AB59</f>
        <v>0</v>
      </c>
      <c r="AD102">
        <f>DV!AC57+DV!AC59</f>
        <v>0</v>
      </c>
      <c r="AE102">
        <f>DV!AD57+DV!AD59</f>
        <v>0</v>
      </c>
      <c r="AF102">
        <f>DV!AE57+DV!AE59</f>
        <v>0</v>
      </c>
      <c r="AG102">
        <f>DV!AF57+DV!AF59</f>
        <v>0</v>
      </c>
      <c r="AH102">
        <f>DV!AG57+DV!AG59</f>
        <v>0</v>
      </c>
      <c r="AI102">
        <f>DV!AH57+DV!AH59</f>
        <v>0</v>
      </c>
      <c r="AJ102">
        <f>DV!AI57+DV!AI59</f>
        <v>0</v>
      </c>
      <c r="AK102">
        <f>DV!AJ57+DV!AJ59</f>
        <v>0</v>
      </c>
      <c r="AL102">
        <f>DV!AK57+DV!AK59</f>
        <v>0</v>
      </c>
      <c r="AM102">
        <f>DV!AL57+DV!AL59</f>
        <v>0</v>
      </c>
      <c r="AN102">
        <f>DV!AM57+DV!AM59</f>
        <v>0</v>
      </c>
      <c r="AO102">
        <f>DV!AN57+DV!AN59</f>
        <v>0</v>
      </c>
      <c r="AP102">
        <f>DV!AO57+DV!AO59</f>
        <v>0</v>
      </c>
      <c r="AQ102">
        <f>DV!AP57+DV!AP59</f>
        <v>0</v>
      </c>
      <c r="AR102">
        <f>DV!AQ57+DV!AQ59</f>
        <v>0</v>
      </c>
      <c r="AS102">
        <f>DV!AR57+DV!AR59</f>
        <v>0</v>
      </c>
      <c r="AT102">
        <f>DV!AS57+DV!AS59</f>
        <v>0</v>
      </c>
      <c r="AU102">
        <f>DV!AT57+DV!AT59</f>
        <v>0</v>
      </c>
      <c r="AV102">
        <f>DV!AU57+DV!AU59</f>
        <v>0</v>
      </c>
      <c r="AW102">
        <f>DV!AV57+DV!AV59</f>
        <v>0</v>
      </c>
      <c r="AX102">
        <f>DV!AW57+DV!AW59</f>
        <v>0</v>
      </c>
      <c r="AY102">
        <f>DV!AX57+DV!AX59</f>
        <v>0</v>
      </c>
      <c r="AZ102">
        <f>DV!AY57+DV!AY59</f>
        <v>0</v>
      </c>
      <c r="BA102">
        <f>DV!AZ57+DV!AZ59</f>
        <v>0</v>
      </c>
      <c r="BB102">
        <f>DV!BA57+DV!BA59</f>
        <v>0</v>
      </c>
      <c r="BC102">
        <f>DV!BB57+DV!BB59</f>
        <v>0</v>
      </c>
      <c r="BD102">
        <f>DV!BC57+DV!BC59</f>
        <v>0</v>
      </c>
      <c r="BE102">
        <f>DV!BD57+DV!BD59</f>
        <v>0</v>
      </c>
      <c r="BF102">
        <f>DV!BE57+DV!BE59</f>
        <v>0</v>
      </c>
      <c r="BG102">
        <f>DV!BF57+DV!BF59</f>
        <v>0</v>
      </c>
      <c r="BH102">
        <f>DV!BG57+DV!BG59</f>
        <v>0</v>
      </c>
      <c r="BI102">
        <f>DV!BH57+DV!BH59</f>
        <v>0</v>
      </c>
      <c r="BJ102">
        <f>DV!BI57+DV!BI59</f>
        <v>0</v>
      </c>
      <c r="BK102">
        <f>DV!BJ57+DV!BJ59</f>
        <v>0</v>
      </c>
      <c r="BL102">
        <f>DV!BK57+DV!BK59</f>
        <v>0</v>
      </c>
    </row>
    <row r="103" spans="1:64">
      <c r="A103">
        <v>41</v>
      </c>
      <c r="B103" s="5" t="str">
        <f>TEXT(VLOOKUP(A103,СВ[],2),"чч:мм")&amp;"-"&amp;TEXT(VLOOKUP(A103,СВ[],3),"чч:мм")</f>
        <v>17:45-18:30</v>
      </c>
      <c r="C103" s="6">
        <v>42</v>
      </c>
      <c r="D103" s="5" t="str">
        <f>TEXT(VLOOKUP(C103,СВ[],2),"чч:мм")&amp;"-"&amp;TEXT(VLOOKUP(C103,СВ[],3),"чч:мм")</f>
        <v>18:00-19:00</v>
      </c>
      <c r="E103">
        <f>DV!D58+DV!D59</f>
        <v>0</v>
      </c>
      <c r="F103">
        <f>DV!E58+DV!E59</f>
        <v>0</v>
      </c>
      <c r="G103">
        <f>DV!F58+DV!F59</f>
        <v>0</v>
      </c>
      <c r="H103">
        <f>DV!G58+DV!G59</f>
        <v>0</v>
      </c>
      <c r="I103">
        <f>DV!H58+DV!H59</f>
        <v>0</v>
      </c>
      <c r="J103">
        <f>DV!I58+DV!I59</f>
        <v>0</v>
      </c>
      <c r="K103">
        <f>DV!J58+DV!J59</f>
        <v>0</v>
      </c>
      <c r="L103">
        <f>DV!K58+DV!K59</f>
        <v>0</v>
      </c>
      <c r="M103">
        <f>DV!L58+DV!L59</f>
        <v>0</v>
      </c>
      <c r="N103">
        <f>DV!M58+DV!M59</f>
        <v>0</v>
      </c>
      <c r="O103">
        <f>DV!N58+DV!N59</f>
        <v>0</v>
      </c>
      <c r="P103">
        <f>DV!O58+DV!O59</f>
        <v>0</v>
      </c>
      <c r="Q103">
        <f>DV!P58+DV!P59</f>
        <v>0</v>
      </c>
      <c r="R103">
        <f>DV!Q58+DV!Q59</f>
        <v>0</v>
      </c>
      <c r="S103">
        <f>DV!R58+DV!R59</f>
        <v>0</v>
      </c>
      <c r="T103">
        <f>DV!S58+DV!S59</f>
        <v>0</v>
      </c>
      <c r="U103">
        <f>DV!T58+DV!T59</f>
        <v>0</v>
      </c>
      <c r="V103">
        <f>DV!U58+DV!U59</f>
        <v>0</v>
      </c>
      <c r="W103">
        <f>DV!V58+DV!V59</f>
        <v>0</v>
      </c>
      <c r="X103">
        <f>DV!W58+DV!W59</f>
        <v>0</v>
      </c>
      <c r="Y103">
        <f>DV!X58+DV!X59</f>
        <v>0</v>
      </c>
      <c r="Z103">
        <f>DV!Y58+DV!Y59</f>
        <v>0</v>
      </c>
      <c r="AA103">
        <f>DV!Z58+DV!Z59</f>
        <v>0</v>
      </c>
      <c r="AB103">
        <f>DV!AA58+DV!AA59</f>
        <v>0</v>
      </c>
      <c r="AC103">
        <f>DV!AB58+DV!AB59</f>
        <v>0</v>
      </c>
      <c r="AD103">
        <f>DV!AC58+DV!AC59</f>
        <v>0</v>
      </c>
      <c r="AE103">
        <f>DV!AD58+DV!AD59</f>
        <v>0</v>
      </c>
      <c r="AF103">
        <f>DV!AE58+DV!AE59</f>
        <v>0</v>
      </c>
      <c r="AG103">
        <f>DV!AF58+DV!AF59</f>
        <v>0</v>
      </c>
      <c r="AH103">
        <f>DV!AG58+DV!AG59</f>
        <v>0</v>
      </c>
      <c r="AI103">
        <f>DV!AH58+DV!AH59</f>
        <v>0</v>
      </c>
      <c r="AJ103">
        <f>DV!AI58+DV!AI59</f>
        <v>0</v>
      </c>
      <c r="AK103">
        <f>DV!AJ58+DV!AJ59</f>
        <v>0</v>
      </c>
      <c r="AL103">
        <f>DV!AK58+DV!AK59</f>
        <v>0</v>
      </c>
      <c r="AM103">
        <f>DV!AL58+DV!AL59</f>
        <v>0</v>
      </c>
      <c r="AN103">
        <f>DV!AM58+DV!AM59</f>
        <v>0</v>
      </c>
      <c r="AO103">
        <f>DV!AN58+DV!AN59</f>
        <v>0</v>
      </c>
      <c r="AP103">
        <f>DV!AO58+DV!AO59</f>
        <v>0</v>
      </c>
      <c r="AQ103">
        <f>DV!AP58+DV!AP59</f>
        <v>0</v>
      </c>
      <c r="AR103">
        <f>DV!AQ58+DV!AQ59</f>
        <v>0</v>
      </c>
      <c r="AS103">
        <f>DV!AR58+DV!AR59</f>
        <v>0</v>
      </c>
      <c r="AT103">
        <f>DV!AS58+DV!AS59</f>
        <v>0</v>
      </c>
      <c r="AU103">
        <f>DV!AT58+DV!AT59</f>
        <v>0</v>
      </c>
      <c r="AV103">
        <f>DV!AU58+DV!AU59</f>
        <v>0</v>
      </c>
      <c r="AW103">
        <f>DV!AV58+DV!AV59</f>
        <v>0</v>
      </c>
      <c r="AX103">
        <f>DV!AW58+DV!AW59</f>
        <v>0</v>
      </c>
      <c r="AY103">
        <f>DV!AX58+DV!AX59</f>
        <v>0</v>
      </c>
      <c r="AZ103">
        <f>DV!AY58+DV!AY59</f>
        <v>0</v>
      </c>
      <c r="BA103">
        <f>DV!AZ58+DV!AZ59</f>
        <v>0</v>
      </c>
      <c r="BB103">
        <f>DV!BA58+DV!BA59</f>
        <v>0</v>
      </c>
      <c r="BC103">
        <f>DV!BB58+DV!BB59</f>
        <v>0</v>
      </c>
      <c r="BD103">
        <f>DV!BC58+DV!BC59</f>
        <v>0</v>
      </c>
      <c r="BE103">
        <f>DV!BD58+DV!BD59</f>
        <v>0</v>
      </c>
      <c r="BF103">
        <f>DV!BE58+DV!BE59</f>
        <v>0</v>
      </c>
      <c r="BG103">
        <f>DV!BF58+DV!BF59</f>
        <v>0</v>
      </c>
      <c r="BH103">
        <f>DV!BG58+DV!BG59</f>
        <v>0</v>
      </c>
      <c r="BI103">
        <f>DV!BH58+DV!BH59</f>
        <v>0</v>
      </c>
      <c r="BJ103">
        <f>DV!BI58+DV!BI59</f>
        <v>0</v>
      </c>
      <c r="BK103">
        <f>DV!BJ58+DV!BJ59</f>
        <v>0</v>
      </c>
      <c r="BL103">
        <f>DV!BK58+DV!BK59</f>
        <v>0</v>
      </c>
    </row>
    <row r="104" spans="1:64">
      <c r="A104">
        <v>41</v>
      </c>
      <c r="B104" s="5" t="str">
        <f>TEXT(VLOOKUP(A104,СВ[],2),"чч:мм")&amp;"-"&amp;TEXT(VLOOKUP(A104,СВ[],3),"чч:мм")</f>
        <v>17:45-18:30</v>
      </c>
      <c r="C104" s="6">
        <v>43</v>
      </c>
      <c r="D104" s="5" t="str">
        <f>TEXT(VLOOKUP(C104,СВ[],2),"чч:мм")&amp;"-"&amp;TEXT(VLOOKUP(C104,СВ[],3),"чч:мм")</f>
        <v>18:15-19:00</v>
      </c>
      <c r="E104">
        <f>DV!D58+DV!D60</f>
        <v>0</v>
      </c>
      <c r="F104">
        <f>DV!E58+DV!E60</f>
        <v>0</v>
      </c>
      <c r="G104">
        <f>DV!F58+DV!F60</f>
        <v>0</v>
      </c>
      <c r="H104">
        <f>DV!G58+DV!G60</f>
        <v>0</v>
      </c>
      <c r="I104">
        <f>DV!H58+DV!H60</f>
        <v>0</v>
      </c>
      <c r="J104">
        <f>DV!I58+DV!I60</f>
        <v>0</v>
      </c>
      <c r="K104">
        <f>DV!J58+DV!J60</f>
        <v>0</v>
      </c>
      <c r="L104">
        <f>DV!K58+DV!K60</f>
        <v>0</v>
      </c>
      <c r="M104">
        <f>DV!L58+DV!L60</f>
        <v>0</v>
      </c>
      <c r="N104">
        <f>DV!M58+DV!M60</f>
        <v>0</v>
      </c>
      <c r="O104">
        <f>DV!N58+DV!N60</f>
        <v>0</v>
      </c>
      <c r="P104">
        <f>DV!O58+DV!O60</f>
        <v>0</v>
      </c>
      <c r="Q104">
        <f>DV!P58+DV!P60</f>
        <v>0</v>
      </c>
      <c r="R104">
        <f>DV!Q58+DV!Q60</f>
        <v>0</v>
      </c>
      <c r="S104">
        <f>DV!R58+DV!R60</f>
        <v>0</v>
      </c>
      <c r="T104">
        <f>DV!S58+DV!S60</f>
        <v>0</v>
      </c>
      <c r="U104">
        <f>DV!T58+DV!T60</f>
        <v>0</v>
      </c>
      <c r="V104">
        <f>DV!U58+DV!U60</f>
        <v>0</v>
      </c>
      <c r="W104">
        <f>DV!V58+DV!V60</f>
        <v>0</v>
      </c>
      <c r="X104">
        <f>DV!W58+DV!W60</f>
        <v>0</v>
      </c>
      <c r="Y104">
        <f>DV!X58+DV!X60</f>
        <v>0</v>
      </c>
      <c r="Z104">
        <f>DV!Y58+DV!Y60</f>
        <v>0</v>
      </c>
      <c r="AA104">
        <f>DV!Z58+DV!Z60</f>
        <v>0</v>
      </c>
      <c r="AB104">
        <f>DV!AA58+DV!AA60</f>
        <v>0</v>
      </c>
      <c r="AC104">
        <f>DV!AB58+DV!AB60</f>
        <v>0</v>
      </c>
      <c r="AD104">
        <f>DV!AC58+DV!AC60</f>
        <v>0</v>
      </c>
      <c r="AE104">
        <f>DV!AD58+DV!AD60</f>
        <v>0</v>
      </c>
      <c r="AF104">
        <f>DV!AE58+DV!AE60</f>
        <v>0</v>
      </c>
      <c r="AG104">
        <f>DV!AF58+DV!AF60</f>
        <v>0</v>
      </c>
      <c r="AH104">
        <f>DV!AG58+DV!AG60</f>
        <v>0</v>
      </c>
      <c r="AI104">
        <f>DV!AH58+DV!AH60</f>
        <v>0</v>
      </c>
      <c r="AJ104">
        <f>DV!AI58+DV!AI60</f>
        <v>0</v>
      </c>
      <c r="AK104">
        <f>DV!AJ58+DV!AJ60</f>
        <v>0</v>
      </c>
      <c r="AL104">
        <f>DV!AK58+DV!AK60</f>
        <v>0</v>
      </c>
      <c r="AM104">
        <f>DV!AL58+DV!AL60</f>
        <v>0</v>
      </c>
      <c r="AN104">
        <f>DV!AM58+DV!AM60</f>
        <v>0</v>
      </c>
      <c r="AO104">
        <f>DV!AN58+DV!AN60</f>
        <v>0</v>
      </c>
      <c r="AP104">
        <f>DV!AO58+DV!AO60</f>
        <v>0</v>
      </c>
      <c r="AQ104">
        <f>DV!AP58+DV!AP60</f>
        <v>0</v>
      </c>
      <c r="AR104">
        <f>DV!AQ58+DV!AQ60</f>
        <v>0</v>
      </c>
      <c r="AS104">
        <f>DV!AR58+DV!AR60</f>
        <v>0</v>
      </c>
      <c r="AT104">
        <f>DV!AS58+DV!AS60</f>
        <v>0</v>
      </c>
      <c r="AU104">
        <f>DV!AT58+DV!AT60</f>
        <v>0</v>
      </c>
      <c r="AV104">
        <f>DV!AU58+DV!AU60</f>
        <v>0</v>
      </c>
      <c r="AW104">
        <f>DV!AV58+DV!AV60</f>
        <v>0</v>
      </c>
      <c r="AX104">
        <f>DV!AW58+DV!AW60</f>
        <v>0</v>
      </c>
      <c r="AY104">
        <f>DV!AX58+DV!AX60</f>
        <v>0</v>
      </c>
      <c r="AZ104">
        <f>DV!AY58+DV!AY60</f>
        <v>0</v>
      </c>
      <c r="BA104">
        <f>DV!AZ58+DV!AZ60</f>
        <v>0</v>
      </c>
      <c r="BB104">
        <f>DV!BA58+DV!BA60</f>
        <v>0</v>
      </c>
      <c r="BC104">
        <f>DV!BB58+DV!BB60</f>
        <v>0</v>
      </c>
      <c r="BD104">
        <f>DV!BC58+DV!BC60</f>
        <v>0</v>
      </c>
      <c r="BE104">
        <f>DV!BD58+DV!BD60</f>
        <v>0</v>
      </c>
      <c r="BF104">
        <f>DV!BE58+DV!BE60</f>
        <v>0</v>
      </c>
      <c r="BG104">
        <f>DV!BF58+DV!BF60</f>
        <v>0</v>
      </c>
      <c r="BH104">
        <f>DV!BG58+DV!BG60</f>
        <v>0</v>
      </c>
      <c r="BI104">
        <f>DV!BH58+DV!BH60</f>
        <v>0</v>
      </c>
      <c r="BJ104">
        <f>DV!BI58+DV!BI60</f>
        <v>0</v>
      </c>
      <c r="BK104">
        <f>DV!BJ58+DV!BJ60</f>
        <v>0</v>
      </c>
      <c r="BL104">
        <f>DV!BK58+DV!BK60</f>
        <v>0</v>
      </c>
    </row>
    <row r="105" spans="1:64">
      <c r="A105">
        <v>42</v>
      </c>
      <c r="B105" s="5" t="str">
        <f>TEXT(VLOOKUP(A105,СВ[],2),"чч:мм")&amp;"-"&amp;TEXT(VLOOKUP(A105,СВ[],3),"чч:мм")</f>
        <v>18:00-19:00</v>
      </c>
      <c r="C105" s="6">
        <v>43</v>
      </c>
      <c r="D105" s="5" t="str">
        <f>TEXT(VLOOKUP(C105,СВ[],2),"чч:мм")&amp;"-"&amp;TEXT(VLOOKUP(C105,СВ[],3),"чч:мм")</f>
        <v>18:15-19:00</v>
      </c>
      <c r="E105">
        <f>DV!D59+DV!D60</f>
        <v>0</v>
      </c>
      <c r="F105">
        <f>DV!E59+DV!E60</f>
        <v>0</v>
      </c>
      <c r="G105">
        <f>DV!F59+DV!F60</f>
        <v>0</v>
      </c>
      <c r="H105">
        <f>DV!G59+DV!G60</f>
        <v>0</v>
      </c>
      <c r="I105">
        <f>DV!H59+DV!H60</f>
        <v>0</v>
      </c>
      <c r="J105">
        <f>DV!I59+DV!I60</f>
        <v>0</v>
      </c>
      <c r="K105">
        <f>DV!J59+DV!J60</f>
        <v>0</v>
      </c>
      <c r="L105">
        <f>DV!K59+DV!K60</f>
        <v>0</v>
      </c>
      <c r="M105">
        <f>DV!L59+DV!L60</f>
        <v>0</v>
      </c>
      <c r="N105">
        <f>DV!M59+DV!M60</f>
        <v>0</v>
      </c>
      <c r="O105">
        <f>DV!N59+DV!N60</f>
        <v>0</v>
      </c>
      <c r="P105">
        <f>DV!O59+DV!O60</f>
        <v>0</v>
      </c>
      <c r="Q105">
        <f>DV!P59+DV!P60</f>
        <v>0</v>
      </c>
      <c r="R105">
        <f>DV!Q59+DV!Q60</f>
        <v>0</v>
      </c>
      <c r="S105">
        <f>DV!R59+DV!R60</f>
        <v>0</v>
      </c>
      <c r="T105">
        <f>DV!S59+DV!S60</f>
        <v>0</v>
      </c>
      <c r="U105">
        <f>DV!T59+DV!T60</f>
        <v>0</v>
      </c>
      <c r="V105">
        <f>DV!U59+DV!U60</f>
        <v>0</v>
      </c>
      <c r="W105">
        <f>DV!V59+DV!V60</f>
        <v>0</v>
      </c>
      <c r="X105">
        <f>DV!W59+DV!W60</f>
        <v>0</v>
      </c>
      <c r="Y105">
        <f>DV!X59+DV!X60</f>
        <v>0</v>
      </c>
      <c r="Z105">
        <f>DV!Y59+DV!Y60</f>
        <v>0</v>
      </c>
      <c r="AA105">
        <f>DV!Z59+DV!Z60</f>
        <v>0</v>
      </c>
      <c r="AB105">
        <f>DV!AA59+DV!AA60</f>
        <v>0</v>
      </c>
      <c r="AC105">
        <f>DV!AB59+DV!AB60</f>
        <v>0</v>
      </c>
      <c r="AD105">
        <f>DV!AC59+DV!AC60</f>
        <v>0</v>
      </c>
      <c r="AE105">
        <f>DV!AD59+DV!AD60</f>
        <v>0</v>
      </c>
      <c r="AF105">
        <f>DV!AE59+DV!AE60</f>
        <v>0</v>
      </c>
      <c r="AG105">
        <f>DV!AF59+DV!AF60</f>
        <v>0</v>
      </c>
      <c r="AH105">
        <f>DV!AG59+DV!AG60</f>
        <v>0</v>
      </c>
      <c r="AI105">
        <f>DV!AH59+DV!AH60</f>
        <v>0</v>
      </c>
      <c r="AJ105">
        <f>DV!AI59+DV!AI60</f>
        <v>0</v>
      </c>
      <c r="AK105">
        <f>DV!AJ59+DV!AJ60</f>
        <v>0</v>
      </c>
      <c r="AL105">
        <f>DV!AK59+DV!AK60</f>
        <v>0</v>
      </c>
      <c r="AM105">
        <f>DV!AL59+DV!AL60</f>
        <v>0</v>
      </c>
      <c r="AN105">
        <f>DV!AM59+DV!AM60</f>
        <v>0</v>
      </c>
      <c r="AO105">
        <f>DV!AN59+DV!AN60</f>
        <v>0</v>
      </c>
      <c r="AP105">
        <f>DV!AO59+DV!AO60</f>
        <v>0</v>
      </c>
      <c r="AQ105">
        <f>DV!AP59+DV!AP60</f>
        <v>0</v>
      </c>
      <c r="AR105">
        <f>DV!AQ59+DV!AQ60</f>
        <v>0</v>
      </c>
      <c r="AS105">
        <f>DV!AR59+DV!AR60</f>
        <v>0</v>
      </c>
      <c r="AT105">
        <f>DV!AS59+DV!AS60</f>
        <v>0</v>
      </c>
      <c r="AU105">
        <f>DV!AT59+DV!AT60</f>
        <v>0</v>
      </c>
      <c r="AV105">
        <f>DV!AU59+DV!AU60</f>
        <v>0</v>
      </c>
      <c r="AW105">
        <f>DV!AV59+DV!AV60</f>
        <v>0</v>
      </c>
      <c r="AX105">
        <f>DV!AW59+DV!AW60</f>
        <v>0</v>
      </c>
      <c r="AY105">
        <f>DV!AX59+DV!AX60</f>
        <v>0</v>
      </c>
      <c r="AZ105">
        <f>DV!AY59+DV!AY60</f>
        <v>0</v>
      </c>
      <c r="BA105">
        <f>DV!AZ59+DV!AZ60</f>
        <v>0</v>
      </c>
      <c r="BB105">
        <f>DV!BA59+DV!BA60</f>
        <v>0</v>
      </c>
      <c r="BC105">
        <f>DV!BB59+DV!BB60</f>
        <v>0</v>
      </c>
      <c r="BD105">
        <f>DV!BC59+DV!BC60</f>
        <v>0</v>
      </c>
      <c r="BE105">
        <f>DV!BD59+DV!BD60</f>
        <v>0</v>
      </c>
      <c r="BF105">
        <f>DV!BE59+DV!BE60</f>
        <v>0</v>
      </c>
      <c r="BG105">
        <f>DV!BF59+DV!BF60</f>
        <v>0</v>
      </c>
      <c r="BH105">
        <f>DV!BG59+DV!BG60</f>
        <v>0</v>
      </c>
      <c r="BI105">
        <f>DV!BH59+DV!BH60</f>
        <v>0</v>
      </c>
      <c r="BJ105">
        <f>DV!BI59+DV!BI60</f>
        <v>0</v>
      </c>
      <c r="BK105">
        <f>DV!BJ59+DV!BJ60</f>
        <v>0</v>
      </c>
      <c r="BL105">
        <f>DV!BK59+DV!BK60</f>
        <v>0</v>
      </c>
    </row>
    <row r="106" spans="1:64">
      <c r="A106">
        <v>42</v>
      </c>
      <c r="B106" s="5" t="str">
        <f>TEXT(VLOOKUP(A106,СВ[],2),"чч:мм")&amp;"-"&amp;TEXT(VLOOKUP(A106,СВ[],3),"чч:мм")</f>
        <v>18:00-19:00</v>
      </c>
      <c r="C106" s="6">
        <v>44</v>
      </c>
      <c r="D106" s="5" t="str">
        <f>TEXT(VLOOKUP(C106,СВ[],2),"чч:мм")&amp;"-"&amp;TEXT(VLOOKUP(C106,СВ[],3),"чч:мм")</f>
        <v>18:30-19:15</v>
      </c>
      <c r="E106">
        <f>DV!D59+DV!D61</f>
        <v>0</v>
      </c>
      <c r="F106">
        <f>DV!E59+DV!E61</f>
        <v>0</v>
      </c>
      <c r="G106">
        <f>DV!F59+DV!F61</f>
        <v>0</v>
      </c>
      <c r="H106">
        <f>DV!G59+DV!G61</f>
        <v>0</v>
      </c>
      <c r="I106">
        <f>DV!H59+DV!H61</f>
        <v>0</v>
      </c>
      <c r="J106">
        <f>DV!I59+DV!I61</f>
        <v>0</v>
      </c>
      <c r="K106">
        <f>DV!J59+DV!J61</f>
        <v>0</v>
      </c>
      <c r="L106">
        <f>DV!K59+DV!K61</f>
        <v>0</v>
      </c>
      <c r="M106">
        <f>DV!L59+DV!L61</f>
        <v>0</v>
      </c>
      <c r="N106">
        <f>DV!M59+DV!M61</f>
        <v>0</v>
      </c>
      <c r="O106">
        <f>DV!N59+DV!N61</f>
        <v>0</v>
      </c>
      <c r="P106">
        <f>DV!O59+DV!O61</f>
        <v>0</v>
      </c>
      <c r="Q106">
        <f>DV!P59+DV!P61</f>
        <v>0</v>
      </c>
      <c r="R106">
        <f>DV!Q59+DV!Q61</f>
        <v>0</v>
      </c>
      <c r="S106">
        <f>DV!R59+DV!R61</f>
        <v>0</v>
      </c>
      <c r="T106">
        <f>DV!S59+DV!S61</f>
        <v>0</v>
      </c>
      <c r="U106">
        <f>DV!T59+DV!T61</f>
        <v>0</v>
      </c>
      <c r="V106">
        <f>DV!U59+DV!U61</f>
        <v>0</v>
      </c>
      <c r="W106">
        <f>DV!V59+DV!V61</f>
        <v>0</v>
      </c>
      <c r="X106">
        <f>DV!W59+DV!W61</f>
        <v>0</v>
      </c>
      <c r="Y106">
        <f>DV!X59+DV!X61</f>
        <v>0</v>
      </c>
      <c r="Z106">
        <f>DV!Y59+DV!Y61</f>
        <v>0</v>
      </c>
      <c r="AA106">
        <f>DV!Z59+DV!Z61</f>
        <v>0</v>
      </c>
      <c r="AB106">
        <f>DV!AA59+DV!AA61</f>
        <v>0</v>
      </c>
      <c r="AC106">
        <f>DV!AB59+DV!AB61</f>
        <v>0</v>
      </c>
      <c r="AD106">
        <f>DV!AC59+DV!AC61</f>
        <v>0</v>
      </c>
      <c r="AE106">
        <f>DV!AD59+DV!AD61</f>
        <v>0</v>
      </c>
      <c r="AF106">
        <f>DV!AE59+DV!AE61</f>
        <v>0</v>
      </c>
      <c r="AG106">
        <f>DV!AF59+DV!AF61</f>
        <v>0</v>
      </c>
      <c r="AH106">
        <f>DV!AG59+DV!AG61</f>
        <v>0</v>
      </c>
      <c r="AI106">
        <f>DV!AH59+DV!AH61</f>
        <v>0</v>
      </c>
      <c r="AJ106">
        <f>DV!AI59+DV!AI61</f>
        <v>0</v>
      </c>
      <c r="AK106">
        <f>DV!AJ59+DV!AJ61</f>
        <v>0</v>
      </c>
      <c r="AL106">
        <f>DV!AK59+DV!AK61</f>
        <v>0</v>
      </c>
      <c r="AM106">
        <f>DV!AL59+DV!AL61</f>
        <v>0</v>
      </c>
      <c r="AN106">
        <f>DV!AM59+DV!AM61</f>
        <v>0</v>
      </c>
      <c r="AO106">
        <f>DV!AN59+DV!AN61</f>
        <v>0</v>
      </c>
      <c r="AP106">
        <f>DV!AO59+DV!AO61</f>
        <v>0</v>
      </c>
      <c r="AQ106">
        <f>DV!AP59+DV!AP61</f>
        <v>0</v>
      </c>
      <c r="AR106">
        <f>DV!AQ59+DV!AQ61</f>
        <v>0</v>
      </c>
      <c r="AS106">
        <f>DV!AR59+DV!AR61</f>
        <v>0</v>
      </c>
      <c r="AT106">
        <f>DV!AS59+DV!AS61</f>
        <v>0</v>
      </c>
      <c r="AU106">
        <f>DV!AT59+DV!AT61</f>
        <v>0</v>
      </c>
      <c r="AV106">
        <f>DV!AU59+DV!AU61</f>
        <v>0</v>
      </c>
      <c r="AW106">
        <f>DV!AV59+DV!AV61</f>
        <v>0</v>
      </c>
      <c r="AX106">
        <f>DV!AW59+DV!AW61</f>
        <v>0</v>
      </c>
      <c r="AY106">
        <f>DV!AX59+DV!AX61</f>
        <v>0</v>
      </c>
      <c r="AZ106">
        <f>DV!AY59+DV!AY61</f>
        <v>0</v>
      </c>
      <c r="BA106">
        <f>DV!AZ59+DV!AZ61</f>
        <v>0</v>
      </c>
      <c r="BB106">
        <f>DV!BA59+DV!BA61</f>
        <v>0</v>
      </c>
      <c r="BC106">
        <f>DV!BB59+DV!BB61</f>
        <v>0</v>
      </c>
      <c r="BD106">
        <f>DV!BC59+DV!BC61</f>
        <v>0</v>
      </c>
      <c r="BE106">
        <f>DV!BD59+DV!BD61</f>
        <v>0</v>
      </c>
      <c r="BF106">
        <f>DV!BE59+DV!BE61</f>
        <v>0</v>
      </c>
      <c r="BG106">
        <f>DV!BF59+DV!BF61</f>
        <v>0</v>
      </c>
      <c r="BH106">
        <f>DV!BG59+DV!BG61</f>
        <v>0</v>
      </c>
      <c r="BI106">
        <f>DV!BH59+DV!BH61</f>
        <v>0</v>
      </c>
      <c r="BJ106">
        <f>DV!BI59+DV!BI61</f>
        <v>0</v>
      </c>
      <c r="BK106">
        <f>DV!BJ59+DV!BJ61</f>
        <v>0</v>
      </c>
      <c r="BL106">
        <f>DV!BK59+DV!BK61</f>
        <v>0</v>
      </c>
    </row>
    <row r="107" spans="1:64">
      <c r="A107">
        <v>42</v>
      </c>
      <c r="B107" s="5" t="str">
        <f>TEXT(VLOOKUP(A107,СВ[],2),"чч:мм")&amp;"-"&amp;TEXT(VLOOKUP(A107,СВ[],3),"чч:мм")</f>
        <v>18:00-19:00</v>
      </c>
      <c r="C107" s="6">
        <v>45</v>
      </c>
      <c r="D107" s="5" t="str">
        <f>TEXT(VLOOKUP(C107,СВ[],2),"чч:мм")&amp;"-"&amp;TEXT(VLOOKUP(C107,СВ[],3),"чч:мм")</f>
        <v>18:45-19:30</v>
      </c>
      <c r="E107">
        <f>DV!D59+DV!D62</f>
        <v>0</v>
      </c>
      <c r="F107">
        <f>DV!E59+DV!E62</f>
        <v>0</v>
      </c>
      <c r="G107">
        <f>DV!F59+DV!F62</f>
        <v>0</v>
      </c>
      <c r="H107">
        <f>DV!G59+DV!G62</f>
        <v>0</v>
      </c>
      <c r="I107">
        <f>DV!H59+DV!H62</f>
        <v>0</v>
      </c>
      <c r="J107">
        <f>DV!I59+DV!I62</f>
        <v>0</v>
      </c>
      <c r="K107">
        <f>DV!J59+DV!J62</f>
        <v>0</v>
      </c>
      <c r="L107">
        <f>DV!K59+DV!K62</f>
        <v>0</v>
      </c>
      <c r="M107">
        <f>DV!L59+DV!L62</f>
        <v>0</v>
      </c>
      <c r="N107">
        <f>DV!M59+DV!M62</f>
        <v>0</v>
      </c>
      <c r="O107">
        <f>DV!N59+DV!N62</f>
        <v>0</v>
      </c>
      <c r="P107">
        <f>DV!O59+DV!O62</f>
        <v>0</v>
      </c>
      <c r="Q107">
        <f>DV!P59+DV!P62</f>
        <v>0</v>
      </c>
      <c r="R107">
        <f>DV!Q59+DV!Q62</f>
        <v>0</v>
      </c>
      <c r="S107">
        <f>DV!R59+DV!R62</f>
        <v>0</v>
      </c>
      <c r="T107">
        <f>DV!S59+DV!S62</f>
        <v>0</v>
      </c>
      <c r="U107">
        <f>DV!T59+DV!T62</f>
        <v>0</v>
      </c>
      <c r="V107">
        <f>DV!U59+DV!U62</f>
        <v>0</v>
      </c>
      <c r="W107">
        <f>DV!V59+DV!V62</f>
        <v>0</v>
      </c>
      <c r="X107">
        <f>DV!W59+DV!W62</f>
        <v>0</v>
      </c>
      <c r="Y107">
        <f>DV!X59+DV!X62</f>
        <v>0</v>
      </c>
      <c r="Z107">
        <f>DV!Y59+DV!Y62</f>
        <v>0</v>
      </c>
      <c r="AA107">
        <f>DV!Z59+DV!Z62</f>
        <v>0</v>
      </c>
      <c r="AB107">
        <f>DV!AA59+DV!AA62</f>
        <v>0</v>
      </c>
      <c r="AC107">
        <f>DV!AB59+DV!AB62</f>
        <v>0</v>
      </c>
      <c r="AD107">
        <f>DV!AC59+DV!AC62</f>
        <v>0</v>
      </c>
      <c r="AE107">
        <f>DV!AD59+DV!AD62</f>
        <v>0</v>
      </c>
      <c r="AF107">
        <f>DV!AE59+DV!AE62</f>
        <v>0</v>
      </c>
      <c r="AG107">
        <f>DV!AF59+DV!AF62</f>
        <v>0</v>
      </c>
      <c r="AH107">
        <f>DV!AG59+DV!AG62</f>
        <v>0</v>
      </c>
      <c r="AI107">
        <f>DV!AH59+DV!AH62</f>
        <v>0</v>
      </c>
      <c r="AJ107">
        <f>DV!AI59+DV!AI62</f>
        <v>0</v>
      </c>
      <c r="AK107">
        <f>DV!AJ59+DV!AJ62</f>
        <v>0</v>
      </c>
      <c r="AL107">
        <f>DV!AK59+DV!AK62</f>
        <v>0</v>
      </c>
      <c r="AM107">
        <f>DV!AL59+DV!AL62</f>
        <v>0</v>
      </c>
      <c r="AN107">
        <f>DV!AM59+DV!AM62</f>
        <v>0</v>
      </c>
      <c r="AO107">
        <f>DV!AN59+DV!AN62</f>
        <v>0</v>
      </c>
      <c r="AP107">
        <f>DV!AO59+DV!AO62</f>
        <v>0</v>
      </c>
      <c r="AQ107">
        <f>DV!AP59+DV!AP62</f>
        <v>0</v>
      </c>
      <c r="AR107">
        <f>DV!AQ59+DV!AQ62</f>
        <v>0</v>
      </c>
      <c r="AS107">
        <f>DV!AR59+DV!AR62</f>
        <v>0</v>
      </c>
      <c r="AT107">
        <f>DV!AS59+DV!AS62</f>
        <v>0</v>
      </c>
      <c r="AU107">
        <f>DV!AT59+DV!AT62</f>
        <v>0</v>
      </c>
      <c r="AV107">
        <f>DV!AU59+DV!AU62</f>
        <v>0</v>
      </c>
      <c r="AW107">
        <f>DV!AV59+DV!AV62</f>
        <v>0</v>
      </c>
      <c r="AX107">
        <f>DV!AW59+DV!AW62</f>
        <v>0</v>
      </c>
      <c r="AY107">
        <f>DV!AX59+DV!AX62</f>
        <v>0</v>
      </c>
      <c r="AZ107">
        <f>DV!AY59+DV!AY62</f>
        <v>0</v>
      </c>
      <c r="BA107">
        <f>DV!AZ59+DV!AZ62</f>
        <v>0</v>
      </c>
      <c r="BB107">
        <f>DV!BA59+DV!BA62</f>
        <v>0</v>
      </c>
      <c r="BC107">
        <f>DV!BB59+DV!BB62</f>
        <v>0</v>
      </c>
      <c r="BD107">
        <f>DV!BC59+DV!BC62</f>
        <v>0</v>
      </c>
      <c r="BE107">
        <f>DV!BD59+DV!BD62</f>
        <v>0</v>
      </c>
      <c r="BF107">
        <f>DV!BE59+DV!BE62</f>
        <v>0</v>
      </c>
      <c r="BG107">
        <f>DV!BF59+DV!BF62</f>
        <v>0</v>
      </c>
      <c r="BH107">
        <f>DV!BG59+DV!BG62</f>
        <v>0</v>
      </c>
      <c r="BI107">
        <f>DV!BH59+DV!BH62</f>
        <v>0</v>
      </c>
      <c r="BJ107">
        <f>DV!BI59+DV!BI62</f>
        <v>0</v>
      </c>
      <c r="BK107">
        <f>DV!BJ59+DV!BJ62</f>
        <v>0</v>
      </c>
      <c r="BL107">
        <f>DV!BK59+DV!BK62</f>
        <v>0</v>
      </c>
    </row>
    <row r="108" spans="1:64">
      <c r="A108">
        <v>43</v>
      </c>
      <c r="B108" s="5" t="str">
        <f>TEXT(VLOOKUP(A108,СВ[],2),"чч:мм")&amp;"-"&amp;TEXT(VLOOKUP(A108,СВ[],3),"чч:мм")</f>
        <v>18:15-19:00</v>
      </c>
      <c r="C108" s="6">
        <v>44</v>
      </c>
      <c r="D108" s="5" t="str">
        <f>TEXT(VLOOKUP(C108,СВ[],2),"чч:мм")&amp;"-"&amp;TEXT(VLOOKUP(C108,СВ[],3),"чч:мм")</f>
        <v>18:30-19:15</v>
      </c>
      <c r="E108">
        <f>DV!D60+DV!D61</f>
        <v>0</v>
      </c>
      <c r="F108">
        <f>DV!E60+DV!E61</f>
        <v>0</v>
      </c>
      <c r="G108">
        <f>DV!F60+DV!F61</f>
        <v>0</v>
      </c>
      <c r="H108">
        <f>DV!G60+DV!G61</f>
        <v>0</v>
      </c>
      <c r="I108">
        <f>DV!H60+DV!H61</f>
        <v>0</v>
      </c>
      <c r="J108">
        <f>DV!I60+DV!I61</f>
        <v>0</v>
      </c>
      <c r="K108">
        <f>DV!J60+DV!J61</f>
        <v>0</v>
      </c>
      <c r="L108">
        <f>DV!K60+DV!K61</f>
        <v>0</v>
      </c>
      <c r="M108">
        <f>DV!L60+DV!L61</f>
        <v>0</v>
      </c>
      <c r="N108">
        <f>DV!M60+DV!M61</f>
        <v>0</v>
      </c>
      <c r="O108">
        <f>DV!N60+DV!N61</f>
        <v>0</v>
      </c>
      <c r="P108">
        <f>DV!O60+DV!O61</f>
        <v>0</v>
      </c>
      <c r="Q108">
        <f>DV!P60+DV!P61</f>
        <v>0</v>
      </c>
      <c r="R108">
        <f>DV!Q60+DV!Q61</f>
        <v>0</v>
      </c>
      <c r="S108">
        <f>DV!R60+DV!R61</f>
        <v>0</v>
      </c>
      <c r="T108">
        <f>DV!S60+DV!S61</f>
        <v>0</v>
      </c>
      <c r="U108">
        <f>DV!T60+DV!T61</f>
        <v>0</v>
      </c>
      <c r="V108">
        <f>DV!U60+DV!U61</f>
        <v>0</v>
      </c>
      <c r="W108">
        <f>DV!V60+DV!V61</f>
        <v>0</v>
      </c>
      <c r="X108">
        <f>DV!W60+DV!W61</f>
        <v>0</v>
      </c>
      <c r="Y108">
        <f>DV!X60+DV!X61</f>
        <v>0</v>
      </c>
      <c r="Z108">
        <f>DV!Y60+DV!Y61</f>
        <v>0</v>
      </c>
      <c r="AA108">
        <f>DV!Z60+DV!Z61</f>
        <v>0</v>
      </c>
      <c r="AB108">
        <f>DV!AA60+DV!AA61</f>
        <v>0</v>
      </c>
      <c r="AC108">
        <f>DV!AB60+DV!AB61</f>
        <v>0</v>
      </c>
      <c r="AD108">
        <f>DV!AC60+DV!AC61</f>
        <v>0</v>
      </c>
      <c r="AE108">
        <f>DV!AD60+DV!AD61</f>
        <v>0</v>
      </c>
      <c r="AF108">
        <f>DV!AE60+DV!AE61</f>
        <v>0</v>
      </c>
      <c r="AG108">
        <f>DV!AF60+DV!AF61</f>
        <v>0</v>
      </c>
      <c r="AH108">
        <f>DV!AG60+DV!AG61</f>
        <v>0</v>
      </c>
      <c r="AI108">
        <f>DV!AH60+DV!AH61</f>
        <v>0</v>
      </c>
      <c r="AJ108">
        <f>DV!AI60+DV!AI61</f>
        <v>0</v>
      </c>
      <c r="AK108">
        <f>DV!AJ60+DV!AJ61</f>
        <v>0</v>
      </c>
      <c r="AL108">
        <f>DV!AK60+DV!AK61</f>
        <v>0</v>
      </c>
      <c r="AM108">
        <f>DV!AL60+DV!AL61</f>
        <v>0</v>
      </c>
      <c r="AN108">
        <f>DV!AM60+DV!AM61</f>
        <v>0</v>
      </c>
      <c r="AO108">
        <f>DV!AN60+DV!AN61</f>
        <v>0</v>
      </c>
      <c r="AP108">
        <f>DV!AO60+DV!AO61</f>
        <v>0</v>
      </c>
      <c r="AQ108">
        <f>DV!AP60+DV!AP61</f>
        <v>0</v>
      </c>
      <c r="AR108">
        <f>DV!AQ60+DV!AQ61</f>
        <v>0</v>
      </c>
      <c r="AS108">
        <f>DV!AR60+DV!AR61</f>
        <v>0</v>
      </c>
      <c r="AT108">
        <f>DV!AS60+DV!AS61</f>
        <v>0</v>
      </c>
      <c r="AU108">
        <f>DV!AT60+DV!AT61</f>
        <v>0</v>
      </c>
      <c r="AV108">
        <f>DV!AU60+DV!AU61</f>
        <v>0</v>
      </c>
      <c r="AW108">
        <f>DV!AV60+DV!AV61</f>
        <v>0</v>
      </c>
      <c r="AX108">
        <f>DV!AW60+DV!AW61</f>
        <v>0</v>
      </c>
      <c r="AY108">
        <f>DV!AX60+DV!AX61</f>
        <v>0</v>
      </c>
      <c r="AZ108">
        <f>DV!AY60+DV!AY61</f>
        <v>0</v>
      </c>
      <c r="BA108">
        <f>DV!AZ60+DV!AZ61</f>
        <v>0</v>
      </c>
      <c r="BB108">
        <f>DV!BA60+DV!BA61</f>
        <v>0</v>
      </c>
      <c r="BC108">
        <f>DV!BB60+DV!BB61</f>
        <v>0</v>
      </c>
      <c r="BD108">
        <f>DV!BC60+DV!BC61</f>
        <v>0</v>
      </c>
      <c r="BE108">
        <f>DV!BD60+DV!BD61</f>
        <v>0</v>
      </c>
      <c r="BF108">
        <f>DV!BE60+DV!BE61</f>
        <v>0</v>
      </c>
      <c r="BG108">
        <f>DV!BF60+DV!BF61</f>
        <v>0</v>
      </c>
      <c r="BH108">
        <f>DV!BG60+DV!BG61</f>
        <v>0</v>
      </c>
      <c r="BI108">
        <f>DV!BH60+DV!BH61</f>
        <v>0</v>
      </c>
      <c r="BJ108">
        <f>DV!BI60+DV!BI61</f>
        <v>0</v>
      </c>
      <c r="BK108">
        <f>DV!BJ60+DV!BJ61</f>
        <v>0</v>
      </c>
      <c r="BL108">
        <f>DV!BK60+DV!BK61</f>
        <v>0</v>
      </c>
    </row>
    <row r="109" spans="1:64">
      <c r="A109">
        <v>43</v>
      </c>
      <c r="B109" s="5" t="str">
        <f>TEXT(VLOOKUP(A109,СВ[],2),"чч:мм")&amp;"-"&amp;TEXT(VLOOKUP(A109,СВ[],3),"чч:мм")</f>
        <v>18:15-19:00</v>
      </c>
      <c r="C109" s="6">
        <v>45</v>
      </c>
      <c r="D109" s="5" t="str">
        <f>TEXT(VLOOKUP(C109,СВ[],2),"чч:мм")&amp;"-"&amp;TEXT(VLOOKUP(C109,СВ[],3),"чч:мм")</f>
        <v>18:45-19:30</v>
      </c>
      <c r="E109">
        <f>DV!D60+DV!D62</f>
        <v>0</v>
      </c>
      <c r="F109">
        <f>DV!E60+DV!E62</f>
        <v>0</v>
      </c>
      <c r="G109">
        <f>DV!F60+DV!F62</f>
        <v>0</v>
      </c>
      <c r="H109">
        <f>DV!G60+DV!G62</f>
        <v>0</v>
      </c>
      <c r="I109">
        <f>DV!H60+DV!H62</f>
        <v>0</v>
      </c>
      <c r="J109">
        <f>DV!I60+DV!I62</f>
        <v>0</v>
      </c>
      <c r="K109">
        <f>DV!J60+DV!J62</f>
        <v>0</v>
      </c>
      <c r="L109">
        <f>DV!K60+DV!K62</f>
        <v>0</v>
      </c>
      <c r="M109">
        <f>DV!L60+DV!L62</f>
        <v>0</v>
      </c>
      <c r="N109">
        <f>DV!M60+DV!M62</f>
        <v>0</v>
      </c>
      <c r="O109">
        <f>DV!N60+DV!N62</f>
        <v>0</v>
      </c>
      <c r="P109">
        <f>DV!O60+DV!O62</f>
        <v>0</v>
      </c>
      <c r="Q109">
        <f>DV!P60+DV!P62</f>
        <v>0</v>
      </c>
      <c r="R109">
        <f>DV!Q60+DV!Q62</f>
        <v>0</v>
      </c>
      <c r="S109">
        <f>DV!R60+DV!R62</f>
        <v>0</v>
      </c>
      <c r="T109">
        <f>DV!S60+DV!S62</f>
        <v>0</v>
      </c>
      <c r="U109">
        <f>DV!T60+DV!T62</f>
        <v>0</v>
      </c>
      <c r="V109">
        <f>DV!U60+DV!U62</f>
        <v>0</v>
      </c>
      <c r="W109">
        <f>DV!V60+DV!V62</f>
        <v>0</v>
      </c>
      <c r="X109">
        <f>DV!W60+DV!W62</f>
        <v>0</v>
      </c>
      <c r="Y109">
        <f>DV!X60+DV!X62</f>
        <v>0</v>
      </c>
      <c r="Z109">
        <f>DV!Y60+DV!Y62</f>
        <v>0</v>
      </c>
      <c r="AA109">
        <f>DV!Z60+DV!Z62</f>
        <v>0</v>
      </c>
      <c r="AB109">
        <f>DV!AA60+DV!AA62</f>
        <v>0</v>
      </c>
      <c r="AC109">
        <f>DV!AB60+DV!AB62</f>
        <v>0</v>
      </c>
      <c r="AD109">
        <f>DV!AC60+DV!AC62</f>
        <v>0</v>
      </c>
      <c r="AE109">
        <f>DV!AD60+DV!AD62</f>
        <v>0</v>
      </c>
      <c r="AF109">
        <f>DV!AE60+DV!AE62</f>
        <v>0</v>
      </c>
      <c r="AG109">
        <f>DV!AF60+DV!AF62</f>
        <v>0</v>
      </c>
      <c r="AH109">
        <f>DV!AG60+DV!AG62</f>
        <v>0</v>
      </c>
      <c r="AI109">
        <f>DV!AH60+DV!AH62</f>
        <v>0</v>
      </c>
      <c r="AJ109">
        <f>DV!AI60+DV!AI62</f>
        <v>0</v>
      </c>
      <c r="AK109">
        <f>DV!AJ60+DV!AJ62</f>
        <v>0</v>
      </c>
      <c r="AL109">
        <f>DV!AK60+DV!AK62</f>
        <v>0</v>
      </c>
      <c r="AM109">
        <f>DV!AL60+DV!AL62</f>
        <v>0</v>
      </c>
      <c r="AN109">
        <f>DV!AM60+DV!AM62</f>
        <v>0</v>
      </c>
      <c r="AO109">
        <f>DV!AN60+DV!AN62</f>
        <v>0</v>
      </c>
      <c r="AP109">
        <f>DV!AO60+DV!AO62</f>
        <v>0</v>
      </c>
      <c r="AQ109">
        <f>DV!AP60+DV!AP62</f>
        <v>0</v>
      </c>
      <c r="AR109">
        <f>DV!AQ60+DV!AQ62</f>
        <v>0</v>
      </c>
      <c r="AS109">
        <f>DV!AR60+DV!AR62</f>
        <v>0</v>
      </c>
      <c r="AT109">
        <f>DV!AS60+DV!AS62</f>
        <v>0</v>
      </c>
      <c r="AU109">
        <f>DV!AT60+DV!AT62</f>
        <v>0</v>
      </c>
      <c r="AV109">
        <f>DV!AU60+DV!AU62</f>
        <v>0</v>
      </c>
      <c r="AW109">
        <f>DV!AV60+DV!AV62</f>
        <v>0</v>
      </c>
      <c r="AX109">
        <f>DV!AW60+DV!AW62</f>
        <v>0</v>
      </c>
      <c r="AY109">
        <f>DV!AX60+DV!AX62</f>
        <v>0</v>
      </c>
      <c r="AZ109">
        <f>DV!AY60+DV!AY62</f>
        <v>0</v>
      </c>
      <c r="BA109">
        <f>DV!AZ60+DV!AZ62</f>
        <v>0</v>
      </c>
      <c r="BB109">
        <f>DV!BA60+DV!BA62</f>
        <v>0</v>
      </c>
      <c r="BC109">
        <f>DV!BB60+DV!BB62</f>
        <v>0</v>
      </c>
      <c r="BD109">
        <f>DV!BC60+DV!BC62</f>
        <v>0</v>
      </c>
      <c r="BE109">
        <f>DV!BD60+DV!BD62</f>
        <v>0</v>
      </c>
      <c r="BF109">
        <f>DV!BE60+DV!BE62</f>
        <v>0</v>
      </c>
      <c r="BG109">
        <f>DV!BF60+DV!BF62</f>
        <v>0</v>
      </c>
      <c r="BH109">
        <f>DV!BG60+DV!BG62</f>
        <v>0</v>
      </c>
      <c r="BI109">
        <f>DV!BH60+DV!BH62</f>
        <v>0</v>
      </c>
      <c r="BJ109">
        <f>DV!BI60+DV!BI62</f>
        <v>0</v>
      </c>
      <c r="BK109">
        <f>DV!BJ60+DV!BJ62</f>
        <v>0</v>
      </c>
      <c r="BL109">
        <f>DV!BK60+DV!BK62</f>
        <v>0</v>
      </c>
    </row>
    <row r="110" spans="1:64">
      <c r="A110">
        <v>44</v>
      </c>
      <c r="B110" s="5" t="str">
        <f>TEXT(VLOOKUP(A110,СВ[],2),"чч:мм")&amp;"-"&amp;TEXT(VLOOKUP(A110,СВ[],3),"чч:мм")</f>
        <v>18:30-19:15</v>
      </c>
      <c r="C110" s="6">
        <v>45</v>
      </c>
      <c r="D110" s="5" t="str">
        <f>TEXT(VLOOKUP(C110,СВ[],2),"чч:мм")&amp;"-"&amp;TEXT(VLOOKUP(C110,СВ[],3),"чч:мм")</f>
        <v>18:45-19:30</v>
      </c>
      <c r="E110">
        <f>DV!D61+DV!D62</f>
        <v>0</v>
      </c>
      <c r="F110">
        <f>DV!E61+DV!E62</f>
        <v>0</v>
      </c>
      <c r="G110">
        <f>DV!F61+DV!F62</f>
        <v>0</v>
      </c>
      <c r="H110">
        <f>DV!G61+DV!G62</f>
        <v>0</v>
      </c>
      <c r="I110">
        <f>DV!H61+DV!H62</f>
        <v>0</v>
      </c>
      <c r="J110">
        <f>DV!I61+DV!I62</f>
        <v>0</v>
      </c>
      <c r="K110">
        <f>DV!J61+DV!J62</f>
        <v>0</v>
      </c>
      <c r="L110">
        <f>DV!K61+DV!K62</f>
        <v>0</v>
      </c>
      <c r="M110">
        <f>DV!L61+DV!L62</f>
        <v>0</v>
      </c>
      <c r="N110">
        <f>DV!M61+DV!M62</f>
        <v>0</v>
      </c>
      <c r="O110">
        <f>DV!N61+DV!N62</f>
        <v>0</v>
      </c>
      <c r="P110">
        <f>DV!O61+DV!O62</f>
        <v>0</v>
      </c>
      <c r="Q110">
        <f>DV!P61+DV!P62</f>
        <v>0</v>
      </c>
      <c r="R110">
        <f>DV!Q61+DV!Q62</f>
        <v>0</v>
      </c>
      <c r="S110">
        <f>DV!R61+DV!R62</f>
        <v>0</v>
      </c>
      <c r="T110">
        <f>DV!S61+DV!S62</f>
        <v>0</v>
      </c>
      <c r="U110">
        <f>DV!T61+DV!T62</f>
        <v>0</v>
      </c>
      <c r="V110">
        <f>DV!U61+DV!U62</f>
        <v>0</v>
      </c>
      <c r="W110">
        <f>DV!V61+DV!V62</f>
        <v>0</v>
      </c>
      <c r="X110">
        <f>DV!W61+DV!W62</f>
        <v>0</v>
      </c>
      <c r="Y110">
        <f>DV!X61+DV!X62</f>
        <v>0</v>
      </c>
      <c r="Z110">
        <f>DV!Y61+DV!Y62</f>
        <v>0</v>
      </c>
      <c r="AA110">
        <f>DV!Z61+DV!Z62</f>
        <v>0</v>
      </c>
      <c r="AB110">
        <f>DV!AA61+DV!AA62</f>
        <v>0</v>
      </c>
      <c r="AC110">
        <f>DV!AB61+DV!AB62</f>
        <v>0</v>
      </c>
      <c r="AD110">
        <f>DV!AC61+DV!AC62</f>
        <v>0</v>
      </c>
      <c r="AE110">
        <f>DV!AD61+DV!AD62</f>
        <v>0</v>
      </c>
      <c r="AF110">
        <f>DV!AE61+DV!AE62</f>
        <v>0</v>
      </c>
      <c r="AG110">
        <f>DV!AF61+DV!AF62</f>
        <v>0</v>
      </c>
      <c r="AH110">
        <f>DV!AG61+DV!AG62</f>
        <v>0</v>
      </c>
      <c r="AI110">
        <f>DV!AH61+DV!AH62</f>
        <v>0</v>
      </c>
      <c r="AJ110">
        <f>DV!AI61+DV!AI62</f>
        <v>0</v>
      </c>
      <c r="AK110">
        <f>DV!AJ61+DV!AJ62</f>
        <v>0</v>
      </c>
      <c r="AL110">
        <f>DV!AK61+DV!AK62</f>
        <v>0</v>
      </c>
      <c r="AM110">
        <f>DV!AL61+DV!AL62</f>
        <v>0</v>
      </c>
      <c r="AN110">
        <f>DV!AM61+DV!AM62</f>
        <v>0</v>
      </c>
      <c r="AO110">
        <f>DV!AN61+DV!AN62</f>
        <v>0</v>
      </c>
      <c r="AP110">
        <f>DV!AO61+DV!AO62</f>
        <v>0</v>
      </c>
      <c r="AQ110">
        <f>DV!AP61+DV!AP62</f>
        <v>0</v>
      </c>
      <c r="AR110">
        <f>DV!AQ61+DV!AQ62</f>
        <v>0</v>
      </c>
      <c r="AS110">
        <f>DV!AR61+DV!AR62</f>
        <v>0</v>
      </c>
      <c r="AT110">
        <f>DV!AS61+DV!AS62</f>
        <v>0</v>
      </c>
      <c r="AU110">
        <f>DV!AT61+DV!AT62</f>
        <v>0</v>
      </c>
      <c r="AV110">
        <f>DV!AU61+DV!AU62</f>
        <v>0</v>
      </c>
      <c r="AW110">
        <f>DV!AV61+DV!AV62</f>
        <v>0</v>
      </c>
      <c r="AX110">
        <f>DV!AW61+DV!AW62</f>
        <v>0</v>
      </c>
      <c r="AY110">
        <f>DV!AX61+DV!AX62</f>
        <v>0</v>
      </c>
      <c r="AZ110">
        <f>DV!AY61+DV!AY62</f>
        <v>0</v>
      </c>
      <c r="BA110">
        <f>DV!AZ61+DV!AZ62</f>
        <v>0</v>
      </c>
      <c r="BB110">
        <f>DV!BA61+DV!BA62</f>
        <v>0</v>
      </c>
      <c r="BC110">
        <f>DV!BB61+DV!BB62</f>
        <v>0</v>
      </c>
      <c r="BD110">
        <f>DV!BC61+DV!BC62</f>
        <v>0</v>
      </c>
      <c r="BE110">
        <f>DV!BD61+DV!BD62</f>
        <v>0</v>
      </c>
      <c r="BF110">
        <f>DV!BE61+DV!BE62</f>
        <v>0</v>
      </c>
      <c r="BG110">
        <f>DV!BF61+DV!BF62</f>
        <v>0</v>
      </c>
      <c r="BH110">
        <f>DV!BG61+DV!BG62</f>
        <v>0</v>
      </c>
      <c r="BI110">
        <f>DV!BH61+DV!BH62</f>
        <v>0</v>
      </c>
      <c r="BJ110">
        <f>DV!BI61+DV!BI62</f>
        <v>0</v>
      </c>
      <c r="BK110">
        <f>DV!BJ61+DV!BJ62</f>
        <v>0</v>
      </c>
      <c r="BL110">
        <f>DV!BK61+DV!BK62</f>
        <v>0</v>
      </c>
    </row>
    <row r="111" spans="1:64">
      <c r="A111">
        <v>44</v>
      </c>
      <c r="B111" s="5" t="str">
        <f>TEXT(VLOOKUP(A111,СВ[],2),"чч:мм")&amp;"-"&amp;TEXT(VLOOKUP(A111,СВ[],3),"чч:мм")</f>
        <v>18:30-19:15</v>
      </c>
      <c r="C111" s="6">
        <v>46</v>
      </c>
      <c r="D111" s="5" t="str">
        <f>TEXT(VLOOKUP(C111,СВ[],2),"чч:мм")&amp;"-"&amp;TEXT(VLOOKUP(C111,СВ[],3),"чч:мм")</f>
        <v>19:00-20:00</v>
      </c>
      <c r="E111">
        <f>DV!D61+DV!D63</f>
        <v>0</v>
      </c>
      <c r="F111">
        <f>DV!E61+DV!E63</f>
        <v>0</v>
      </c>
      <c r="G111">
        <f>DV!F61+DV!F63</f>
        <v>0</v>
      </c>
      <c r="H111">
        <f>DV!G61+DV!G63</f>
        <v>0</v>
      </c>
      <c r="I111">
        <f>DV!H61+DV!H63</f>
        <v>0</v>
      </c>
      <c r="J111">
        <f>DV!I61+DV!I63</f>
        <v>0</v>
      </c>
      <c r="K111">
        <f>DV!J61+DV!J63</f>
        <v>0</v>
      </c>
      <c r="L111">
        <f>DV!K61+DV!K63</f>
        <v>0</v>
      </c>
      <c r="M111">
        <f>DV!L61+DV!L63</f>
        <v>0</v>
      </c>
      <c r="N111">
        <f>DV!M61+DV!M63</f>
        <v>0</v>
      </c>
      <c r="O111">
        <f>DV!N61+DV!N63</f>
        <v>0</v>
      </c>
      <c r="P111">
        <f>DV!O61+DV!O63</f>
        <v>0</v>
      </c>
      <c r="Q111">
        <f>DV!P61+DV!P63</f>
        <v>0</v>
      </c>
      <c r="R111">
        <f>DV!Q61+DV!Q63</f>
        <v>0</v>
      </c>
      <c r="S111">
        <f>DV!R61+DV!R63</f>
        <v>0</v>
      </c>
      <c r="T111">
        <f>DV!S61+DV!S63</f>
        <v>0</v>
      </c>
      <c r="U111">
        <f>DV!T61+DV!T63</f>
        <v>0</v>
      </c>
      <c r="V111">
        <f>DV!U61+DV!U63</f>
        <v>0</v>
      </c>
      <c r="W111">
        <f>DV!V61+DV!V63</f>
        <v>0</v>
      </c>
      <c r="X111">
        <f>DV!W61+DV!W63</f>
        <v>0</v>
      </c>
      <c r="Y111">
        <f>DV!X61+DV!X63</f>
        <v>0</v>
      </c>
      <c r="Z111">
        <f>DV!Y61+DV!Y63</f>
        <v>0</v>
      </c>
      <c r="AA111">
        <f>DV!Z61+DV!Z63</f>
        <v>0</v>
      </c>
      <c r="AB111">
        <f>DV!AA61+DV!AA63</f>
        <v>0</v>
      </c>
      <c r="AC111">
        <f>DV!AB61+DV!AB63</f>
        <v>0</v>
      </c>
      <c r="AD111">
        <f>DV!AC61+DV!AC63</f>
        <v>0</v>
      </c>
      <c r="AE111">
        <f>DV!AD61+DV!AD63</f>
        <v>0</v>
      </c>
      <c r="AF111">
        <f>DV!AE61+DV!AE63</f>
        <v>0</v>
      </c>
      <c r="AG111">
        <f>DV!AF61+DV!AF63</f>
        <v>0</v>
      </c>
      <c r="AH111">
        <f>DV!AG61+DV!AG63</f>
        <v>0</v>
      </c>
      <c r="AI111">
        <f>DV!AH61+DV!AH63</f>
        <v>0</v>
      </c>
      <c r="AJ111">
        <f>DV!AI61+DV!AI63</f>
        <v>0</v>
      </c>
      <c r="AK111">
        <f>DV!AJ61+DV!AJ63</f>
        <v>0</v>
      </c>
      <c r="AL111">
        <f>DV!AK61+DV!AK63</f>
        <v>0</v>
      </c>
      <c r="AM111">
        <f>DV!AL61+DV!AL63</f>
        <v>0</v>
      </c>
      <c r="AN111">
        <f>DV!AM61+DV!AM63</f>
        <v>0</v>
      </c>
      <c r="AO111">
        <f>DV!AN61+DV!AN63</f>
        <v>0</v>
      </c>
      <c r="AP111">
        <f>DV!AO61+DV!AO63</f>
        <v>0</v>
      </c>
      <c r="AQ111">
        <f>DV!AP61+DV!AP63</f>
        <v>0</v>
      </c>
      <c r="AR111">
        <f>DV!AQ61+DV!AQ63</f>
        <v>0</v>
      </c>
      <c r="AS111">
        <f>DV!AR61+DV!AR63</f>
        <v>0</v>
      </c>
      <c r="AT111">
        <f>DV!AS61+DV!AS63</f>
        <v>0</v>
      </c>
      <c r="AU111">
        <f>DV!AT61+DV!AT63</f>
        <v>0</v>
      </c>
      <c r="AV111">
        <f>DV!AU61+DV!AU63</f>
        <v>0</v>
      </c>
      <c r="AW111">
        <f>DV!AV61+DV!AV63</f>
        <v>0</v>
      </c>
      <c r="AX111">
        <f>DV!AW61+DV!AW63</f>
        <v>0</v>
      </c>
      <c r="AY111">
        <f>DV!AX61+DV!AX63</f>
        <v>0</v>
      </c>
      <c r="AZ111">
        <f>DV!AY61+DV!AY63</f>
        <v>0</v>
      </c>
      <c r="BA111">
        <f>DV!AZ61+DV!AZ63</f>
        <v>0</v>
      </c>
      <c r="BB111">
        <f>DV!BA61+DV!BA63</f>
        <v>0</v>
      </c>
      <c r="BC111">
        <f>DV!BB61+DV!BB63</f>
        <v>0</v>
      </c>
      <c r="BD111">
        <f>DV!BC61+DV!BC63</f>
        <v>0</v>
      </c>
      <c r="BE111">
        <f>DV!BD61+DV!BD63</f>
        <v>0</v>
      </c>
      <c r="BF111">
        <f>DV!BE61+DV!BE63</f>
        <v>0</v>
      </c>
      <c r="BG111">
        <f>DV!BF61+DV!BF63</f>
        <v>0</v>
      </c>
      <c r="BH111">
        <f>DV!BG61+DV!BG63</f>
        <v>0</v>
      </c>
      <c r="BI111">
        <f>DV!BH61+DV!BH63</f>
        <v>0</v>
      </c>
      <c r="BJ111">
        <f>DV!BI61+DV!BI63</f>
        <v>0</v>
      </c>
      <c r="BK111">
        <f>DV!BJ61+DV!BJ63</f>
        <v>0</v>
      </c>
      <c r="BL111">
        <f>DV!BK61+DV!BK63</f>
        <v>0</v>
      </c>
    </row>
    <row r="112" spans="1:64">
      <c r="A112">
        <v>45</v>
      </c>
      <c r="B112" s="5" t="str">
        <f>TEXT(VLOOKUP(A112,СВ[],2),"чч:мм")&amp;"-"&amp;TEXT(VLOOKUP(A112,СВ[],3),"чч:мм")</f>
        <v>18:45-19:30</v>
      </c>
      <c r="C112" s="6">
        <v>46</v>
      </c>
      <c r="D112" s="5" t="str">
        <f>TEXT(VLOOKUP(C112,СВ[],2),"чч:мм")&amp;"-"&amp;TEXT(VLOOKUP(C112,СВ[],3),"чч:мм")</f>
        <v>19:00-20:00</v>
      </c>
      <c r="E112">
        <f>DV!D62+DV!D63</f>
        <v>0</v>
      </c>
      <c r="F112">
        <f>DV!E62+DV!E63</f>
        <v>0</v>
      </c>
      <c r="G112">
        <f>DV!F62+DV!F63</f>
        <v>0</v>
      </c>
      <c r="H112">
        <f>DV!G62+DV!G63</f>
        <v>0</v>
      </c>
      <c r="I112">
        <f>DV!H62+DV!H63</f>
        <v>0</v>
      </c>
      <c r="J112">
        <f>DV!I62+DV!I63</f>
        <v>0</v>
      </c>
      <c r="K112">
        <f>DV!J62+DV!J63</f>
        <v>0</v>
      </c>
      <c r="L112">
        <f>DV!K62+DV!K63</f>
        <v>0</v>
      </c>
      <c r="M112">
        <f>DV!L62+DV!L63</f>
        <v>0</v>
      </c>
      <c r="N112">
        <f>DV!M62+DV!M63</f>
        <v>0</v>
      </c>
      <c r="O112">
        <f>DV!N62+DV!N63</f>
        <v>0</v>
      </c>
      <c r="P112">
        <f>DV!O62+DV!O63</f>
        <v>0</v>
      </c>
      <c r="Q112">
        <f>DV!P62+DV!P63</f>
        <v>0</v>
      </c>
      <c r="R112">
        <f>DV!Q62+DV!Q63</f>
        <v>0</v>
      </c>
      <c r="S112">
        <f>DV!R62+DV!R63</f>
        <v>0</v>
      </c>
      <c r="T112">
        <f>DV!S62+DV!S63</f>
        <v>0</v>
      </c>
      <c r="U112">
        <f>DV!T62+DV!T63</f>
        <v>0</v>
      </c>
      <c r="V112">
        <f>DV!U62+DV!U63</f>
        <v>0</v>
      </c>
      <c r="W112">
        <f>DV!V62+DV!V63</f>
        <v>0</v>
      </c>
      <c r="X112">
        <f>DV!W62+DV!W63</f>
        <v>0</v>
      </c>
      <c r="Y112">
        <f>DV!X62+DV!X63</f>
        <v>0</v>
      </c>
      <c r="Z112">
        <f>DV!Y62+DV!Y63</f>
        <v>0</v>
      </c>
      <c r="AA112">
        <f>DV!Z62+DV!Z63</f>
        <v>0</v>
      </c>
      <c r="AB112">
        <f>DV!AA62+DV!AA63</f>
        <v>0</v>
      </c>
      <c r="AC112">
        <f>DV!AB62+DV!AB63</f>
        <v>0</v>
      </c>
      <c r="AD112">
        <f>DV!AC62+DV!AC63</f>
        <v>0</v>
      </c>
      <c r="AE112">
        <f>DV!AD62+DV!AD63</f>
        <v>0</v>
      </c>
      <c r="AF112">
        <f>DV!AE62+DV!AE63</f>
        <v>0</v>
      </c>
      <c r="AG112">
        <f>DV!AF62+DV!AF63</f>
        <v>0</v>
      </c>
      <c r="AH112">
        <f>DV!AG62+DV!AG63</f>
        <v>0</v>
      </c>
      <c r="AI112">
        <f>DV!AH62+DV!AH63</f>
        <v>0</v>
      </c>
      <c r="AJ112">
        <f>DV!AI62+DV!AI63</f>
        <v>0</v>
      </c>
      <c r="AK112">
        <f>DV!AJ62+DV!AJ63</f>
        <v>0</v>
      </c>
      <c r="AL112">
        <f>DV!AK62+DV!AK63</f>
        <v>0</v>
      </c>
      <c r="AM112">
        <f>DV!AL62+DV!AL63</f>
        <v>0</v>
      </c>
      <c r="AN112">
        <f>DV!AM62+DV!AM63</f>
        <v>0</v>
      </c>
      <c r="AO112">
        <f>DV!AN62+DV!AN63</f>
        <v>0</v>
      </c>
      <c r="AP112">
        <f>DV!AO62+DV!AO63</f>
        <v>0</v>
      </c>
      <c r="AQ112">
        <f>DV!AP62+DV!AP63</f>
        <v>0</v>
      </c>
      <c r="AR112">
        <f>DV!AQ62+DV!AQ63</f>
        <v>0</v>
      </c>
      <c r="AS112">
        <f>DV!AR62+DV!AR63</f>
        <v>0</v>
      </c>
      <c r="AT112">
        <f>DV!AS62+DV!AS63</f>
        <v>0</v>
      </c>
      <c r="AU112">
        <f>DV!AT62+DV!AT63</f>
        <v>0</v>
      </c>
      <c r="AV112">
        <f>DV!AU62+DV!AU63</f>
        <v>0</v>
      </c>
      <c r="AW112">
        <f>DV!AV62+DV!AV63</f>
        <v>0</v>
      </c>
      <c r="AX112">
        <f>DV!AW62+DV!AW63</f>
        <v>0</v>
      </c>
      <c r="AY112">
        <f>DV!AX62+DV!AX63</f>
        <v>0</v>
      </c>
      <c r="AZ112">
        <f>DV!AY62+DV!AY63</f>
        <v>0</v>
      </c>
      <c r="BA112">
        <f>DV!AZ62+DV!AZ63</f>
        <v>0</v>
      </c>
      <c r="BB112">
        <f>DV!BA62+DV!BA63</f>
        <v>0</v>
      </c>
      <c r="BC112">
        <f>DV!BB62+DV!BB63</f>
        <v>0</v>
      </c>
      <c r="BD112">
        <f>DV!BC62+DV!BC63</f>
        <v>0</v>
      </c>
      <c r="BE112">
        <f>DV!BD62+DV!BD63</f>
        <v>0</v>
      </c>
      <c r="BF112">
        <f>DV!BE62+DV!BE63</f>
        <v>0</v>
      </c>
      <c r="BG112">
        <f>DV!BF62+DV!BF63</f>
        <v>0</v>
      </c>
      <c r="BH112">
        <f>DV!BG62+DV!BG63</f>
        <v>0</v>
      </c>
      <c r="BI112">
        <f>DV!BH62+DV!BH63</f>
        <v>0</v>
      </c>
      <c r="BJ112">
        <f>DV!BI62+DV!BI63</f>
        <v>0</v>
      </c>
      <c r="BK112">
        <f>DV!BJ62+DV!BJ63</f>
        <v>0</v>
      </c>
      <c r="BL112">
        <f>DV!BK62+DV!BK63</f>
        <v>0</v>
      </c>
    </row>
    <row r="113" spans="1:64">
      <c r="A113">
        <v>45</v>
      </c>
      <c r="B113" s="5" t="str">
        <f>TEXT(VLOOKUP(A113,СВ[],2),"чч:мм")&amp;"-"&amp;TEXT(VLOOKUP(A113,СВ[],3),"чч:мм")</f>
        <v>18:45-19:30</v>
      </c>
      <c r="C113" s="6">
        <v>47</v>
      </c>
      <c r="D113" s="5" t="str">
        <f>TEXT(VLOOKUP(C113,СВ[],2),"чч:мм")&amp;"-"&amp;TEXT(VLOOKUP(C113,СВ[],3),"чч:мм")</f>
        <v>19:15-20:00</v>
      </c>
      <c r="E113">
        <f>DV!D62+DV!D64</f>
        <v>0</v>
      </c>
      <c r="F113">
        <f>DV!E62+DV!E64</f>
        <v>0</v>
      </c>
      <c r="G113">
        <f>DV!F62+DV!F64</f>
        <v>0</v>
      </c>
      <c r="H113">
        <f>DV!G62+DV!G64</f>
        <v>0</v>
      </c>
      <c r="I113">
        <f>DV!H62+DV!H64</f>
        <v>0</v>
      </c>
      <c r="J113">
        <f>DV!I62+DV!I64</f>
        <v>0</v>
      </c>
      <c r="K113">
        <f>DV!J62+DV!J64</f>
        <v>0</v>
      </c>
      <c r="L113">
        <f>DV!K62+DV!K64</f>
        <v>0</v>
      </c>
      <c r="M113">
        <f>DV!L62+DV!L64</f>
        <v>0</v>
      </c>
      <c r="N113">
        <f>DV!M62+DV!M64</f>
        <v>0</v>
      </c>
      <c r="O113">
        <f>DV!N62+DV!N64</f>
        <v>0</v>
      </c>
      <c r="P113">
        <f>DV!O62+DV!O64</f>
        <v>0</v>
      </c>
      <c r="Q113">
        <f>DV!P62+DV!P64</f>
        <v>0</v>
      </c>
      <c r="R113">
        <f>DV!Q62+DV!Q64</f>
        <v>0</v>
      </c>
      <c r="S113">
        <f>DV!R62+DV!R64</f>
        <v>0</v>
      </c>
      <c r="T113">
        <f>DV!S62+DV!S64</f>
        <v>0</v>
      </c>
      <c r="U113">
        <f>DV!T62+DV!T64</f>
        <v>0</v>
      </c>
      <c r="V113">
        <f>DV!U62+DV!U64</f>
        <v>0</v>
      </c>
      <c r="W113">
        <f>DV!V62+DV!V64</f>
        <v>0</v>
      </c>
      <c r="X113">
        <f>DV!W62+DV!W64</f>
        <v>0</v>
      </c>
      <c r="Y113">
        <f>DV!X62+DV!X64</f>
        <v>0</v>
      </c>
      <c r="Z113">
        <f>DV!Y62+DV!Y64</f>
        <v>0</v>
      </c>
      <c r="AA113">
        <f>DV!Z62+DV!Z64</f>
        <v>0</v>
      </c>
      <c r="AB113">
        <f>DV!AA62+DV!AA64</f>
        <v>0</v>
      </c>
      <c r="AC113">
        <f>DV!AB62+DV!AB64</f>
        <v>0</v>
      </c>
      <c r="AD113">
        <f>DV!AC62+DV!AC64</f>
        <v>0</v>
      </c>
      <c r="AE113">
        <f>DV!AD62+DV!AD64</f>
        <v>0</v>
      </c>
      <c r="AF113">
        <f>DV!AE62+DV!AE64</f>
        <v>0</v>
      </c>
      <c r="AG113">
        <f>DV!AF62+DV!AF64</f>
        <v>0</v>
      </c>
      <c r="AH113">
        <f>DV!AG62+DV!AG64</f>
        <v>0</v>
      </c>
      <c r="AI113">
        <f>DV!AH62+DV!AH64</f>
        <v>0</v>
      </c>
      <c r="AJ113">
        <f>DV!AI62+DV!AI64</f>
        <v>0</v>
      </c>
      <c r="AK113">
        <f>DV!AJ62+DV!AJ64</f>
        <v>0</v>
      </c>
      <c r="AL113">
        <f>DV!AK62+DV!AK64</f>
        <v>0</v>
      </c>
      <c r="AM113">
        <f>DV!AL62+DV!AL64</f>
        <v>0</v>
      </c>
      <c r="AN113">
        <f>DV!AM62+DV!AM64</f>
        <v>0</v>
      </c>
      <c r="AO113">
        <f>DV!AN62+DV!AN64</f>
        <v>0</v>
      </c>
      <c r="AP113">
        <f>DV!AO62+DV!AO64</f>
        <v>0</v>
      </c>
      <c r="AQ113">
        <f>DV!AP62+DV!AP64</f>
        <v>0</v>
      </c>
      <c r="AR113">
        <f>DV!AQ62+DV!AQ64</f>
        <v>0</v>
      </c>
      <c r="AS113">
        <f>DV!AR62+DV!AR64</f>
        <v>0</v>
      </c>
      <c r="AT113">
        <f>DV!AS62+DV!AS64</f>
        <v>0</v>
      </c>
      <c r="AU113">
        <f>DV!AT62+DV!AT64</f>
        <v>0</v>
      </c>
      <c r="AV113">
        <f>DV!AU62+DV!AU64</f>
        <v>0</v>
      </c>
      <c r="AW113">
        <f>DV!AV62+DV!AV64</f>
        <v>0</v>
      </c>
      <c r="AX113">
        <f>DV!AW62+DV!AW64</f>
        <v>0</v>
      </c>
      <c r="AY113">
        <f>DV!AX62+DV!AX64</f>
        <v>0</v>
      </c>
      <c r="AZ113">
        <f>DV!AY62+DV!AY64</f>
        <v>0</v>
      </c>
      <c r="BA113">
        <f>DV!AZ62+DV!AZ64</f>
        <v>0</v>
      </c>
      <c r="BB113">
        <f>DV!BA62+DV!BA64</f>
        <v>0</v>
      </c>
      <c r="BC113">
        <f>DV!BB62+DV!BB64</f>
        <v>0</v>
      </c>
      <c r="BD113">
        <f>DV!BC62+DV!BC64</f>
        <v>0</v>
      </c>
      <c r="BE113">
        <f>DV!BD62+DV!BD64</f>
        <v>0</v>
      </c>
      <c r="BF113">
        <f>DV!BE62+DV!BE64</f>
        <v>0</v>
      </c>
      <c r="BG113">
        <f>DV!BF62+DV!BF64</f>
        <v>0</v>
      </c>
      <c r="BH113">
        <f>DV!BG62+DV!BG64</f>
        <v>0</v>
      </c>
      <c r="BI113">
        <f>DV!BH62+DV!BH64</f>
        <v>0</v>
      </c>
      <c r="BJ113">
        <f>DV!BI62+DV!BI64</f>
        <v>0</v>
      </c>
      <c r="BK113">
        <f>DV!BJ62+DV!BJ64</f>
        <v>0</v>
      </c>
      <c r="BL113">
        <f>DV!BK62+DV!BK64</f>
        <v>0</v>
      </c>
    </row>
    <row r="114" spans="1:64">
      <c r="A114">
        <v>46</v>
      </c>
      <c r="B114" s="5" t="str">
        <f>TEXT(VLOOKUP(A114,СВ[],2),"чч:мм")&amp;"-"&amp;TEXT(VLOOKUP(A114,СВ[],3),"чч:мм")</f>
        <v>19:00-20:00</v>
      </c>
      <c r="C114" s="6">
        <v>47</v>
      </c>
      <c r="D114" s="5" t="str">
        <f>TEXT(VLOOKUP(C114,СВ[],2),"чч:мм")&amp;"-"&amp;TEXT(VLOOKUP(C114,СВ[],3),"чч:мм")</f>
        <v>19:15-20:00</v>
      </c>
      <c r="E114">
        <f>DV!D63+DV!D64</f>
        <v>0</v>
      </c>
      <c r="F114">
        <f>DV!E63+DV!E64</f>
        <v>0</v>
      </c>
      <c r="G114">
        <f>DV!F63+DV!F64</f>
        <v>0</v>
      </c>
      <c r="H114">
        <f>DV!G63+DV!G64</f>
        <v>0</v>
      </c>
      <c r="I114">
        <f>DV!H63+DV!H64</f>
        <v>0</v>
      </c>
      <c r="J114">
        <f>DV!I63+DV!I64</f>
        <v>0</v>
      </c>
      <c r="K114">
        <f>DV!J63+DV!J64</f>
        <v>0</v>
      </c>
      <c r="L114">
        <f>DV!K63+DV!K64</f>
        <v>0</v>
      </c>
      <c r="M114">
        <f>DV!L63+DV!L64</f>
        <v>0</v>
      </c>
      <c r="N114">
        <f>DV!M63+DV!M64</f>
        <v>0</v>
      </c>
      <c r="O114">
        <f>DV!N63+DV!N64</f>
        <v>0</v>
      </c>
      <c r="P114">
        <f>DV!O63+DV!O64</f>
        <v>0</v>
      </c>
      <c r="Q114">
        <f>DV!P63+DV!P64</f>
        <v>0</v>
      </c>
      <c r="R114">
        <f>DV!Q63+DV!Q64</f>
        <v>0</v>
      </c>
      <c r="S114">
        <f>DV!R63+DV!R64</f>
        <v>0</v>
      </c>
      <c r="T114">
        <f>DV!S63+DV!S64</f>
        <v>0</v>
      </c>
      <c r="U114">
        <f>DV!T63+DV!T64</f>
        <v>0</v>
      </c>
      <c r="V114">
        <f>DV!U63+DV!U64</f>
        <v>0</v>
      </c>
      <c r="W114">
        <f>DV!V63+DV!V64</f>
        <v>0</v>
      </c>
      <c r="X114">
        <f>DV!W63+DV!W64</f>
        <v>0</v>
      </c>
      <c r="Y114">
        <f>DV!X63+DV!X64</f>
        <v>0</v>
      </c>
      <c r="Z114">
        <f>DV!Y63+DV!Y64</f>
        <v>0</v>
      </c>
      <c r="AA114">
        <f>DV!Z63+DV!Z64</f>
        <v>0</v>
      </c>
      <c r="AB114">
        <f>DV!AA63+DV!AA64</f>
        <v>0</v>
      </c>
      <c r="AC114">
        <f>DV!AB63+DV!AB64</f>
        <v>0</v>
      </c>
      <c r="AD114">
        <f>DV!AC63+DV!AC64</f>
        <v>0</v>
      </c>
      <c r="AE114">
        <f>DV!AD63+DV!AD64</f>
        <v>0</v>
      </c>
      <c r="AF114">
        <f>DV!AE63+DV!AE64</f>
        <v>0</v>
      </c>
      <c r="AG114">
        <f>DV!AF63+DV!AF64</f>
        <v>0</v>
      </c>
      <c r="AH114">
        <f>DV!AG63+DV!AG64</f>
        <v>0</v>
      </c>
      <c r="AI114">
        <f>DV!AH63+DV!AH64</f>
        <v>0</v>
      </c>
      <c r="AJ114">
        <f>DV!AI63+DV!AI64</f>
        <v>0</v>
      </c>
      <c r="AK114">
        <f>DV!AJ63+DV!AJ64</f>
        <v>0</v>
      </c>
      <c r="AL114">
        <f>DV!AK63+DV!AK64</f>
        <v>0</v>
      </c>
      <c r="AM114">
        <f>DV!AL63+DV!AL64</f>
        <v>0</v>
      </c>
      <c r="AN114">
        <f>DV!AM63+DV!AM64</f>
        <v>0</v>
      </c>
      <c r="AO114">
        <f>DV!AN63+DV!AN64</f>
        <v>0</v>
      </c>
      <c r="AP114">
        <f>DV!AO63+DV!AO64</f>
        <v>0</v>
      </c>
      <c r="AQ114">
        <f>DV!AP63+DV!AP64</f>
        <v>0</v>
      </c>
      <c r="AR114">
        <f>DV!AQ63+DV!AQ64</f>
        <v>0</v>
      </c>
      <c r="AS114">
        <f>DV!AR63+DV!AR64</f>
        <v>0</v>
      </c>
      <c r="AT114">
        <f>DV!AS63+DV!AS64</f>
        <v>0</v>
      </c>
      <c r="AU114">
        <f>DV!AT63+DV!AT64</f>
        <v>0</v>
      </c>
      <c r="AV114">
        <f>DV!AU63+DV!AU64</f>
        <v>0</v>
      </c>
      <c r="AW114">
        <f>DV!AV63+DV!AV64</f>
        <v>0</v>
      </c>
      <c r="AX114">
        <f>DV!AW63+DV!AW64</f>
        <v>0</v>
      </c>
      <c r="AY114">
        <f>DV!AX63+DV!AX64</f>
        <v>0</v>
      </c>
      <c r="AZ114">
        <f>DV!AY63+DV!AY64</f>
        <v>0</v>
      </c>
      <c r="BA114">
        <f>DV!AZ63+DV!AZ64</f>
        <v>0</v>
      </c>
      <c r="BB114">
        <f>DV!BA63+DV!BA64</f>
        <v>0</v>
      </c>
      <c r="BC114">
        <f>DV!BB63+DV!BB64</f>
        <v>0</v>
      </c>
      <c r="BD114">
        <f>DV!BC63+DV!BC64</f>
        <v>0</v>
      </c>
      <c r="BE114">
        <f>DV!BD63+DV!BD64</f>
        <v>0</v>
      </c>
      <c r="BF114">
        <f>DV!BE63+DV!BE64</f>
        <v>0</v>
      </c>
      <c r="BG114">
        <f>DV!BF63+DV!BF64</f>
        <v>0</v>
      </c>
      <c r="BH114">
        <f>DV!BG63+DV!BG64</f>
        <v>0</v>
      </c>
      <c r="BI114">
        <f>DV!BH63+DV!BH64</f>
        <v>0</v>
      </c>
      <c r="BJ114">
        <f>DV!BI63+DV!BI64</f>
        <v>0</v>
      </c>
      <c r="BK114">
        <f>DV!BJ63+DV!BJ64</f>
        <v>0</v>
      </c>
      <c r="BL114">
        <f>DV!BK63+DV!BK64</f>
        <v>0</v>
      </c>
    </row>
    <row r="115" spans="1:64">
      <c r="A115">
        <v>46</v>
      </c>
      <c r="B115" s="5" t="str">
        <f>TEXT(VLOOKUP(A115,СВ[],2),"чч:мм")&amp;"-"&amp;TEXT(VLOOKUP(A115,СВ[],3),"чч:мм")</f>
        <v>19:00-20:00</v>
      </c>
      <c r="C115" s="6">
        <v>48</v>
      </c>
      <c r="D115" s="5" t="str">
        <f>TEXT(VLOOKUP(C115,СВ[],2),"чч:мм")&amp;"-"&amp;TEXT(VLOOKUP(C115,СВ[],3),"чч:мм")</f>
        <v>19:30-20:15</v>
      </c>
      <c r="E115">
        <f>DV!D63+DV!D65</f>
        <v>0</v>
      </c>
      <c r="F115">
        <f>DV!E63+DV!E65</f>
        <v>0</v>
      </c>
      <c r="G115">
        <f>DV!F63+DV!F65</f>
        <v>0</v>
      </c>
      <c r="H115">
        <f>DV!G63+DV!G65</f>
        <v>0</v>
      </c>
      <c r="I115">
        <f>DV!H63+DV!H65</f>
        <v>0</v>
      </c>
      <c r="J115">
        <f>DV!I63+DV!I65</f>
        <v>0</v>
      </c>
      <c r="K115">
        <f>DV!J63+DV!J65</f>
        <v>0</v>
      </c>
      <c r="L115">
        <f>DV!K63+DV!K65</f>
        <v>0</v>
      </c>
      <c r="M115">
        <f>DV!L63+DV!L65</f>
        <v>0</v>
      </c>
      <c r="N115">
        <f>DV!M63+DV!M65</f>
        <v>0</v>
      </c>
      <c r="O115">
        <f>DV!N63+DV!N65</f>
        <v>0</v>
      </c>
      <c r="P115">
        <f>DV!O63+DV!O65</f>
        <v>0</v>
      </c>
      <c r="Q115">
        <f>DV!P63+DV!P65</f>
        <v>0</v>
      </c>
      <c r="R115">
        <f>DV!Q63+DV!Q65</f>
        <v>0</v>
      </c>
      <c r="S115">
        <f>DV!R63+DV!R65</f>
        <v>0</v>
      </c>
      <c r="T115">
        <f>DV!S63+DV!S65</f>
        <v>0</v>
      </c>
      <c r="U115">
        <f>DV!T63+DV!T65</f>
        <v>0</v>
      </c>
      <c r="V115">
        <f>DV!U63+DV!U65</f>
        <v>0</v>
      </c>
      <c r="W115">
        <f>DV!V63+DV!V65</f>
        <v>0</v>
      </c>
      <c r="X115">
        <f>DV!W63+DV!W65</f>
        <v>0</v>
      </c>
      <c r="Y115">
        <f>DV!X63+DV!X65</f>
        <v>0</v>
      </c>
      <c r="Z115">
        <f>DV!Y63+DV!Y65</f>
        <v>0</v>
      </c>
      <c r="AA115">
        <f>DV!Z63+DV!Z65</f>
        <v>0</v>
      </c>
      <c r="AB115">
        <f>DV!AA63+DV!AA65</f>
        <v>0</v>
      </c>
      <c r="AC115">
        <f>DV!AB63+DV!AB65</f>
        <v>0</v>
      </c>
      <c r="AD115">
        <f>DV!AC63+DV!AC65</f>
        <v>0</v>
      </c>
      <c r="AE115">
        <f>DV!AD63+DV!AD65</f>
        <v>0</v>
      </c>
      <c r="AF115">
        <f>DV!AE63+DV!AE65</f>
        <v>0</v>
      </c>
      <c r="AG115">
        <f>DV!AF63+DV!AF65</f>
        <v>0</v>
      </c>
      <c r="AH115">
        <f>DV!AG63+DV!AG65</f>
        <v>0</v>
      </c>
      <c r="AI115">
        <f>DV!AH63+DV!AH65</f>
        <v>0</v>
      </c>
      <c r="AJ115">
        <f>DV!AI63+DV!AI65</f>
        <v>0</v>
      </c>
      <c r="AK115">
        <f>DV!AJ63+DV!AJ65</f>
        <v>0</v>
      </c>
      <c r="AL115">
        <f>DV!AK63+DV!AK65</f>
        <v>0</v>
      </c>
      <c r="AM115">
        <f>DV!AL63+DV!AL65</f>
        <v>0</v>
      </c>
      <c r="AN115">
        <f>DV!AM63+DV!AM65</f>
        <v>0</v>
      </c>
      <c r="AO115">
        <f>DV!AN63+DV!AN65</f>
        <v>0</v>
      </c>
      <c r="AP115">
        <f>DV!AO63+DV!AO65</f>
        <v>0</v>
      </c>
      <c r="AQ115">
        <f>DV!AP63+DV!AP65</f>
        <v>0</v>
      </c>
      <c r="AR115">
        <f>DV!AQ63+DV!AQ65</f>
        <v>0</v>
      </c>
      <c r="AS115">
        <f>DV!AR63+DV!AR65</f>
        <v>0</v>
      </c>
      <c r="AT115">
        <f>DV!AS63+DV!AS65</f>
        <v>0</v>
      </c>
      <c r="AU115">
        <f>DV!AT63+DV!AT65</f>
        <v>0</v>
      </c>
      <c r="AV115">
        <f>DV!AU63+DV!AU65</f>
        <v>0</v>
      </c>
      <c r="AW115">
        <f>DV!AV63+DV!AV65</f>
        <v>0</v>
      </c>
      <c r="AX115">
        <f>DV!AW63+DV!AW65</f>
        <v>0</v>
      </c>
      <c r="AY115">
        <f>DV!AX63+DV!AX65</f>
        <v>0</v>
      </c>
      <c r="AZ115">
        <f>DV!AY63+DV!AY65</f>
        <v>0</v>
      </c>
      <c r="BA115">
        <f>DV!AZ63+DV!AZ65</f>
        <v>0</v>
      </c>
      <c r="BB115">
        <f>DV!BA63+DV!BA65</f>
        <v>0</v>
      </c>
      <c r="BC115">
        <f>DV!BB63+DV!BB65</f>
        <v>0</v>
      </c>
      <c r="BD115">
        <f>DV!BC63+DV!BC65</f>
        <v>0</v>
      </c>
      <c r="BE115">
        <f>DV!BD63+DV!BD65</f>
        <v>0</v>
      </c>
      <c r="BF115">
        <f>DV!BE63+DV!BE65</f>
        <v>0</v>
      </c>
      <c r="BG115">
        <f>DV!BF63+DV!BF65</f>
        <v>0</v>
      </c>
      <c r="BH115">
        <f>DV!BG63+DV!BG65</f>
        <v>0</v>
      </c>
      <c r="BI115">
        <f>DV!BH63+DV!BH65</f>
        <v>0</v>
      </c>
      <c r="BJ115">
        <f>DV!BI63+DV!BI65</f>
        <v>0</v>
      </c>
      <c r="BK115">
        <f>DV!BJ63+DV!BJ65</f>
        <v>0</v>
      </c>
      <c r="BL115">
        <f>DV!BK63+DV!BK65</f>
        <v>0</v>
      </c>
    </row>
    <row r="116" spans="1:64">
      <c r="A116">
        <v>46</v>
      </c>
      <c r="B116" s="5" t="str">
        <f>TEXT(VLOOKUP(A116,СВ[],2),"чч:мм")&amp;"-"&amp;TEXT(VLOOKUP(A116,СВ[],3),"чч:мм")</f>
        <v>19:00-20:00</v>
      </c>
      <c r="C116" s="6">
        <v>49</v>
      </c>
      <c r="D116" s="5" t="str">
        <f>TEXT(VLOOKUP(C116,СВ[],2),"чч:мм")&amp;"-"&amp;TEXT(VLOOKUP(C116,СВ[],3),"чч:мм")</f>
        <v>19:45-20:30</v>
      </c>
      <c r="E116">
        <f>DV!D63+DV!D66</f>
        <v>0</v>
      </c>
      <c r="F116">
        <f>DV!E63+DV!E66</f>
        <v>0</v>
      </c>
      <c r="G116">
        <f>DV!F63+DV!F66</f>
        <v>0</v>
      </c>
      <c r="H116">
        <f>DV!G63+DV!G66</f>
        <v>0</v>
      </c>
      <c r="I116">
        <f>DV!H63+DV!H66</f>
        <v>0</v>
      </c>
      <c r="J116">
        <f>DV!I63+DV!I66</f>
        <v>0</v>
      </c>
      <c r="K116">
        <f>DV!J63+DV!J66</f>
        <v>0</v>
      </c>
      <c r="L116">
        <f>DV!K63+DV!K66</f>
        <v>0</v>
      </c>
      <c r="M116">
        <f>DV!L63+DV!L66</f>
        <v>0</v>
      </c>
      <c r="N116">
        <f>DV!M63+DV!M66</f>
        <v>0</v>
      </c>
      <c r="O116">
        <f>DV!N63+DV!N66</f>
        <v>0</v>
      </c>
      <c r="P116">
        <f>DV!O63+DV!O66</f>
        <v>0</v>
      </c>
      <c r="Q116">
        <f>DV!P63+DV!P66</f>
        <v>0</v>
      </c>
      <c r="R116">
        <f>DV!Q63+DV!Q66</f>
        <v>0</v>
      </c>
      <c r="S116">
        <f>DV!R63+DV!R66</f>
        <v>0</v>
      </c>
      <c r="T116">
        <f>DV!S63+DV!S66</f>
        <v>0</v>
      </c>
      <c r="U116">
        <f>DV!T63+DV!T66</f>
        <v>0</v>
      </c>
      <c r="V116">
        <f>DV!U63+DV!U66</f>
        <v>0</v>
      </c>
      <c r="W116">
        <f>DV!V63+DV!V66</f>
        <v>0</v>
      </c>
      <c r="X116">
        <f>DV!W63+DV!W66</f>
        <v>0</v>
      </c>
      <c r="Y116">
        <f>DV!X63+DV!X66</f>
        <v>0</v>
      </c>
      <c r="Z116">
        <f>DV!Y63+DV!Y66</f>
        <v>0</v>
      </c>
      <c r="AA116">
        <f>DV!Z63+DV!Z66</f>
        <v>0</v>
      </c>
      <c r="AB116">
        <f>DV!AA63+DV!AA66</f>
        <v>0</v>
      </c>
      <c r="AC116">
        <f>DV!AB63+DV!AB66</f>
        <v>0</v>
      </c>
      <c r="AD116">
        <f>DV!AC63+DV!AC66</f>
        <v>0</v>
      </c>
      <c r="AE116">
        <f>DV!AD63+DV!AD66</f>
        <v>0</v>
      </c>
      <c r="AF116">
        <f>DV!AE63+DV!AE66</f>
        <v>0</v>
      </c>
      <c r="AG116">
        <f>DV!AF63+DV!AF66</f>
        <v>0</v>
      </c>
      <c r="AH116">
        <f>DV!AG63+DV!AG66</f>
        <v>0</v>
      </c>
      <c r="AI116">
        <f>DV!AH63+DV!AH66</f>
        <v>0</v>
      </c>
      <c r="AJ116">
        <f>DV!AI63+DV!AI66</f>
        <v>0</v>
      </c>
      <c r="AK116">
        <f>DV!AJ63+DV!AJ66</f>
        <v>0</v>
      </c>
      <c r="AL116">
        <f>DV!AK63+DV!AK66</f>
        <v>0</v>
      </c>
      <c r="AM116">
        <f>DV!AL63+DV!AL66</f>
        <v>0</v>
      </c>
      <c r="AN116">
        <f>DV!AM63+DV!AM66</f>
        <v>0</v>
      </c>
      <c r="AO116">
        <f>DV!AN63+DV!AN66</f>
        <v>0</v>
      </c>
      <c r="AP116">
        <f>DV!AO63+DV!AO66</f>
        <v>0</v>
      </c>
      <c r="AQ116">
        <f>DV!AP63+DV!AP66</f>
        <v>0</v>
      </c>
      <c r="AR116">
        <f>DV!AQ63+DV!AQ66</f>
        <v>0</v>
      </c>
      <c r="AS116">
        <f>DV!AR63+DV!AR66</f>
        <v>0</v>
      </c>
      <c r="AT116">
        <f>DV!AS63+DV!AS66</f>
        <v>0</v>
      </c>
      <c r="AU116">
        <f>DV!AT63+DV!AT66</f>
        <v>0</v>
      </c>
      <c r="AV116">
        <f>DV!AU63+DV!AU66</f>
        <v>0</v>
      </c>
      <c r="AW116">
        <f>DV!AV63+DV!AV66</f>
        <v>0</v>
      </c>
      <c r="AX116">
        <f>DV!AW63+DV!AW66</f>
        <v>0</v>
      </c>
      <c r="AY116">
        <f>DV!AX63+DV!AX66</f>
        <v>0</v>
      </c>
      <c r="AZ116">
        <f>DV!AY63+DV!AY66</f>
        <v>0</v>
      </c>
      <c r="BA116">
        <f>DV!AZ63+DV!AZ66</f>
        <v>0</v>
      </c>
      <c r="BB116">
        <f>DV!BA63+DV!BA66</f>
        <v>0</v>
      </c>
      <c r="BC116">
        <f>DV!BB63+DV!BB66</f>
        <v>0</v>
      </c>
      <c r="BD116">
        <f>DV!BC63+DV!BC66</f>
        <v>0</v>
      </c>
      <c r="BE116">
        <f>DV!BD63+DV!BD66</f>
        <v>0</v>
      </c>
      <c r="BF116">
        <f>DV!BE63+DV!BE66</f>
        <v>0</v>
      </c>
      <c r="BG116">
        <f>DV!BF63+DV!BF66</f>
        <v>0</v>
      </c>
      <c r="BH116">
        <f>DV!BG63+DV!BG66</f>
        <v>0</v>
      </c>
      <c r="BI116">
        <f>DV!BH63+DV!BH66</f>
        <v>0</v>
      </c>
      <c r="BJ116">
        <f>DV!BI63+DV!BI66</f>
        <v>0</v>
      </c>
      <c r="BK116">
        <f>DV!BJ63+DV!BJ66</f>
        <v>0</v>
      </c>
      <c r="BL116">
        <f>DV!BK63+DV!BK66</f>
        <v>0</v>
      </c>
    </row>
    <row r="117" spans="1:64">
      <c r="A117">
        <v>47</v>
      </c>
      <c r="B117" s="5" t="str">
        <f>TEXT(VLOOKUP(A117,СВ[],2),"чч:мм")&amp;"-"&amp;TEXT(VLOOKUP(A117,СВ[],3),"чч:мм")</f>
        <v>19:15-20:00</v>
      </c>
      <c r="C117" s="6">
        <v>48</v>
      </c>
      <c r="D117" s="5" t="str">
        <f>TEXT(VLOOKUP(C117,СВ[],2),"чч:мм")&amp;"-"&amp;TEXT(VLOOKUP(C117,СВ[],3),"чч:мм")</f>
        <v>19:30-20:15</v>
      </c>
      <c r="E117">
        <f>DV!D64+DV!D65</f>
        <v>0</v>
      </c>
      <c r="F117">
        <f>DV!E64+DV!E65</f>
        <v>0</v>
      </c>
      <c r="G117">
        <f>DV!F64+DV!F65</f>
        <v>0</v>
      </c>
      <c r="H117">
        <f>DV!G64+DV!G65</f>
        <v>0</v>
      </c>
      <c r="I117">
        <f>DV!H64+DV!H65</f>
        <v>0</v>
      </c>
      <c r="J117">
        <f>DV!I64+DV!I65</f>
        <v>0</v>
      </c>
      <c r="K117">
        <f>DV!J64+DV!J65</f>
        <v>0</v>
      </c>
      <c r="L117">
        <f>DV!K64+DV!K65</f>
        <v>0</v>
      </c>
      <c r="M117">
        <f>DV!L64+DV!L65</f>
        <v>0</v>
      </c>
      <c r="N117">
        <f>DV!M64+DV!M65</f>
        <v>0</v>
      </c>
      <c r="O117">
        <f>DV!N64+DV!N65</f>
        <v>0</v>
      </c>
      <c r="P117">
        <f>DV!O64+DV!O65</f>
        <v>0</v>
      </c>
      <c r="Q117">
        <f>DV!P64+DV!P65</f>
        <v>0</v>
      </c>
      <c r="R117">
        <f>DV!Q64+DV!Q65</f>
        <v>0</v>
      </c>
      <c r="S117">
        <f>DV!R64+DV!R65</f>
        <v>0</v>
      </c>
      <c r="T117">
        <f>DV!S64+DV!S65</f>
        <v>0</v>
      </c>
      <c r="U117">
        <f>DV!T64+DV!T65</f>
        <v>0</v>
      </c>
      <c r="V117">
        <f>DV!U64+DV!U65</f>
        <v>0</v>
      </c>
      <c r="W117">
        <f>DV!V64+DV!V65</f>
        <v>0</v>
      </c>
      <c r="X117">
        <f>DV!W64+DV!W65</f>
        <v>0</v>
      </c>
      <c r="Y117">
        <f>DV!X64+DV!X65</f>
        <v>0</v>
      </c>
      <c r="Z117">
        <f>DV!Y64+DV!Y65</f>
        <v>0</v>
      </c>
      <c r="AA117">
        <f>DV!Z64+DV!Z65</f>
        <v>0</v>
      </c>
      <c r="AB117">
        <f>DV!AA64+DV!AA65</f>
        <v>0</v>
      </c>
      <c r="AC117">
        <f>DV!AB64+DV!AB65</f>
        <v>0</v>
      </c>
      <c r="AD117">
        <f>DV!AC64+DV!AC65</f>
        <v>0</v>
      </c>
      <c r="AE117">
        <f>DV!AD64+DV!AD65</f>
        <v>0</v>
      </c>
      <c r="AF117">
        <f>DV!AE64+DV!AE65</f>
        <v>0</v>
      </c>
      <c r="AG117">
        <f>DV!AF64+DV!AF65</f>
        <v>0</v>
      </c>
      <c r="AH117">
        <f>DV!AG64+DV!AG65</f>
        <v>0</v>
      </c>
      <c r="AI117">
        <f>DV!AH64+DV!AH65</f>
        <v>0</v>
      </c>
      <c r="AJ117">
        <f>DV!AI64+DV!AI65</f>
        <v>0</v>
      </c>
      <c r="AK117">
        <f>DV!AJ64+DV!AJ65</f>
        <v>0</v>
      </c>
      <c r="AL117">
        <f>DV!AK64+DV!AK65</f>
        <v>0</v>
      </c>
      <c r="AM117">
        <f>DV!AL64+DV!AL65</f>
        <v>0</v>
      </c>
      <c r="AN117">
        <f>DV!AM64+DV!AM65</f>
        <v>0</v>
      </c>
      <c r="AO117">
        <f>DV!AN64+DV!AN65</f>
        <v>0</v>
      </c>
      <c r="AP117">
        <f>DV!AO64+DV!AO65</f>
        <v>0</v>
      </c>
      <c r="AQ117">
        <f>DV!AP64+DV!AP65</f>
        <v>0</v>
      </c>
      <c r="AR117">
        <f>DV!AQ64+DV!AQ65</f>
        <v>0</v>
      </c>
      <c r="AS117">
        <f>DV!AR64+DV!AR65</f>
        <v>0</v>
      </c>
      <c r="AT117">
        <f>DV!AS64+DV!AS65</f>
        <v>0</v>
      </c>
      <c r="AU117">
        <f>DV!AT64+DV!AT65</f>
        <v>0</v>
      </c>
      <c r="AV117">
        <f>DV!AU64+DV!AU65</f>
        <v>0</v>
      </c>
      <c r="AW117">
        <f>DV!AV64+DV!AV65</f>
        <v>0</v>
      </c>
      <c r="AX117">
        <f>DV!AW64+DV!AW65</f>
        <v>0</v>
      </c>
      <c r="AY117">
        <f>DV!AX64+DV!AX65</f>
        <v>0</v>
      </c>
      <c r="AZ117">
        <f>DV!AY64+DV!AY65</f>
        <v>0</v>
      </c>
      <c r="BA117">
        <f>DV!AZ64+DV!AZ65</f>
        <v>0</v>
      </c>
      <c r="BB117">
        <f>DV!BA64+DV!BA65</f>
        <v>0</v>
      </c>
      <c r="BC117">
        <f>DV!BB64+DV!BB65</f>
        <v>0</v>
      </c>
      <c r="BD117">
        <f>DV!BC64+DV!BC65</f>
        <v>0</v>
      </c>
      <c r="BE117">
        <f>DV!BD64+DV!BD65</f>
        <v>0</v>
      </c>
      <c r="BF117">
        <f>DV!BE64+DV!BE65</f>
        <v>0</v>
      </c>
      <c r="BG117">
        <f>DV!BF64+DV!BF65</f>
        <v>0</v>
      </c>
      <c r="BH117">
        <f>DV!BG64+DV!BG65</f>
        <v>0</v>
      </c>
      <c r="BI117">
        <f>DV!BH64+DV!BH65</f>
        <v>0</v>
      </c>
      <c r="BJ117">
        <f>DV!BI64+DV!BI65</f>
        <v>0</v>
      </c>
      <c r="BK117">
        <f>DV!BJ64+DV!BJ65</f>
        <v>0</v>
      </c>
      <c r="BL117">
        <f>DV!BK64+DV!BK65</f>
        <v>0</v>
      </c>
    </row>
    <row r="118" spans="1:64">
      <c r="A118">
        <v>47</v>
      </c>
      <c r="B118" s="5" t="str">
        <f>TEXT(VLOOKUP(A118,СВ[],2),"чч:мм")&amp;"-"&amp;TEXT(VLOOKUP(A118,СВ[],3),"чч:мм")</f>
        <v>19:15-20:00</v>
      </c>
      <c r="C118" s="6">
        <v>49</v>
      </c>
      <c r="D118" s="5" t="str">
        <f>TEXT(VLOOKUP(C118,СВ[],2),"чч:мм")&amp;"-"&amp;TEXT(VLOOKUP(C118,СВ[],3),"чч:мм")</f>
        <v>19:45-20:30</v>
      </c>
      <c r="E118">
        <f>DV!D64+DV!D66</f>
        <v>0</v>
      </c>
      <c r="F118">
        <f>DV!E64+DV!E66</f>
        <v>0</v>
      </c>
      <c r="G118">
        <f>DV!F64+DV!F66</f>
        <v>0</v>
      </c>
      <c r="H118">
        <f>DV!G64+DV!G66</f>
        <v>0</v>
      </c>
      <c r="I118">
        <f>DV!H64+DV!H66</f>
        <v>0</v>
      </c>
      <c r="J118">
        <f>DV!I64+DV!I66</f>
        <v>0</v>
      </c>
      <c r="K118">
        <f>DV!J64+DV!J66</f>
        <v>0</v>
      </c>
      <c r="L118">
        <f>DV!K64+DV!K66</f>
        <v>0</v>
      </c>
      <c r="M118">
        <f>DV!L64+DV!L66</f>
        <v>0</v>
      </c>
      <c r="N118">
        <f>DV!M64+DV!M66</f>
        <v>0</v>
      </c>
      <c r="O118">
        <f>DV!N64+DV!N66</f>
        <v>0</v>
      </c>
      <c r="P118">
        <f>DV!O64+DV!O66</f>
        <v>0</v>
      </c>
      <c r="Q118">
        <f>DV!P64+DV!P66</f>
        <v>0</v>
      </c>
      <c r="R118">
        <f>DV!Q64+DV!Q66</f>
        <v>0</v>
      </c>
      <c r="S118">
        <f>DV!R64+DV!R66</f>
        <v>0</v>
      </c>
      <c r="T118">
        <f>DV!S64+DV!S66</f>
        <v>0</v>
      </c>
      <c r="U118">
        <f>DV!T64+DV!T66</f>
        <v>0</v>
      </c>
      <c r="V118">
        <f>DV!U64+DV!U66</f>
        <v>0</v>
      </c>
      <c r="W118">
        <f>DV!V64+DV!V66</f>
        <v>0</v>
      </c>
      <c r="X118">
        <f>DV!W64+DV!W66</f>
        <v>0</v>
      </c>
      <c r="Y118">
        <f>DV!X64+DV!X66</f>
        <v>0</v>
      </c>
      <c r="Z118">
        <f>DV!Y64+DV!Y66</f>
        <v>0</v>
      </c>
      <c r="AA118">
        <f>DV!Z64+DV!Z66</f>
        <v>0</v>
      </c>
      <c r="AB118">
        <f>DV!AA64+DV!AA66</f>
        <v>0</v>
      </c>
      <c r="AC118">
        <f>DV!AB64+DV!AB66</f>
        <v>0</v>
      </c>
      <c r="AD118">
        <f>DV!AC64+DV!AC66</f>
        <v>0</v>
      </c>
      <c r="AE118">
        <f>DV!AD64+DV!AD66</f>
        <v>0</v>
      </c>
      <c r="AF118">
        <f>DV!AE64+DV!AE66</f>
        <v>0</v>
      </c>
      <c r="AG118">
        <f>DV!AF64+DV!AF66</f>
        <v>0</v>
      </c>
      <c r="AH118">
        <f>DV!AG64+DV!AG66</f>
        <v>0</v>
      </c>
      <c r="AI118">
        <f>DV!AH64+DV!AH66</f>
        <v>0</v>
      </c>
      <c r="AJ118">
        <f>DV!AI64+DV!AI66</f>
        <v>0</v>
      </c>
      <c r="AK118">
        <f>DV!AJ64+DV!AJ66</f>
        <v>0</v>
      </c>
      <c r="AL118">
        <f>DV!AK64+DV!AK66</f>
        <v>0</v>
      </c>
      <c r="AM118">
        <f>DV!AL64+DV!AL66</f>
        <v>0</v>
      </c>
      <c r="AN118">
        <f>DV!AM64+DV!AM66</f>
        <v>0</v>
      </c>
      <c r="AO118">
        <f>DV!AN64+DV!AN66</f>
        <v>0</v>
      </c>
      <c r="AP118">
        <f>DV!AO64+DV!AO66</f>
        <v>0</v>
      </c>
      <c r="AQ118">
        <f>DV!AP64+DV!AP66</f>
        <v>0</v>
      </c>
      <c r="AR118">
        <f>DV!AQ64+DV!AQ66</f>
        <v>0</v>
      </c>
      <c r="AS118">
        <f>DV!AR64+DV!AR66</f>
        <v>0</v>
      </c>
      <c r="AT118">
        <f>DV!AS64+DV!AS66</f>
        <v>0</v>
      </c>
      <c r="AU118">
        <f>DV!AT64+DV!AT66</f>
        <v>0</v>
      </c>
      <c r="AV118">
        <f>DV!AU64+DV!AU66</f>
        <v>0</v>
      </c>
      <c r="AW118">
        <f>DV!AV64+DV!AV66</f>
        <v>0</v>
      </c>
      <c r="AX118">
        <f>DV!AW64+DV!AW66</f>
        <v>0</v>
      </c>
      <c r="AY118">
        <f>DV!AX64+DV!AX66</f>
        <v>0</v>
      </c>
      <c r="AZ118">
        <f>DV!AY64+DV!AY66</f>
        <v>0</v>
      </c>
      <c r="BA118">
        <f>DV!AZ64+DV!AZ66</f>
        <v>0</v>
      </c>
      <c r="BB118">
        <f>DV!BA64+DV!BA66</f>
        <v>0</v>
      </c>
      <c r="BC118">
        <f>DV!BB64+DV!BB66</f>
        <v>0</v>
      </c>
      <c r="BD118">
        <f>DV!BC64+DV!BC66</f>
        <v>0</v>
      </c>
      <c r="BE118">
        <f>DV!BD64+DV!BD66</f>
        <v>0</v>
      </c>
      <c r="BF118">
        <f>DV!BE64+DV!BE66</f>
        <v>0</v>
      </c>
      <c r="BG118">
        <f>DV!BF64+DV!BF66</f>
        <v>0</v>
      </c>
      <c r="BH118">
        <f>DV!BG64+DV!BG66</f>
        <v>0</v>
      </c>
      <c r="BI118">
        <f>DV!BH64+DV!BH66</f>
        <v>0</v>
      </c>
      <c r="BJ118">
        <f>DV!BI64+DV!BI66</f>
        <v>0</v>
      </c>
      <c r="BK118">
        <f>DV!BJ64+DV!BJ66</f>
        <v>0</v>
      </c>
      <c r="BL118">
        <f>DV!BK64+DV!BK66</f>
        <v>0</v>
      </c>
    </row>
    <row r="119" spans="1:64">
      <c r="A119">
        <v>48</v>
      </c>
      <c r="B119" s="5" t="str">
        <f>TEXT(VLOOKUP(A119,СВ[],2),"чч:мм")&amp;"-"&amp;TEXT(VLOOKUP(A119,СВ[],3),"чч:мм")</f>
        <v>19:30-20:15</v>
      </c>
      <c r="C119" s="6">
        <v>49</v>
      </c>
      <c r="D119" s="5" t="str">
        <f>TEXT(VLOOKUP(C119,СВ[],2),"чч:мм")&amp;"-"&amp;TEXT(VLOOKUP(C119,СВ[],3),"чч:мм")</f>
        <v>19:45-20:30</v>
      </c>
      <c r="E119">
        <f>DV!D65+DV!D66</f>
        <v>0</v>
      </c>
      <c r="F119">
        <f>DV!E65+DV!E66</f>
        <v>0</v>
      </c>
      <c r="G119">
        <f>DV!F65+DV!F66</f>
        <v>0</v>
      </c>
      <c r="H119">
        <f>DV!G65+DV!G66</f>
        <v>0</v>
      </c>
      <c r="I119">
        <f>DV!H65+DV!H66</f>
        <v>0</v>
      </c>
      <c r="J119">
        <f>DV!I65+DV!I66</f>
        <v>0</v>
      </c>
      <c r="K119">
        <f>DV!J65+DV!J66</f>
        <v>0</v>
      </c>
      <c r="L119">
        <f>DV!K65+DV!K66</f>
        <v>0</v>
      </c>
      <c r="M119">
        <f>DV!L65+DV!L66</f>
        <v>0</v>
      </c>
      <c r="N119">
        <f>DV!M65+DV!M66</f>
        <v>0</v>
      </c>
      <c r="O119">
        <f>DV!N65+DV!N66</f>
        <v>0</v>
      </c>
      <c r="P119">
        <f>DV!O65+DV!O66</f>
        <v>0</v>
      </c>
      <c r="Q119">
        <f>DV!P65+DV!P66</f>
        <v>0</v>
      </c>
      <c r="R119">
        <f>DV!Q65+DV!Q66</f>
        <v>0</v>
      </c>
      <c r="S119">
        <f>DV!R65+DV!R66</f>
        <v>0</v>
      </c>
      <c r="T119">
        <f>DV!S65+DV!S66</f>
        <v>0</v>
      </c>
      <c r="U119">
        <f>DV!T65+DV!T66</f>
        <v>0</v>
      </c>
      <c r="V119">
        <f>DV!U65+DV!U66</f>
        <v>0</v>
      </c>
      <c r="W119">
        <f>DV!V65+DV!V66</f>
        <v>0</v>
      </c>
      <c r="X119">
        <f>DV!W65+DV!W66</f>
        <v>0</v>
      </c>
      <c r="Y119">
        <f>DV!X65+DV!X66</f>
        <v>0</v>
      </c>
      <c r="Z119">
        <f>DV!Y65+DV!Y66</f>
        <v>0</v>
      </c>
      <c r="AA119">
        <f>DV!Z65+DV!Z66</f>
        <v>0</v>
      </c>
      <c r="AB119">
        <f>DV!AA65+DV!AA66</f>
        <v>0</v>
      </c>
      <c r="AC119">
        <f>DV!AB65+DV!AB66</f>
        <v>0</v>
      </c>
      <c r="AD119">
        <f>DV!AC65+DV!AC66</f>
        <v>0</v>
      </c>
      <c r="AE119">
        <f>DV!AD65+DV!AD66</f>
        <v>0</v>
      </c>
      <c r="AF119">
        <f>DV!AE65+DV!AE66</f>
        <v>0</v>
      </c>
      <c r="AG119">
        <f>DV!AF65+DV!AF66</f>
        <v>0</v>
      </c>
      <c r="AH119">
        <f>DV!AG65+DV!AG66</f>
        <v>0</v>
      </c>
      <c r="AI119">
        <f>DV!AH65+DV!AH66</f>
        <v>0</v>
      </c>
      <c r="AJ119">
        <f>DV!AI65+DV!AI66</f>
        <v>0</v>
      </c>
      <c r="AK119">
        <f>DV!AJ65+DV!AJ66</f>
        <v>0</v>
      </c>
      <c r="AL119">
        <f>DV!AK65+DV!AK66</f>
        <v>0</v>
      </c>
      <c r="AM119">
        <f>DV!AL65+DV!AL66</f>
        <v>0</v>
      </c>
      <c r="AN119">
        <f>DV!AM65+DV!AM66</f>
        <v>0</v>
      </c>
      <c r="AO119">
        <f>DV!AN65+DV!AN66</f>
        <v>0</v>
      </c>
      <c r="AP119">
        <f>DV!AO65+DV!AO66</f>
        <v>0</v>
      </c>
      <c r="AQ119">
        <f>DV!AP65+DV!AP66</f>
        <v>0</v>
      </c>
      <c r="AR119">
        <f>DV!AQ65+DV!AQ66</f>
        <v>0</v>
      </c>
      <c r="AS119">
        <f>DV!AR65+DV!AR66</f>
        <v>0</v>
      </c>
      <c r="AT119">
        <f>DV!AS65+DV!AS66</f>
        <v>0</v>
      </c>
      <c r="AU119">
        <f>DV!AT65+DV!AT66</f>
        <v>0</v>
      </c>
      <c r="AV119">
        <f>DV!AU65+DV!AU66</f>
        <v>0</v>
      </c>
      <c r="AW119">
        <f>DV!AV65+DV!AV66</f>
        <v>0</v>
      </c>
      <c r="AX119">
        <f>DV!AW65+DV!AW66</f>
        <v>0</v>
      </c>
      <c r="AY119">
        <f>DV!AX65+DV!AX66</f>
        <v>0</v>
      </c>
      <c r="AZ119">
        <f>DV!AY65+DV!AY66</f>
        <v>0</v>
      </c>
      <c r="BA119">
        <f>DV!AZ65+DV!AZ66</f>
        <v>0</v>
      </c>
      <c r="BB119">
        <f>DV!BA65+DV!BA66</f>
        <v>0</v>
      </c>
      <c r="BC119">
        <f>DV!BB65+DV!BB66</f>
        <v>0</v>
      </c>
      <c r="BD119">
        <f>DV!BC65+DV!BC66</f>
        <v>0</v>
      </c>
      <c r="BE119">
        <f>DV!BD65+DV!BD66</f>
        <v>0</v>
      </c>
      <c r="BF119">
        <f>DV!BE65+DV!BE66</f>
        <v>0</v>
      </c>
      <c r="BG119">
        <f>DV!BF65+DV!BF66</f>
        <v>0</v>
      </c>
      <c r="BH119">
        <f>DV!BG65+DV!BG66</f>
        <v>0</v>
      </c>
      <c r="BI119">
        <f>DV!BH65+DV!BH66</f>
        <v>0</v>
      </c>
      <c r="BJ119">
        <f>DV!BI65+DV!BI66</f>
        <v>0</v>
      </c>
      <c r="BK119">
        <f>DV!BJ65+DV!BJ66</f>
        <v>0</v>
      </c>
      <c r="BL119">
        <f>DV!BK65+DV!BK66</f>
        <v>0</v>
      </c>
    </row>
    <row r="120" spans="1:64">
      <c r="B120" s="5"/>
      <c r="D120" s="5"/>
    </row>
    <row r="121" spans="1:64">
      <c r="B121" s="5"/>
      <c r="D121" s="5"/>
    </row>
    <row r="122" spans="1:64">
      <c r="B122" s="5"/>
      <c r="D122" s="5"/>
    </row>
    <row r="123" spans="1:64">
      <c r="B123" s="5"/>
      <c r="D123" s="5"/>
    </row>
    <row r="124" spans="1:64">
      <c r="B124" s="5"/>
      <c r="D124" s="5"/>
    </row>
    <row r="125" spans="1:64">
      <c r="B125" s="5"/>
      <c r="D125" s="5"/>
    </row>
    <row r="126" spans="1:64">
      <c r="B126" s="5"/>
      <c r="D126" s="5"/>
    </row>
    <row r="127" spans="1:64">
      <c r="B127" s="5"/>
      <c r="D127" s="5"/>
    </row>
    <row r="128" spans="1:64">
      <c r="B128" s="5"/>
      <c r="D128" s="5"/>
    </row>
    <row r="129" spans="2:4">
      <c r="B129" s="5"/>
      <c r="D129" s="5"/>
    </row>
    <row r="130" spans="2:4">
      <c r="B130" s="5"/>
      <c r="D130" s="5"/>
    </row>
    <row r="131" spans="2:4">
      <c r="B131" s="5"/>
      <c r="D131" s="5"/>
    </row>
    <row r="132" spans="2:4">
      <c r="B132" s="5"/>
      <c r="D132" s="5"/>
    </row>
    <row r="133" spans="2:4">
      <c r="B133" s="5"/>
      <c r="D133" s="5"/>
    </row>
    <row r="134" spans="2:4">
      <c r="B134" s="5"/>
      <c r="D134" s="5"/>
    </row>
    <row r="135" spans="2:4">
      <c r="B135" s="5"/>
      <c r="D135" s="5"/>
    </row>
    <row r="136" spans="2:4">
      <c r="B136" s="5"/>
      <c r="D136" s="5"/>
    </row>
    <row r="137" spans="2:4">
      <c r="B137" s="5"/>
      <c r="D137" s="5"/>
    </row>
    <row r="138" spans="2:4">
      <c r="B138" s="5"/>
      <c r="D138" s="5"/>
    </row>
    <row r="139" spans="2:4">
      <c r="B139" s="5"/>
      <c r="D139" s="5"/>
    </row>
    <row r="140" spans="2:4">
      <c r="B140" s="5"/>
      <c r="D140" s="5"/>
    </row>
    <row r="141" spans="2:4">
      <c r="B141" s="5"/>
      <c r="D141" s="5"/>
    </row>
    <row r="142" spans="2:4">
      <c r="B142" s="5"/>
      <c r="D142" s="5"/>
    </row>
    <row r="143" spans="2:4">
      <c r="B143" s="5"/>
      <c r="D143" s="5"/>
    </row>
    <row r="144" spans="2:4">
      <c r="B144" s="5"/>
      <c r="D144" s="5"/>
    </row>
    <row r="145" spans="2:4">
      <c r="B145" s="5"/>
      <c r="D145" s="5"/>
    </row>
    <row r="146" spans="2:4">
      <c r="B146" s="5"/>
      <c r="D146" s="5"/>
    </row>
    <row r="147" spans="2:4">
      <c r="B147" s="5"/>
      <c r="D147" s="5"/>
    </row>
    <row r="148" spans="2:4">
      <c r="B148" s="5"/>
      <c r="D148" s="5"/>
    </row>
    <row r="149" spans="2:4">
      <c r="B149" s="5"/>
      <c r="D149" s="5"/>
    </row>
    <row r="150" spans="2:4">
      <c r="B150" s="5"/>
      <c r="D150" s="5"/>
    </row>
    <row r="151" spans="2:4">
      <c r="B151" s="5"/>
      <c r="D151" s="5"/>
    </row>
    <row r="152" spans="2:4">
      <c r="B152" s="5"/>
      <c r="D152" s="5"/>
    </row>
    <row r="153" spans="2:4">
      <c r="B153" s="5"/>
      <c r="D153" s="5"/>
    </row>
    <row r="154" spans="2:4">
      <c r="B154" s="5"/>
      <c r="D154" s="5"/>
    </row>
    <row r="155" spans="2:4">
      <c r="B155" s="5"/>
      <c r="D155" s="5"/>
    </row>
    <row r="156" spans="2:4">
      <c r="B156" s="5"/>
      <c r="D156" s="5"/>
    </row>
    <row r="157" spans="2:4">
      <c r="B157" s="5"/>
      <c r="D157" s="5"/>
    </row>
    <row r="158" spans="2:4">
      <c r="B158" s="5"/>
      <c r="D158" s="5"/>
    </row>
    <row r="159" spans="2:4">
      <c r="B159" s="5"/>
      <c r="D159" s="5"/>
    </row>
    <row r="160" spans="2:4">
      <c r="B160" s="5"/>
      <c r="D160" s="5"/>
    </row>
    <row r="161" spans="2:4">
      <c r="B161" s="5"/>
      <c r="D161" s="5"/>
    </row>
    <row r="162" spans="2:4">
      <c r="B162" s="5"/>
      <c r="D162" s="5"/>
    </row>
    <row r="163" spans="2:4">
      <c r="B163" s="5"/>
      <c r="D163" s="5"/>
    </row>
    <row r="164" spans="2:4">
      <c r="B164" s="5"/>
      <c r="D164" s="5"/>
    </row>
    <row r="165" spans="2:4">
      <c r="B165" s="5"/>
      <c r="D165" s="5"/>
    </row>
    <row r="166" spans="2:4">
      <c r="B166" s="5"/>
      <c r="D166" s="5"/>
    </row>
    <row r="167" spans="2:4">
      <c r="C167"/>
    </row>
    <row r="168" spans="2:4">
      <c r="C168"/>
    </row>
    <row r="169" spans="2:4">
      <c r="C169"/>
    </row>
    <row r="170" spans="2:4">
      <c r="C170"/>
    </row>
    <row r="171" spans="2:4">
      <c r="C171"/>
    </row>
    <row r="172" spans="2:4">
      <c r="C172"/>
    </row>
    <row r="173" spans="2:4">
      <c r="C173"/>
    </row>
    <row r="174" spans="2:4">
      <c r="C174"/>
    </row>
    <row r="175" spans="2:4">
      <c r="C175"/>
    </row>
    <row r="176" spans="2:4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  <row r="250" spans="3:3">
      <c r="C250"/>
    </row>
    <row r="251" spans="3:3">
      <c r="C251"/>
    </row>
    <row r="252" spans="3:3">
      <c r="C252"/>
    </row>
    <row r="253" spans="3:3">
      <c r="C253"/>
    </row>
    <row r="254" spans="3:3">
      <c r="C254"/>
    </row>
    <row r="255" spans="3:3">
      <c r="C255"/>
    </row>
    <row r="256" spans="3:3">
      <c r="C256"/>
    </row>
    <row r="257" spans="3:3">
      <c r="C257"/>
    </row>
    <row r="258" spans="3:3">
      <c r="C258"/>
    </row>
    <row r="259" spans="3:3">
      <c r="C259"/>
    </row>
    <row r="260" spans="3:3">
      <c r="C260"/>
    </row>
    <row r="261" spans="3:3">
      <c r="C261"/>
    </row>
    <row r="262" spans="3:3">
      <c r="C262"/>
    </row>
    <row r="263" spans="3:3">
      <c r="C263"/>
    </row>
    <row r="264" spans="3:3">
      <c r="C264"/>
    </row>
    <row r="265" spans="3:3">
      <c r="C265"/>
    </row>
    <row r="266" spans="3:3">
      <c r="C266"/>
    </row>
    <row r="267" spans="3:3">
      <c r="C267"/>
    </row>
    <row r="268" spans="3:3">
      <c r="C268"/>
    </row>
    <row r="269" spans="3:3">
      <c r="C269"/>
    </row>
    <row r="270" spans="3:3">
      <c r="C270"/>
    </row>
    <row r="271" spans="3:3">
      <c r="C271"/>
    </row>
    <row r="272" spans="3:3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  <row r="309" spans="3:3">
      <c r="C309"/>
    </row>
    <row r="310" spans="3:3">
      <c r="C310"/>
    </row>
    <row r="311" spans="3:3">
      <c r="C311"/>
    </row>
    <row r="312" spans="3:3">
      <c r="C312"/>
    </row>
    <row r="313" spans="3:3">
      <c r="C313"/>
    </row>
    <row r="314" spans="3:3">
      <c r="C314"/>
    </row>
    <row r="315" spans="3:3">
      <c r="C315"/>
    </row>
    <row r="316" spans="3:3">
      <c r="C316"/>
    </row>
    <row r="317" spans="3:3">
      <c r="C317"/>
    </row>
    <row r="318" spans="3:3">
      <c r="C318"/>
    </row>
    <row r="319" spans="3:3">
      <c r="C319"/>
    </row>
    <row r="320" spans="3:3">
      <c r="C320"/>
    </row>
    <row r="321" spans="3:3">
      <c r="C321"/>
    </row>
    <row r="322" spans="3:3">
      <c r="C322"/>
    </row>
    <row r="323" spans="3:3">
      <c r="C323"/>
    </row>
    <row r="324" spans="3:3">
      <c r="C324"/>
    </row>
    <row r="325" spans="3:3">
      <c r="C325"/>
    </row>
    <row r="326" spans="3:3">
      <c r="C326"/>
    </row>
    <row r="327" spans="3:3">
      <c r="C327"/>
    </row>
    <row r="328" spans="3:3">
      <c r="C328"/>
    </row>
    <row r="329" spans="3:3">
      <c r="C329"/>
    </row>
    <row r="330" spans="3:3">
      <c r="C330"/>
    </row>
    <row r="331" spans="3:3">
      <c r="C331"/>
    </row>
    <row r="332" spans="3:3">
      <c r="C332"/>
    </row>
    <row r="333" spans="3:3">
      <c r="C333"/>
    </row>
    <row r="334" spans="3:3">
      <c r="C334"/>
    </row>
    <row r="335" spans="3:3">
      <c r="C335"/>
    </row>
    <row r="336" spans="3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  <row r="580" spans="3:3">
      <c r="C580"/>
    </row>
    <row r="581" spans="3:3">
      <c r="C581"/>
    </row>
    <row r="582" spans="3:3">
      <c r="C582"/>
    </row>
    <row r="583" spans="3:3">
      <c r="C583"/>
    </row>
    <row r="584" spans="3:3">
      <c r="C584"/>
    </row>
    <row r="585" spans="3:3">
      <c r="C585"/>
    </row>
    <row r="586" spans="3:3">
      <c r="C586"/>
    </row>
    <row r="587" spans="3:3">
      <c r="C587"/>
    </row>
    <row r="588" spans="3:3">
      <c r="C588"/>
    </row>
    <row r="589" spans="3:3">
      <c r="C589"/>
    </row>
    <row r="590" spans="3:3">
      <c r="C590"/>
    </row>
    <row r="591" spans="3:3">
      <c r="C591"/>
    </row>
    <row r="592" spans="3:3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  <row r="628" spans="3:3">
      <c r="C628"/>
    </row>
    <row r="629" spans="3:3">
      <c r="C629"/>
    </row>
    <row r="630" spans="3:3">
      <c r="C630"/>
    </row>
    <row r="631" spans="3:3">
      <c r="C631"/>
    </row>
    <row r="632" spans="3:3">
      <c r="C632"/>
    </row>
    <row r="633" spans="3:3">
      <c r="C633"/>
    </row>
    <row r="634" spans="3:3">
      <c r="C634"/>
    </row>
    <row r="635" spans="3:3">
      <c r="C635"/>
    </row>
    <row r="636" spans="3:3">
      <c r="C636"/>
    </row>
    <row r="637" spans="3:3">
      <c r="C637"/>
    </row>
    <row r="638" spans="3:3">
      <c r="C638"/>
    </row>
    <row r="639" spans="3:3">
      <c r="C639"/>
    </row>
    <row r="640" spans="3:3">
      <c r="C640"/>
    </row>
    <row r="641" spans="3:3">
      <c r="C641"/>
    </row>
    <row r="642" spans="3:3">
      <c r="C642"/>
    </row>
    <row r="643" spans="3:3">
      <c r="C643"/>
    </row>
    <row r="644" spans="3:3">
      <c r="C644"/>
    </row>
    <row r="645" spans="3:3">
      <c r="C645"/>
    </row>
    <row r="646" spans="3:3">
      <c r="C646"/>
    </row>
    <row r="647" spans="3:3">
      <c r="C647"/>
    </row>
    <row r="648" spans="3:3">
      <c r="C648"/>
    </row>
    <row r="649" spans="3:3">
      <c r="C649"/>
    </row>
    <row r="650" spans="3:3">
      <c r="C650"/>
    </row>
    <row r="651" spans="3:3">
      <c r="C651"/>
    </row>
    <row r="652" spans="3:3">
      <c r="C652"/>
    </row>
    <row r="653" spans="3:3">
      <c r="C653"/>
    </row>
    <row r="654" spans="3:3">
      <c r="C654"/>
    </row>
    <row r="655" spans="3:3">
      <c r="C655"/>
    </row>
    <row r="656" spans="3:3">
      <c r="C656"/>
    </row>
    <row r="657" spans="3:3">
      <c r="C657"/>
    </row>
    <row r="658" spans="3:3">
      <c r="C658"/>
    </row>
    <row r="659" spans="3:3">
      <c r="C659"/>
    </row>
    <row r="660" spans="3:3">
      <c r="C660"/>
    </row>
    <row r="661" spans="3:3">
      <c r="C661"/>
    </row>
    <row r="662" spans="3:3">
      <c r="C662"/>
    </row>
    <row r="663" spans="3:3">
      <c r="C663"/>
    </row>
    <row r="664" spans="3:3">
      <c r="C664"/>
    </row>
    <row r="665" spans="3:3">
      <c r="C665"/>
    </row>
    <row r="666" spans="3:3">
      <c r="C666"/>
    </row>
    <row r="667" spans="3:3">
      <c r="C667"/>
    </row>
    <row r="668" spans="3:3">
      <c r="C668"/>
    </row>
    <row r="669" spans="3:3">
      <c r="C669"/>
    </row>
    <row r="670" spans="3:3">
      <c r="C670"/>
    </row>
    <row r="671" spans="3:3">
      <c r="C671"/>
    </row>
    <row r="672" spans="3:3">
      <c r="C672"/>
    </row>
    <row r="673" spans="3:3">
      <c r="C673"/>
    </row>
    <row r="674" spans="3:3">
      <c r="C674"/>
    </row>
    <row r="675" spans="3:3">
      <c r="C675"/>
    </row>
    <row r="676" spans="3:3">
      <c r="C676"/>
    </row>
    <row r="677" spans="3:3">
      <c r="C677"/>
    </row>
    <row r="678" spans="3:3">
      <c r="C678"/>
    </row>
    <row r="679" spans="3:3">
      <c r="C679"/>
    </row>
    <row r="680" spans="3:3">
      <c r="C680"/>
    </row>
    <row r="681" spans="3:3">
      <c r="C681"/>
    </row>
    <row r="682" spans="3:3">
      <c r="C682"/>
    </row>
    <row r="683" spans="3:3">
      <c r="C683"/>
    </row>
    <row r="684" spans="3:3">
      <c r="C684"/>
    </row>
    <row r="685" spans="3:3">
      <c r="C685"/>
    </row>
    <row r="686" spans="3:3">
      <c r="C686"/>
    </row>
    <row r="687" spans="3:3">
      <c r="C687"/>
    </row>
    <row r="688" spans="3:3">
      <c r="C688"/>
    </row>
    <row r="689" spans="3:3">
      <c r="C689"/>
    </row>
    <row r="690" spans="3:3">
      <c r="C690"/>
    </row>
    <row r="691" spans="3:3">
      <c r="C691"/>
    </row>
    <row r="692" spans="3:3">
      <c r="C692"/>
    </row>
    <row r="693" spans="3:3">
      <c r="C693"/>
    </row>
    <row r="694" spans="3:3">
      <c r="C694"/>
    </row>
    <row r="695" spans="3:3">
      <c r="C695"/>
    </row>
    <row r="696" spans="3:3">
      <c r="C696"/>
    </row>
    <row r="697" spans="3:3">
      <c r="C697"/>
    </row>
    <row r="698" spans="3:3">
      <c r="C698"/>
    </row>
    <row r="699" spans="3:3">
      <c r="C699"/>
    </row>
    <row r="700" spans="3:3">
      <c r="C700"/>
    </row>
    <row r="701" spans="3:3">
      <c r="C701"/>
    </row>
    <row r="702" spans="3:3">
      <c r="C702"/>
    </row>
    <row r="703" spans="3:3">
      <c r="C703"/>
    </row>
    <row r="704" spans="3:3">
      <c r="C704"/>
    </row>
    <row r="705" spans="3:3">
      <c r="C705"/>
    </row>
    <row r="706" spans="3:3">
      <c r="C706"/>
    </row>
    <row r="707" spans="3:3">
      <c r="C707"/>
    </row>
    <row r="708" spans="3:3">
      <c r="C708"/>
    </row>
    <row r="709" spans="3:3">
      <c r="C709"/>
    </row>
    <row r="710" spans="3:3">
      <c r="C710"/>
    </row>
    <row r="711" spans="3:3">
      <c r="C711"/>
    </row>
    <row r="712" spans="3:3">
      <c r="C712"/>
    </row>
    <row r="713" spans="3:3">
      <c r="C713"/>
    </row>
    <row r="714" spans="3:3">
      <c r="C714"/>
    </row>
    <row r="715" spans="3:3">
      <c r="C715"/>
    </row>
    <row r="716" spans="3:3">
      <c r="C716"/>
    </row>
    <row r="717" spans="3:3">
      <c r="C717"/>
    </row>
    <row r="718" spans="3:3">
      <c r="C718"/>
    </row>
    <row r="719" spans="3:3">
      <c r="C719"/>
    </row>
    <row r="720" spans="3:3">
      <c r="C720"/>
    </row>
    <row r="721" spans="3:3">
      <c r="C721"/>
    </row>
    <row r="722" spans="3:3">
      <c r="C722"/>
    </row>
    <row r="723" spans="3:3">
      <c r="C723"/>
    </row>
    <row r="724" spans="3:3">
      <c r="C724"/>
    </row>
    <row r="725" spans="3:3">
      <c r="C725"/>
    </row>
    <row r="726" spans="3:3">
      <c r="C726"/>
    </row>
    <row r="727" spans="3:3">
      <c r="C727"/>
    </row>
    <row r="728" spans="3:3">
      <c r="C728"/>
    </row>
    <row r="729" spans="3:3">
      <c r="C729"/>
    </row>
    <row r="730" spans="3:3">
      <c r="C730"/>
    </row>
    <row r="731" spans="3:3">
      <c r="C731"/>
    </row>
    <row r="732" spans="3:3">
      <c r="C732"/>
    </row>
    <row r="733" spans="3:3">
      <c r="C733"/>
    </row>
    <row r="734" spans="3:3">
      <c r="C734"/>
    </row>
    <row r="735" spans="3:3">
      <c r="C735"/>
    </row>
    <row r="736" spans="3:3">
      <c r="C736"/>
    </row>
    <row r="737" spans="3:3">
      <c r="C737"/>
    </row>
    <row r="738" spans="3:3">
      <c r="C738"/>
    </row>
    <row r="739" spans="3:3">
      <c r="C739"/>
    </row>
    <row r="740" spans="3:3">
      <c r="C740"/>
    </row>
    <row r="741" spans="3:3">
      <c r="C741"/>
    </row>
    <row r="742" spans="3:3">
      <c r="C742"/>
    </row>
    <row r="743" spans="3:3">
      <c r="C743"/>
    </row>
    <row r="744" spans="3:3">
      <c r="C744"/>
    </row>
    <row r="745" spans="3:3">
      <c r="C745"/>
    </row>
    <row r="746" spans="3:3">
      <c r="C746"/>
    </row>
    <row r="747" spans="3:3">
      <c r="C747"/>
    </row>
    <row r="748" spans="3:3">
      <c r="C748"/>
    </row>
    <row r="749" spans="3:3">
      <c r="C749"/>
    </row>
    <row r="750" spans="3:3">
      <c r="C750"/>
    </row>
    <row r="751" spans="3:3">
      <c r="C751"/>
    </row>
    <row r="752" spans="3:3">
      <c r="C752"/>
    </row>
    <row r="753" spans="3:3">
      <c r="C753"/>
    </row>
    <row r="754" spans="3:3">
      <c r="C754"/>
    </row>
    <row r="755" spans="3:3">
      <c r="C755"/>
    </row>
    <row r="756" spans="3:3">
      <c r="C756"/>
    </row>
    <row r="757" spans="3:3">
      <c r="C757"/>
    </row>
    <row r="758" spans="3:3">
      <c r="C758"/>
    </row>
    <row r="759" spans="3:3">
      <c r="C759"/>
    </row>
    <row r="760" spans="3:3">
      <c r="C760"/>
    </row>
    <row r="761" spans="3:3">
      <c r="C761"/>
    </row>
    <row r="762" spans="3:3">
      <c r="C762"/>
    </row>
    <row r="763" spans="3:3">
      <c r="C763"/>
    </row>
    <row r="764" spans="3:3">
      <c r="C764"/>
    </row>
    <row r="765" spans="3:3">
      <c r="C765"/>
    </row>
    <row r="766" spans="3:3">
      <c r="C766"/>
    </row>
    <row r="767" spans="3:3">
      <c r="C767"/>
    </row>
    <row r="768" spans="3:3">
      <c r="C768"/>
    </row>
    <row r="769" spans="3:3">
      <c r="C769"/>
    </row>
    <row r="770" spans="3:3">
      <c r="C770"/>
    </row>
    <row r="771" spans="3:3">
      <c r="C771"/>
    </row>
    <row r="772" spans="3:3">
      <c r="C772"/>
    </row>
    <row r="773" spans="3:3">
      <c r="C773"/>
    </row>
    <row r="774" spans="3:3">
      <c r="C774"/>
    </row>
    <row r="775" spans="3:3">
      <c r="C775"/>
    </row>
    <row r="776" spans="3:3">
      <c r="C776"/>
    </row>
    <row r="777" spans="3:3">
      <c r="C777"/>
    </row>
    <row r="778" spans="3:3">
      <c r="C778"/>
    </row>
    <row r="779" spans="3:3">
      <c r="C779"/>
    </row>
    <row r="780" spans="3:3">
      <c r="C780"/>
    </row>
    <row r="781" spans="3:3">
      <c r="C781"/>
    </row>
    <row r="782" spans="3:3">
      <c r="C782"/>
    </row>
    <row r="783" spans="3:3">
      <c r="C783"/>
    </row>
    <row r="784" spans="3:3">
      <c r="C784"/>
    </row>
    <row r="785" spans="3:3">
      <c r="C785"/>
    </row>
    <row r="786" spans="3:3">
      <c r="C786"/>
    </row>
    <row r="787" spans="3:3">
      <c r="C787"/>
    </row>
    <row r="788" spans="3:3">
      <c r="C788"/>
    </row>
    <row r="789" spans="3:3">
      <c r="C789"/>
    </row>
    <row r="790" spans="3:3">
      <c r="C790"/>
    </row>
    <row r="791" spans="3:3">
      <c r="C791"/>
    </row>
    <row r="792" spans="3:3">
      <c r="C792"/>
    </row>
    <row r="793" spans="3:3">
      <c r="C793"/>
    </row>
    <row r="794" spans="3:3">
      <c r="C794"/>
    </row>
    <row r="795" spans="3:3">
      <c r="C795"/>
    </row>
    <row r="796" spans="3:3">
      <c r="C796"/>
    </row>
    <row r="797" spans="3:3">
      <c r="C797"/>
    </row>
    <row r="798" spans="3:3">
      <c r="C798"/>
    </row>
    <row r="799" spans="3:3">
      <c r="C799"/>
    </row>
    <row r="800" spans="3:3">
      <c r="C800"/>
    </row>
    <row r="801" spans="3:3">
      <c r="C801"/>
    </row>
    <row r="802" spans="3:3">
      <c r="C802"/>
    </row>
    <row r="803" spans="3:3">
      <c r="C803"/>
    </row>
    <row r="804" spans="3:3">
      <c r="C804"/>
    </row>
    <row r="805" spans="3:3">
      <c r="C805"/>
    </row>
    <row r="806" spans="3:3">
      <c r="C806"/>
    </row>
    <row r="807" spans="3:3">
      <c r="C807"/>
    </row>
    <row r="808" spans="3:3">
      <c r="C808"/>
    </row>
    <row r="809" spans="3:3">
      <c r="C809"/>
    </row>
    <row r="810" spans="3:3">
      <c r="C810"/>
    </row>
    <row r="811" spans="3:3">
      <c r="C811"/>
    </row>
    <row r="812" spans="3:3">
      <c r="C812"/>
    </row>
    <row r="813" spans="3:3">
      <c r="C813"/>
    </row>
    <row r="814" spans="3:3">
      <c r="C814"/>
    </row>
    <row r="815" spans="3:3">
      <c r="C815"/>
    </row>
    <row r="816" spans="3:3">
      <c r="C816"/>
    </row>
    <row r="817" spans="3:3">
      <c r="C817"/>
    </row>
    <row r="818" spans="3:3">
      <c r="C818"/>
    </row>
    <row r="819" spans="3:3">
      <c r="C819"/>
    </row>
    <row r="820" spans="3:3">
      <c r="C820"/>
    </row>
    <row r="821" spans="3:3">
      <c r="C821"/>
    </row>
    <row r="822" spans="3:3">
      <c r="C822"/>
    </row>
    <row r="823" spans="3:3">
      <c r="C823"/>
    </row>
    <row r="824" spans="3:3">
      <c r="C824"/>
    </row>
    <row r="825" spans="3:3">
      <c r="C825"/>
    </row>
    <row r="826" spans="3:3">
      <c r="C826"/>
    </row>
    <row r="827" spans="3:3">
      <c r="C827"/>
    </row>
    <row r="828" spans="3:3">
      <c r="C828"/>
    </row>
    <row r="829" spans="3:3">
      <c r="C829"/>
    </row>
    <row r="830" spans="3:3">
      <c r="C830"/>
    </row>
    <row r="831" spans="3:3">
      <c r="C831"/>
    </row>
    <row r="832" spans="3:3">
      <c r="C832"/>
    </row>
    <row r="833" spans="3:3">
      <c r="C833"/>
    </row>
    <row r="834" spans="3:3">
      <c r="C834"/>
    </row>
    <row r="835" spans="3:3">
      <c r="C835"/>
    </row>
    <row r="836" spans="3:3">
      <c r="C836"/>
    </row>
    <row r="837" spans="3:3">
      <c r="C837"/>
    </row>
    <row r="838" spans="3:3">
      <c r="C838"/>
    </row>
    <row r="839" spans="3:3">
      <c r="C839"/>
    </row>
    <row r="840" spans="3:3">
      <c r="C840"/>
    </row>
    <row r="841" spans="3:3">
      <c r="C841"/>
    </row>
    <row r="842" spans="3:3">
      <c r="C842"/>
    </row>
    <row r="843" spans="3:3">
      <c r="C843"/>
    </row>
    <row r="844" spans="3:3">
      <c r="C844"/>
    </row>
    <row r="845" spans="3:3">
      <c r="C845"/>
    </row>
    <row r="846" spans="3:3">
      <c r="C846"/>
    </row>
    <row r="847" spans="3:3">
      <c r="C847"/>
    </row>
    <row r="848" spans="3:3">
      <c r="C848"/>
    </row>
    <row r="849" spans="3:3">
      <c r="C849"/>
    </row>
    <row r="850" spans="3:3">
      <c r="C850"/>
    </row>
    <row r="851" spans="3:3">
      <c r="C851"/>
    </row>
    <row r="852" spans="3:3">
      <c r="C852"/>
    </row>
    <row r="853" spans="3:3">
      <c r="C853"/>
    </row>
    <row r="854" spans="3:3">
      <c r="C854"/>
    </row>
    <row r="855" spans="3:3">
      <c r="C855"/>
    </row>
    <row r="856" spans="3:3">
      <c r="C856"/>
    </row>
    <row r="857" spans="3:3">
      <c r="C857"/>
    </row>
    <row r="858" spans="3:3">
      <c r="C858"/>
    </row>
    <row r="859" spans="3:3">
      <c r="C859"/>
    </row>
    <row r="860" spans="3:3">
      <c r="C860"/>
    </row>
    <row r="861" spans="3:3">
      <c r="C861"/>
    </row>
    <row r="862" spans="3:3">
      <c r="C862"/>
    </row>
    <row r="863" spans="3:3">
      <c r="C863"/>
    </row>
    <row r="864" spans="3:3">
      <c r="C864"/>
    </row>
    <row r="865" spans="3:3">
      <c r="C865"/>
    </row>
    <row r="866" spans="3:3">
      <c r="C866"/>
    </row>
    <row r="867" spans="3:3">
      <c r="C867"/>
    </row>
    <row r="868" spans="3:3">
      <c r="C868"/>
    </row>
    <row r="869" spans="3:3">
      <c r="C869"/>
    </row>
    <row r="870" spans="3:3">
      <c r="C870"/>
    </row>
    <row r="871" spans="3:3">
      <c r="C871"/>
    </row>
    <row r="872" spans="3:3">
      <c r="C872"/>
    </row>
    <row r="873" spans="3:3">
      <c r="C873"/>
    </row>
    <row r="874" spans="3:3">
      <c r="C874"/>
    </row>
    <row r="875" spans="3:3">
      <c r="C875"/>
    </row>
    <row r="876" spans="3:3">
      <c r="C876"/>
    </row>
    <row r="877" spans="3:3">
      <c r="C877"/>
    </row>
    <row r="878" spans="3:3">
      <c r="C878"/>
    </row>
    <row r="879" spans="3:3">
      <c r="C879"/>
    </row>
    <row r="880" spans="3:3">
      <c r="C880"/>
    </row>
    <row r="881" spans="3:3">
      <c r="C881"/>
    </row>
    <row r="882" spans="3:3">
      <c r="C882"/>
    </row>
    <row r="883" spans="3:3">
      <c r="C883"/>
    </row>
    <row r="884" spans="3:3">
      <c r="C884"/>
    </row>
    <row r="885" spans="3:3">
      <c r="C885"/>
    </row>
    <row r="886" spans="3:3">
      <c r="C886"/>
    </row>
    <row r="887" spans="3:3">
      <c r="C887"/>
    </row>
    <row r="888" spans="3:3">
      <c r="C888"/>
    </row>
    <row r="889" spans="3:3">
      <c r="C889"/>
    </row>
    <row r="890" spans="3:3">
      <c r="C890"/>
    </row>
    <row r="891" spans="3:3">
      <c r="C891"/>
    </row>
    <row r="892" spans="3:3">
      <c r="C892"/>
    </row>
    <row r="893" spans="3:3">
      <c r="C893"/>
    </row>
    <row r="894" spans="3:3">
      <c r="C894"/>
    </row>
    <row r="895" spans="3:3">
      <c r="C895"/>
    </row>
    <row r="896" spans="3:3">
      <c r="C896"/>
    </row>
    <row r="897" spans="3:3">
      <c r="C897"/>
    </row>
    <row r="898" spans="3:3">
      <c r="C898"/>
    </row>
    <row r="899" spans="3:3">
      <c r="C899"/>
    </row>
    <row r="900" spans="3:3">
      <c r="C900"/>
    </row>
    <row r="901" spans="3:3">
      <c r="C901"/>
    </row>
    <row r="902" spans="3:3">
      <c r="C902"/>
    </row>
    <row r="903" spans="3:3">
      <c r="C903"/>
    </row>
    <row r="904" spans="3:3">
      <c r="C904"/>
    </row>
    <row r="905" spans="3:3">
      <c r="C905"/>
    </row>
    <row r="906" spans="3:3">
      <c r="C906"/>
    </row>
    <row r="907" spans="3:3">
      <c r="C907"/>
    </row>
    <row r="908" spans="3:3">
      <c r="C908"/>
    </row>
    <row r="909" spans="3:3">
      <c r="C909"/>
    </row>
    <row r="910" spans="3:3">
      <c r="C910"/>
    </row>
    <row r="911" spans="3:3">
      <c r="C911"/>
    </row>
    <row r="912" spans="3:3">
      <c r="C912"/>
    </row>
    <row r="913" spans="3:3">
      <c r="C913"/>
    </row>
    <row r="914" spans="3:3">
      <c r="C914"/>
    </row>
    <row r="915" spans="3:3">
      <c r="C915"/>
    </row>
    <row r="916" spans="3:3">
      <c r="C916"/>
    </row>
    <row r="917" spans="3:3">
      <c r="C917"/>
    </row>
    <row r="918" spans="3:3">
      <c r="C918"/>
    </row>
    <row r="919" spans="3:3">
      <c r="C919"/>
    </row>
    <row r="920" spans="3:3">
      <c r="C920"/>
    </row>
    <row r="921" spans="3:3">
      <c r="C921"/>
    </row>
    <row r="922" spans="3:3">
      <c r="C922"/>
    </row>
    <row r="923" spans="3:3">
      <c r="C923"/>
    </row>
    <row r="924" spans="3:3">
      <c r="C924"/>
    </row>
    <row r="925" spans="3:3">
      <c r="C925"/>
    </row>
    <row r="926" spans="3:3">
      <c r="C926"/>
    </row>
    <row r="927" spans="3:3">
      <c r="C927"/>
    </row>
    <row r="928" spans="3:3">
      <c r="C928"/>
    </row>
    <row r="929" spans="3:3">
      <c r="C929"/>
    </row>
    <row r="930" spans="3:3">
      <c r="C930"/>
    </row>
    <row r="931" spans="3:3">
      <c r="C931"/>
    </row>
    <row r="932" spans="3:3">
      <c r="C932"/>
    </row>
    <row r="933" spans="3:3">
      <c r="C933"/>
    </row>
    <row r="934" spans="3:3">
      <c r="C934"/>
    </row>
    <row r="935" spans="3:3">
      <c r="C935"/>
    </row>
    <row r="936" spans="3:3">
      <c r="C936"/>
    </row>
    <row r="937" spans="3:3">
      <c r="C937"/>
    </row>
    <row r="938" spans="3:3">
      <c r="C938"/>
    </row>
    <row r="939" spans="3:3">
      <c r="C939"/>
    </row>
    <row r="940" spans="3:3">
      <c r="C940"/>
    </row>
    <row r="941" spans="3:3">
      <c r="C941"/>
    </row>
    <row r="942" spans="3:3">
      <c r="C942"/>
    </row>
    <row r="943" spans="3:3">
      <c r="C943"/>
    </row>
    <row r="944" spans="3:3">
      <c r="C944"/>
    </row>
    <row r="945" spans="3:3">
      <c r="C945"/>
    </row>
    <row r="946" spans="3:3">
      <c r="C946"/>
    </row>
    <row r="947" spans="3:3">
      <c r="C947"/>
    </row>
    <row r="948" spans="3:3">
      <c r="C948"/>
    </row>
    <row r="949" spans="3:3">
      <c r="C949"/>
    </row>
    <row r="950" spans="3:3">
      <c r="C950"/>
    </row>
    <row r="951" spans="3:3">
      <c r="C951"/>
    </row>
    <row r="952" spans="3:3">
      <c r="C952"/>
    </row>
    <row r="953" spans="3:3">
      <c r="C953"/>
    </row>
    <row r="954" spans="3:3">
      <c r="C954"/>
    </row>
    <row r="955" spans="3:3">
      <c r="C955"/>
    </row>
    <row r="956" spans="3:3">
      <c r="C956"/>
    </row>
    <row r="957" spans="3:3">
      <c r="C957"/>
    </row>
    <row r="958" spans="3:3">
      <c r="C958"/>
    </row>
    <row r="959" spans="3:3">
      <c r="C959"/>
    </row>
    <row r="960" spans="3:3">
      <c r="C960"/>
    </row>
    <row r="961" spans="3:3">
      <c r="C961"/>
    </row>
    <row r="962" spans="3:3">
      <c r="C962"/>
    </row>
    <row r="963" spans="3:3">
      <c r="C963"/>
    </row>
    <row r="964" spans="3:3">
      <c r="C964"/>
    </row>
    <row r="965" spans="3:3">
      <c r="C965"/>
    </row>
    <row r="966" spans="3:3">
      <c r="C966"/>
    </row>
    <row r="967" spans="3:3">
      <c r="C967"/>
    </row>
    <row r="968" spans="3:3">
      <c r="C968"/>
    </row>
    <row r="969" spans="3:3">
      <c r="C969"/>
    </row>
    <row r="970" spans="3:3">
      <c r="C970"/>
    </row>
    <row r="971" spans="3:3">
      <c r="C971"/>
    </row>
    <row r="972" spans="3:3">
      <c r="C972"/>
    </row>
    <row r="973" spans="3:3">
      <c r="C973"/>
    </row>
    <row r="974" spans="3:3">
      <c r="C974"/>
    </row>
    <row r="975" spans="3:3">
      <c r="C975"/>
    </row>
    <row r="976" spans="3:3">
      <c r="C976"/>
    </row>
    <row r="977" spans="3:3">
      <c r="C977"/>
    </row>
    <row r="978" spans="3:3">
      <c r="C978"/>
    </row>
    <row r="979" spans="3:3">
      <c r="C979"/>
    </row>
    <row r="980" spans="3:3">
      <c r="C980"/>
    </row>
    <row r="981" spans="3:3">
      <c r="C981"/>
    </row>
    <row r="982" spans="3:3">
      <c r="C982"/>
    </row>
    <row r="983" spans="3:3">
      <c r="C983"/>
    </row>
    <row r="984" spans="3:3">
      <c r="C984"/>
    </row>
    <row r="985" spans="3:3">
      <c r="C985"/>
    </row>
    <row r="986" spans="3:3">
      <c r="C986"/>
    </row>
    <row r="987" spans="3:3">
      <c r="C987"/>
    </row>
    <row r="988" spans="3:3">
      <c r="C988"/>
    </row>
    <row r="989" spans="3:3">
      <c r="C989"/>
    </row>
    <row r="990" spans="3:3">
      <c r="C990"/>
    </row>
    <row r="991" spans="3:3">
      <c r="C991"/>
    </row>
    <row r="992" spans="3:3">
      <c r="C992"/>
    </row>
    <row r="993" spans="3:3">
      <c r="C993"/>
    </row>
    <row r="994" spans="3:3">
      <c r="C994"/>
    </row>
    <row r="995" spans="3:3">
      <c r="C995"/>
    </row>
    <row r="996" spans="3:3">
      <c r="C996"/>
    </row>
    <row r="997" spans="3:3">
      <c r="C997"/>
    </row>
    <row r="998" spans="3:3">
      <c r="C998"/>
    </row>
    <row r="999" spans="3:3">
      <c r="C999"/>
    </row>
    <row r="1000" spans="3:3">
      <c r="C1000"/>
    </row>
    <row r="1001" spans="3:3">
      <c r="C1001"/>
    </row>
    <row r="1002" spans="3:3">
      <c r="C1002"/>
    </row>
    <row r="1003" spans="3:3">
      <c r="C1003"/>
    </row>
    <row r="1004" spans="3:3">
      <c r="C1004"/>
    </row>
    <row r="1005" spans="3:3">
      <c r="C1005"/>
    </row>
    <row r="1006" spans="3:3">
      <c r="C1006"/>
    </row>
    <row r="1007" spans="3:3">
      <c r="C1007"/>
    </row>
    <row r="1008" spans="3:3">
      <c r="C1008"/>
    </row>
    <row r="1009" spans="3:3">
      <c r="C1009"/>
    </row>
    <row r="1010" spans="3:3">
      <c r="C1010"/>
    </row>
    <row r="1011" spans="3:3">
      <c r="C1011"/>
    </row>
    <row r="1012" spans="3:3">
      <c r="C1012"/>
    </row>
    <row r="1013" spans="3:3">
      <c r="C1013"/>
    </row>
    <row r="1014" spans="3:3">
      <c r="C1014"/>
    </row>
    <row r="1015" spans="3:3">
      <c r="C1015"/>
    </row>
    <row r="1016" spans="3:3">
      <c r="C1016"/>
    </row>
    <row r="1017" spans="3:3">
      <c r="C1017"/>
    </row>
    <row r="1018" spans="3:3">
      <c r="C1018"/>
    </row>
    <row r="1019" spans="3:3">
      <c r="C1019"/>
    </row>
    <row r="1020" spans="3:3">
      <c r="C1020"/>
    </row>
    <row r="1021" spans="3:3">
      <c r="C1021"/>
    </row>
    <row r="1022" spans="3:3">
      <c r="C1022"/>
    </row>
    <row r="1023" spans="3:3">
      <c r="C1023"/>
    </row>
    <row r="1024" spans="3:3">
      <c r="C1024"/>
    </row>
    <row r="1025" spans="3:3">
      <c r="C1025"/>
    </row>
    <row r="1026" spans="3:3">
      <c r="C1026"/>
    </row>
    <row r="1027" spans="3:3">
      <c r="C1027"/>
    </row>
    <row r="1028" spans="3:3">
      <c r="C1028"/>
    </row>
    <row r="1029" spans="3:3">
      <c r="C1029"/>
    </row>
    <row r="1030" spans="3:3">
      <c r="C1030"/>
    </row>
    <row r="1031" spans="3:3">
      <c r="C1031"/>
    </row>
    <row r="1032" spans="3:3">
      <c r="C1032"/>
    </row>
    <row r="1033" spans="3:3">
      <c r="C1033"/>
    </row>
    <row r="1034" spans="3:3">
      <c r="C1034"/>
    </row>
    <row r="1035" spans="3:3">
      <c r="C1035"/>
    </row>
    <row r="1036" spans="3:3">
      <c r="C1036"/>
    </row>
    <row r="1037" spans="3:3">
      <c r="C1037"/>
    </row>
    <row r="1038" spans="3:3">
      <c r="C1038"/>
    </row>
    <row r="1039" spans="3:3">
      <c r="C1039"/>
    </row>
    <row r="1040" spans="3:3">
      <c r="C1040"/>
    </row>
    <row r="1041" spans="3:3">
      <c r="C1041"/>
    </row>
    <row r="1042" spans="3:3">
      <c r="C1042"/>
    </row>
    <row r="1043" spans="3:3">
      <c r="C1043"/>
    </row>
    <row r="1044" spans="3:3">
      <c r="C1044"/>
    </row>
    <row r="1045" spans="3:3">
      <c r="C1045"/>
    </row>
    <row r="1046" spans="3:3">
      <c r="C1046"/>
    </row>
    <row r="1047" spans="3:3">
      <c r="C1047"/>
    </row>
    <row r="1048" spans="3:3">
      <c r="C1048"/>
    </row>
    <row r="1049" spans="3:3">
      <c r="C1049"/>
    </row>
    <row r="1050" spans="3:3">
      <c r="C1050"/>
    </row>
    <row r="1051" spans="3:3">
      <c r="C1051"/>
    </row>
    <row r="1052" spans="3:3">
      <c r="C1052"/>
    </row>
    <row r="1053" spans="3:3">
      <c r="C1053"/>
    </row>
    <row r="1054" spans="3:3">
      <c r="C1054"/>
    </row>
    <row r="1055" spans="3:3">
      <c r="C1055"/>
    </row>
    <row r="1056" spans="3:3">
      <c r="C1056"/>
    </row>
    <row r="1057" spans="3:3">
      <c r="C1057"/>
    </row>
    <row r="1058" spans="3:3">
      <c r="C1058"/>
    </row>
    <row r="1059" spans="3:3">
      <c r="C1059"/>
    </row>
    <row r="1060" spans="3:3">
      <c r="C1060"/>
    </row>
    <row r="1061" spans="3:3">
      <c r="C1061"/>
    </row>
    <row r="1062" spans="3:3">
      <c r="C1062"/>
    </row>
    <row r="1063" spans="3:3">
      <c r="C1063"/>
    </row>
    <row r="1064" spans="3:3">
      <c r="C1064"/>
    </row>
    <row r="1065" spans="3:3">
      <c r="C1065"/>
    </row>
    <row r="1066" spans="3:3">
      <c r="C1066"/>
    </row>
    <row r="1067" spans="3:3">
      <c r="C1067"/>
    </row>
    <row r="1068" spans="3:3">
      <c r="C1068"/>
    </row>
    <row r="1069" spans="3:3">
      <c r="C1069"/>
    </row>
    <row r="1070" spans="3:3">
      <c r="C1070"/>
    </row>
    <row r="1071" spans="3:3">
      <c r="C1071"/>
    </row>
    <row r="1072" spans="3:3">
      <c r="C1072"/>
    </row>
    <row r="1073" spans="3:3">
      <c r="C1073"/>
    </row>
    <row r="1074" spans="3:3">
      <c r="C1074"/>
    </row>
    <row r="1075" spans="3:3">
      <c r="C1075"/>
    </row>
    <row r="1076" spans="3:3">
      <c r="C1076"/>
    </row>
    <row r="1077" spans="3:3">
      <c r="C1077"/>
    </row>
    <row r="1078" spans="3:3">
      <c r="C1078"/>
    </row>
    <row r="1079" spans="3:3">
      <c r="C1079"/>
    </row>
    <row r="1080" spans="3:3">
      <c r="C1080"/>
    </row>
    <row r="1081" spans="3:3">
      <c r="C1081"/>
    </row>
    <row r="1082" spans="3:3">
      <c r="C1082"/>
    </row>
    <row r="1083" spans="3:3">
      <c r="C1083"/>
    </row>
    <row r="1084" spans="3:3">
      <c r="C1084"/>
    </row>
    <row r="1085" spans="3:3">
      <c r="C1085"/>
    </row>
    <row r="1086" spans="3:3">
      <c r="C1086"/>
    </row>
    <row r="1087" spans="3:3">
      <c r="C1087"/>
    </row>
    <row r="1088" spans="3:3">
      <c r="C1088"/>
    </row>
    <row r="1089" spans="3:3">
      <c r="C1089"/>
    </row>
    <row r="1090" spans="3:3">
      <c r="C1090"/>
    </row>
    <row r="1091" spans="3:3">
      <c r="C1091"/>
    </row>
    <row r="1092" spans="3:3">
      <c r="C1092"/>
    </row>
    <row r="1093" spans="3:3">
      <c r="C1093"/>
    </row>
    <row r="1094" spans="3:3">
      <c r="C1094"/>
    </row>
    <row r="1095" spans="3:3">
      <c r="C1095"/>
    </row>
    <row r="1096" spans="3:3">
      <c r="C1096"/>
    </row>
    <row r="1097" spans="3:3">
      <c r="C1097"/>
    </row>
    <row r="1098" spans="3:3">
      <c r="C1098"/>
    </row>
    <row r="1099" spans="3:3">
      <c r="C1099"/>
    </row>
    <row r="1100" spans="3:3">
      <c r="C1100"/>
    </row>
    <row r="1101" spans="3:3">
      <c r="C1101"/>
    </row>
    <row r="1102" spans="3:3">
      <c r="C1102"/>
    </row>
    <row r="1103" spans="3:3">
      <c r="C1103"/>
    </row>
    <row r="1104" spans="3:3">
      <c r="C1104"/>
    </row>
    <row r="1105" spans="3:3">
      <c r="C1105"/>
    </row>
    <row r="1106" spans="3:3">
      <c r="C1106"/>
    </row>
    <row r="1107" spans="3:3">
      <c r="C1107"/>
    </row>
    <row r="1108" spans="3:3">
      <c r="C1108"/>
    </row>
    <row r="1109" spans="3:3">
      <c r="C1109"/>
    </row>
    <row r="1110" spans="3:3">
      <c r="C1110"/>
    </row>
    <row r="1111" spans="3:3">
      <c r="C1111"/>
    </row>
    <row r="1112" spans="3:3">
      <c r="C1112"/>
    </row>
    <row r="1113" spans="3:3">
      <c r="C1113"/>
    </row>
    <row r="1114" spans="3:3">
      <c r="C1114"/>
    </row>
    <row r="1115" spans="3:3">
      <c r="C1115"/>
    </row>
    <row r="1116" spans="3:3">
      <c r="C1116"/>
    </row>
    <row r="1117" spans="3:3">
      <c r="C1117"/>
    </row>
    <row r="1118" spans="3:3">
      <c r="C1118"/>
    </row>
    <row r="1119" spans="3:3">
      <c r="C1119"/>
    </row>
    <row r="1120" spans="3:3">
      <c r="C1120"/>
    </row>
    <row r="1121" spans="3:3">
      <c r="C1121"/>
    </row>
    <row r="1122" spans="3:3">
      <c r="C1122"/>
    </row>
    <row r="1123" spans="3:3">
      <c r="C1123"/>
    </row>
    <row r="1124" spans="3:3">
      <c r="C1124"/>
    </row>
    <row r="1125" spans="3:3">
      <c r="C1125"/>
    </row>
    <row r="1126" spans="3:3">
      <c r="C1126"/>
    </row>
    <row r="1127" spans="3:3">
      <c r="C1127"/>
    </row>
    <row r="1128" spans="3:3">
      <c r="C1128"/>
    </row>
    <row r="1129" spans="3:3">
      <c r="C1129"/>
    </row>
    <row r="1130" spans="3:3">
      <c r="C1130"/>
    </row>
    <row r="1131" spans="3:3">
      <c r="C1131"/>
    </row>
    <row r="1132" spans="3:3">
      <c r="C1132"/>
    </row>
    <row r="1133" spans="3:3">
      <c r="C1133"/>
    </row>
    <row r="1134" spans="3:3">
      <c r="C1134"/>
    </row>
    <row r="1135" spans="3:3">
      <c r="C1135"/>
    </row>
    <row r="1136" spans="3:3">
      <c r="C1136"/>
    </row>
    <row r="1137" spans="3:3">
      <c r="C1137"/>
    </row>
    <row r="1138" spans="3:3">
      <c r="C1138"/>
    </row>
    <row r="1139" spans="3:3">
      <c r="C1139"/>
    </row>
    <row r="1140" spans="3:3">
      <c r="C1140"/>
    </row>
    <row r="1141" spans="3:3">
      <c r="C1141"/>
    </row>
    <row r="1142" spans="3:3">
      <c r="C1142"/>
    </row>
    <row r="1143" spans="3:3">
      <c r="C1143"/>
    </row>
    <row r="1144" spans="3:3">
      <c r="C1144"/>
    </row>
    <row r="1145" spans="3:3">
      <c r="C1145"/>
    </row>
    <row r="1146" spans="3:3">
      <c r="C1146"/>
    </row>
    <row r="1147" spans="3:3">
      <c r="C1147"/>
    </row>
    <row r="1148" spans="3:3">
      <c r="C1148"/>
    </row>
    <row r="1149" spans="3:3">
      <c r="C1149"/>
    </row>
    <row r="1150" spans="3:3">
      <c r="C1150"/>
    </row>
    <row r="1151" spans="3:3">
      <c r="C1151"/>
    </row>
    <row r="1152" spans="3:3">
      <c r="C1152"/>
    </row>
    <row r="1153" spans="3:3">
      <c r="C1153"/>
    </row>
    <row r="1154" spans="3:3">
      <c r="C1154"/>
    </row>
    <row r="1155" spans="3:3">
      <c r="C1155"/>
    </row>
    <row r="1156" spans="3:3">
      <c r="C1156"/>
    </row>
    <row r="1157" spans="3:3">
      <c r="C1157"/>
    </row>
    <row r="1158" spans="3:3">
      <c r="C1158"/>
    </row>
    <row r="1159" spans="3:3">
      <c r="C1159"/>
    </row>
    <row r="1160" spans="3:3">
      <c r="C1160"/>
    </row>
    <row r="1161" spans="3:3">
      <c r="C1161"/>
    </row>
    <row r="1162" spans="3:3">
      <c r="C1162"/>
    </row>
    <row r="1163" spans="3:3">
      <c r="C1163"/>
    </row>
    <row r="1164" spans="3:3">
      <c r="C1164"/>
    </row>
    <row r="1165" spans="3:3">
      <c r="C1165"/>
    </row>
    <row r="1166" spans="3:3">
      <c r="C1166"/>
    </row>
    <row r="1167" spans="3:3">
      <c r="C1167"/>
    </row>
    <row r="1168" spans="3:3">
      <c r="C1168"/>
    </row>
    <row r="1169" spans="3:3">
      <c r="C1169"/>
    </row>
    <row r="1170" spans="3:3">
      <c r="C1170"/>
    </row>
    <row r="1171" spans="3:3">
      <c r="C1171"/>
    </row>
    <row r="1172" spans="3:3">
      <c r="C1172"/>
    </row>
    <row r="1173" spans="3:3">
      <c r="C1173"/>
    </row>
    <row r="1174" spans="3:3">
      <c r="C1174"/>
    </row>
    <row r="1175" spans="3:3">
      <c r="C1175"/>
    </row>
    <row r="1176" spans="3:3">
      <c r="C1176"/>
    </row>
    <row r="1177" spans="3:3">
      <c r="C1177"/>
    </row>
    <row r="1178" spans="3:3">
      <c r="C1178"/>
    </row>
    <row r="1179" spans="3:3">
      <c r="C1179"/>
    </row>
    <row r="1180" spans="3:3">
      <c r="C1180"/>
    </row>
    <row r="1181" spans="3:3">
      <c r="C1181"/>
    </row>
    <row r="1182" spans="3:3">
      <c r="C1182"/>
    </row>
    <row r="1183" spans="3:3">
      <c r="C1183"/>
    </row>
    <row r="1184" spans="3:3">
      <c r="C1184"/>
    </row>
    <row r="1185" spans="3:3">
      <c r="C1185"/>
    </row>
    <row r="1186" spans="3:3">
      <c r="C1186"/>
    </row>
    <row r="1187" spans="3:3">
      <c r="C1187"/>
    </row>
    <row r="1188" spans="3:3">
      <c r="C1188"/>
    </row>
    <row r="1189" spans="3:3">
      <c r="C1189"/>
    </row>
    <row r="1190" spans="3:3">
      <c r="C1190"/>
    </row>
    <row r="1191" spans="3:3">
      <c r="C1191"/>
    </row>
    <row r="1192" spans="3:3">
      <c r="C1192"/>
    </row>
    <row r="1193" spans="3:3">
      <c r="C1193"/>
    </row>
    <row r="1194" spans="3:3">
      <c r="C1194"/>
    </row>
    <row r="1195" spans="3:3">
      <c r="C1195"/>
    </row>
    <row r="1196" spans="3:3">
      <c r="C1196"/>
    </row>
    <row r="1197" spans="3:3">
      <c r="C1197"/>
    </row>
    <row r="1198" spans="3:3">
      <c r="C1198"/>
    </row>
    <row r="1199" spans="3:3">
      <c r="C1199"/>
    </row>
    <row r="1200" spans="3:3">
      <c r="C1200"/>
    </row>
    <row r="1201" spans="3:3">
      <c r="C1201"/>
    </row>
    <row r="1202" spans="3:3">
      <c r="C1202"/>
    </row>
    <row r="1203" spans="3:3">
      <c r="C1203"/>
    </row>
    <row r="1204" spans="3:3">
      <c r="C1204"/>
    </row>
    <row r="1205" spans="3:3">
      <c r="C1205"/>
    </row>
    <row r="1206" spans="3:3">
      <c r="C1206"/>
    </row>
    <row r="1207" spans="3:3">
      <c r="C1207"/>
    </row>
    <row r="1208" spans="3:3">
      <c r="C1208"/>
    </row>
    <row r="1209" spans="3:3">
      <c r="C1209"/>
    </row>
    <row r="1210" spans="3:3">
      <c r="C1210"/>
    </row>
    <row r="1211" spans="3:3">
      <c r="C1211"/>
    </row>
    <row r="1212" spans="3:3">
      <c r="C1212"/>
    </row>
    <row r="1213" spans="3:3">
      <c r="C1213"/>
    </row>
    <row r="1214" spans="3:3">
      <c r="C1214"/>
    </row>
    <row r="1215" spans="3:3">
      <c r="C1215"/>
    </row>
    <row r="1216" spans="3:3">
      <c r="C1216"/>
    </row>
    <row r="1217" spans="3:3">
      <c r="C1217"/>
    </row>
    <row r="1218" spans="3:3">
      <c r="C1218"/>
    </row>
    <row r="1219" spans="3:3">
      <c r="C1219"/>
    </row>
    <row r="1220" spans="3:3">
      <c r="C1220"/>
    </row>
    <row r="1221" spans="3:3">
      <c r="C1221"/>
    </row>
    <row r="1222" spans="3:3">
      <c r="C1222"/>
    </row>
    <row r="1223" spans="3:3">
      <c r="C1223"/>
    </row>
    <row r="1224" spans="3:3">
      <c r="C1224"/>
    </row>
    <row r="1225" spans="3:3">
      <c r="C1225"/>
    </row>
    <row r="1226" spans="3:3">
      <c r="C1226"/>
    </row>
    <row r="1227" spans="3:3">
      <c r="C1227"/>
    </row>
    <row r="1228" spans="3:3">
      <c r="C1228"/>
    </row>
    <row r="1229" spans="3:3">
      <c r="C1229"/>
    </row>
    <row r="1230" spans="3:3">
      <c r="C1230"/>
    </row>
    <row r="1231" spans="3:3">
      <c r="C1231"/>
    </row>
    <row r="1232" spans="3:3">
      <c r="C1232"/>
    </row>
    <row r="1233" spans="3:3">
      <c r="C1233"/>
    </row>
    <row r="1234" spans="3:3">
      <c r="C1234"/>
    </row>
    <row r="1235" spans="3:3">
      <c r="C1235"/>
    </row>
    <row r="1236" spans="3:3">
      <c r="C1236"/>
    </row>
    <row r="1237" spans="3:3">
      <c r="C1237"/>
    </row>
    <row r="1238" spans="3:3">
      <c r="C1238"/>
    </row>
    <row r="1239" spans="3:3">
      <c r="C1239"/>
    </row>
    <row r="1240" spans="3:3">
      <c r="C1240"/>
    </row>
    <row r="1241" spans="3:3">
      <c r="C1241"/>
    </row>
    <row r="1242" spans="3:3">
      <c r="C1242"/>
    </row>
    <row r="1243" spans="3:3">
      <c r="C1243"/>
    </row>
    <row r="1244" spans="3:3">
      <c r="C1244"/>
    </row>
    <row r="1245" spans="3:3">
      <c r="C1245"/>
    </row>
    <row r="1246" spans="3:3">
      <c r="C1246"/>
    </row>
    <row r="1247" spans="3:3">
      <c r="C1247"/>
    </row>
    <row r="1248" spans="3:3">
      <c r="C1248"/>
    </row>
    <row r="1249" spans="3:3">
      <c r="C1249"/>
    </row>
    <row r="1250" spans="3:3">
      <c r="C1250"/>
    </row>
    <row r="1251" spans="3:3">
      <c r="C1251"/>
    </row>
    <row r="1252" spans="3:3">
      <c r="C1252"/>
    </row>
    <row r="1253" spans="3:3">
      <c r="C1253"/>
    </row>
    <row r="1254" spans="3:3">
      <c r="C1254"/>
    </row>
    <row r="1255" spans="3:3">
      <c r="C1255"/>
    </row>
    <row r="1256" spans="3:3">
      <c r="C1256"/>
    </row>
    <row r="1257" spans="3:3">
      <c r="C1257"/>
    </row>
    <row r="1258" spans="3:3">
      <c r="C1258"/>
    </row>
    <row r="1259" spans="3:3">
      <c r="C1259"/>
    </row>
    <row r="1260" spans="3:3">
      <c r="C1260"/>
    </row>
    <row r="1261" spans="3:3">
      <c r="C1261"/>
    </row>
    <row r="1262" spans="3:3">
      <c r="C1262"/>
    </row>
    <row r="1263" spans="3:3">
      <c r="C1263"/>
    </row>
    <row r="1264" spans="3:3">
      <c r="C1264"/>
    </row>
    <row r="1265" spans="3:3">
      <c r="C1265"/>
    </row>
    <row r="1266" spans="3:3">
      <c r="C1266"/>
    </row>
    <row r="1267" spans="3:3">
      <c r="C1267"/>
    </row>
    <row r="1268" spans="3:3">
      <c r="C1268"/>
    </row>
    <row r="1269" spans="3:3">
      <c r="C1269"/>
    </row>
    <row r="1270" spans="3:3">
      <c r="C1270"/>
    </row>
    <row r="1271" spans="3:3">
      <c r="C1271"/>
    </row>
    <row r="1272" spans="3:3">
      <c r="C1272"/>
    </row>
    <row r="1273" spans="3:3">
      <c r="C1273"/>
    </row>
    <row r="1274" spans="3:3">
      <c r="C1274"/>
    </row>
    <row r="1275" spans="3:3">
      <c r="C1275"/>
    </row>
    <row r="1276" spans="3:3">
      <c r="C1276"/>
    </row>
    <row r="1277" spans="3:3">
      <c r="C1277"/>
    </row>
    <row r="1278" spans="3:3">
      <c r="C1278"/>
    </row>
    <row r="1279" spans="3:3">
      <c r="C1279"/>
    </row>
    <row r="1280" spans="3:3">
      <c r="C1280"/>
    </row>
    <row r="1281" spans="3:3">
      <c r="C1281"/>
    </row>
    <row r="1282" spans="3:3">
      <c r="C1282"/>
    </row>
    <row r="1283" spans="3:3">
      <c r="C1283"/>
    </row>
    <row r="1284" spans="3:3">
      <c r="C1284"/>
    </row>
    <row r="1285" spans="3:3">
      <c r="C1285"/>
    </row>
    <row r="1286" spans="3:3">
      <c r="C1286"/>
    </row>
    <row r="1287" spans="3:3">
      <c r="C1287"/>
    </row>
    <row r="1288" spans="3:3">
      <c r="C1288"/>
    </row>
    <row r="1289" spans="3:3">
      <c r="C1289"/>
    </row>
    <row r="1290" spans="3:3">
      <c r="C1290"/>
    </row>
    <row r="1291" spans="3:3">
      <c r="C1291"/>
    </row>
    <row r="1292" spans="3:3">
      <c r="C1292"/>
    </row>
    <row r="1293" spans="3:3">
      <c r="C1293"/>
    </row>
    <row r="1294" spans="3:3">
      <c r="C1294"/>
    </row>
    <row r="1295" spans="3:3">
      <c r="C1295"/>
    </row>
    <row r="1296" spans="3:3">
      <c r="C1296"/>
    </row>
    <row r="1297" spans="3:3">
      <c r="C1297"/>
    </row>
    <row r="1298" spans="3:3">
      <c r="C1298"/>
    </row>
    <row r="1299" spans="3:3">
      <c r="C1299"/>
    </row>
    <row r="1300" spans="3:3">
      <c r="C1300"/>
    </row>
    <row r="1301" spans="3:3">
      <c r="C1301"/>
    </row>
    <row r="1302" spans="3:3">
      <c r="C1302"/>
    </row>
    <row r="1303" spans="3:3">
      <c r="C1303"/>
    </row>
    <row r="1304" spans="3:3">
      <c r="C1304"/>
    </row>
    <row r="1305" spans="3:3">
      <c r="C1305"/>
    </row>
    <row r="1306" spans="3:3">
      <c r="C1306"/>
    </row>
    <row r="1307" spans="3:3">
      <c r="C1307"/>
    </row>
    <row r="1308" spans="3:3">
      <c r="C1308"/>
    </row>
    <row r="1309" spans="3:3">
      <c r="C1309"/>
    </row>
    <row r="1310" spans="3:3">
      <c r="C1310"/>
    </row>
    <row r="1311" spans="3:3">
      <c r="C1311"/>
    </row>
    <row r="1312" spans="3:3">
      <c r="C1312"/>
    </row>
    <row r="1313" spans="3:3">
      <c r="C1313"/>
    </row>
    <row r="1314" spans="3:3">
      <c r="C1314"/>
    </row>
    <row r="1315" spans="3:3">
      <c r="C1315"/>
    </row>
    <row r="1316" spans="3:3">
      <c r="C1316"/>
    </row>
    <row r="1317" spans="3:3">
      <c r="C1317"/>
    </row>
    <row r="1318" spans="3:3">
      <c r="C1318"/>
    </row>
    <row r="1319" spans="3:3">
      <c r="C1319"/>
    </row>
    <row r="1320" spans="3:3">
      <c r="C1320"/>
    </row>
    <row r="1321" spans="3:3">
      <c r="C1321"/>
    </row>
    <row r="1322" spans="3:3">
      <c r="C1322"/>
    </row>
    <row r="1323" spans="3:3">
      <c r="C1323"/>
    </row>
    <row r="1324" spans="3:3">
      <c r="C1324"/>
    </row>
    <row r="1325" spans="3:3">
      <c r="C1325"/>
    </row>
    <row r="1326" spans="3:3">
      <c r="C1326"/>
    </row>
    <row r="1327" spans="3:3">
      <c r="C1327"/>
    </row>
    <row r="1328" spans="3:3">
      <c r="C1328"/>
    </row>
    <row r="1329" spans="3:3">
      <c r="C1329"/>
    </row>
    <row r="1330" spans="3:3">
      <c r="C1330"/>
    </row>
    <row r="1331" spans="3:3">
      <c r="C1331"/>
    </row>
    <row r="1332" spans="3:3">
      <c r="C1332"/>
    </row>
    <row r="1333" spans="3:3">
      <c r="C1333"/>
    </row>
    <row r="1334" spans="3:3">
      <c r="C1334"/>
    </row>
    <row r="1335" spans="3:3">
      <c r="C1335"/>
    </row>
    <row r="1336" spans="3:3">
      <c r="C1336"/>
    </row>
    <row r="1337" spans="3:3">
      <c r="C1337"/>
    </row>
    <row r="1338" spans="3:3">
      <c r="C1338"/>
    </row>
    <row r="1339" spans="3:3">
      <c r="C1339"/>
    </row>
    <row r="1340" spans="3:3">
      <c r="C1340"/>
    </row>
    <row r="1341" spans="3:3">
      <c r="C1341"/>
    </row>
    <row r="1342" spans="3:3">
      <c r="C1342"/>
    </row>
    <row r="1343" spans="3:3">
      <c r="C1343"/>
    </row>
    <row r="1344" spans="3:3">
      <c r="C1344"/>
    </row>
    <row r="1345" spans="3:3">
      <c r="C1345"/>
    </row>
    <row r="1346" spans="3:3">
      <c r="C1346"/>
    </row>
    <row r="1347" spans="3:3">
      <c r="C1347"/>
    </row>
    <row r="1348" spans="3:3">
      <c r="C1348"/>
    </row>
    <row r="1349" spans="3:3">
      <c r="C1349"/>
    </row>
    <row r="1350" spans="3:3">
      <c r="C1350"/>
    </row>
    <row r="1351" spans="3:3">
      <c r="C1351"/>
    </row>
    <row r="1352" spans="3:3">
      <c r="C1352"/>
    </row>
    <row r="1353" spans="3:3">
      <c r="C1353"/>
    </row>
    <row r="1354" spans="3:3">
      <c r="C1354"/>
    </row>
    <row r="1355" spans="3:3">
      <c r="C1355"/>
    </row>
    <row r="1356" spans="3:3">
      <c r="C1356"/>
    </row>
    <row r="1357" spans="3:3">
      <c r="C1357"/>
    </row>
    <row r="1358" spans="3:3">
      <c r="C1358"/>
    </row>
    <row r="1359" spans="3:3">
      <c r="C1359"/>
    </row>
    <row r="1360" spans="3:3">
      <c r="C1360"/>
    </row>
    <row r="1361" spans="3:3">
      <c r="C1361"/>
    </row>
    <row r="1362" spans="3:3">
      <c r="C1362"/>
    </row>
    <row r="1363" spans="3:3">
      <c r="C1363"/>
    </row>
    <row r="1364" spans="3:3">
      <c r="C1364"/>
    </row>
    <row r="1365" spans="3:3">
      <c r="C1365"/>
    </row>
    <row r="1366" spans="3:3">
      <c r="C1366"/>
    </row>
    <row r="1367" spans="3:3">
      <c r="C1367"/>
    </row>
    <row r="1368" spans="3:3">
      <c r="C1368"/>
    </row>
    <row r="1369" spans="3:3">
      <c r="C1369"/>
    </row>
    <row r="1370" spans="3:3">
      <c r="C1370"/>
    </row>
    <row r="1371" spans="3:3">
      <c r="C1371"/>
    </row>
    <row r="1372" spans="3:3">
      <c r="C1372"/>
    </row>
    <row r="1373" spans="3:3">
      <c r="C1373"/>
    </row>
    <row r="1374" spans="3:3">
      <c r="C1374"/>
    </row>
    <row r="1375" spans="3:3">
      <c r="C1375"/>
    </row>
    <row r="1376" spans="3:3">
      <c r="C1376"/>
    </row>
    <row r="1377" spans="3:3">
      <c r="C1377"/>
    </row>
    <row r="1378" spans="3:3">
      <c r="C1378"/>
    </row>
    <row r="1379" spans="3:3">
      <c r="C1379"/>
    </row>
    <row r="1380" spans="3:3">
      <c r="C1380"/>
    </row>
    <row r="1381" spans="3:3">
      <c r="C1381"/>
    </row>
    <row r="1382" spans="3:3">
      <c r="C1382"/>
    </row>
    <row r="1383" spans="3:3">
      <c r="C1383"/>
    </row>
    <row r="1384" spans="3:3">
      <c r="C1384"/>
    </row>
    <row r="1385" spans="3:3">
      <c r="C1385"/>
    </row>
    <row r="1386" spans="3:3">
      <c r="C1386"/>
    </row>
    <row r="1387" spans="3:3">
      <c r="C1387"/>
    </row>
    <row r="1388" spans="3:3">
      <c r="C1388"/>
    </row>
    <row r="1389" spans="3:3">
      <c r="C1389"/>
    </row>
    <row r="1390" spans="3:3">
      <c r="C1390"/>
    </row>
    <row r="1391" spans="3:3">
      <c r="C1391"/>
    </row>
    <row r="1392" spans="3:3">
      <c r="C1392"/>
    </row>
    <row r="1393" spans="3:3">
      <c r="C1393"/>
    </row>
    <row r="1394" spans="3:3">
      <c r="C1394"/>
    </row>
    <row r="1395" spans="3:3">
      <c r="C1395"/>
    </row>
    <row r="1396" spans="3:3">
      <c r="C1396"/>
    </row>
    <row r="1397" spans="3:3">
      <c r="C1397"/>
    </row>
    <row r="1398" spans="3:3">
      <c r="C1398"/>
    </row>
    <row r="1399" spans="3:3">
      <c r="C1399"/>
    </row>
    <row r="1400" spans="3:3">
      <c r="C1400"/>
    </row>
    <row r="1401" spans="3:3">
      <c r="C1401"/>
    </row>
    <row r="1402" spans="3:3">
      <c r="C1402"/>
    </row>
    <row r="1403" spans="3:3">
      <c r="C1403"/>
    </row>
    <row r="1404" spans="3:3">
      <c r="C1404"/>
    </row>
    <row r="1405" spans="3:3">
      <c r="C1405"/>
    </row>
    <row r="1406" spans="3:3">
      <c r="C1406"/>
    </row>
    <row r="1407" spans="3:3">
      <c r="C1407"/>
    </row>
    <row r="1408" spans="3:3">
      <c r="C1408"/>
    </row>
    <row r="1409" spans="3:3">
      <c r="C1409"/>
    </row>
    <row r="1410" spans="3:3">
      <c r="C1410"/>
    </row>
    <row r="1411" spans="3:3">
      <c r="C1411"/>
    </row>
    <row r="1412" spans="3:3">
      <c r="C1412"/>
    </row>
    <row r="1413" spans="3:3">
      <c r="C1413"/>
    </row>
    <row r="1414" spans="3:3">
      <c r="C1414"/>
    </row>
    <row r="1415" spans="3:3">
      <c r="C1415"/>
    </row>
    <row r="1416" spans="3:3">
      <c r="C1416"/>
    </row>
    <row r="1417" spans="3:3">
      <c r="C1417"/>
    </row>
    <row r="1418" spans="3:3">
      <c r="C1418"/>
    </row>
    <row r="1419" spans="3:3">
      <c r="C1419"/>
    </row>
    <row r="1420" spans="3:3">
      <c r="C1420"/>
    </row>
    <row r="1421" spans="3:3">
      <c r="C1421"/>
    </row>
    <row r="1422" spans="3:3">
      <c r="C1422"/>
    </row>
    <row r="1423" spans="3:3">
      <c r="C1423"/>
    </row>
    <row r="1424" spans="3:3">
      <c r="C1424"/>
    </row>
    <row r="1425" spans="3:3">
      <c r="C1425"/>
    </row>
    <row r="1426" spans="3:3">
      <c r="C1426"/>
    </row>
    <row r="1427" spans="3:3">
      <c r="C1427"/>
    </row>
    <row r="1428" spans="3:3">
      <c r="C1428"/>
    </row>
    <row r="1429" spans="3:3">
      <c r="C1429"/>
    </row>
    <row r="1430" spans="3:3">
      <c r="C1430"/>
    </row>
    <row r="1431" spans="3:3">
      <c r="C1431"/>
    </row>
    <row r="1432" spans="3:3">
      <c r="C1432"/>
    </row>
    <row r="1433" spans="3:3">
      <c r="C1433"/>
    </row>
    <row r="1434" spans="3:3">
      <c r="C1434"/>
    </row>
    <row r="1435" spans="3:3">
      <c r="C1435"/>
    </row>
    <row r="1436" spans="3:3">
      <c r="C1436"/>
    </row>
    <row r="1437" spans="3:3">
      <c r="C1437"/>
    </row>
    <row r="1438" spans="3:3">
      <c r="C1438"/>
    </row>
    <row r="1439" spans="3:3">
      <c r="C1439"/>
    </row>
    <row r="1440" spans="3:3">
      <c r="C1440"/>
    </row>
    <row r="1441" spans="3:3">
      <c r="C1441"/>
    </row>
    <row r="1442" spans="3:3">
      <c r="C1442"/>
    </row>
    <row r="1443" spans="3:3">
      <c r="C1443"/>
    </row>
    <row r="1444" spans="3:3">
      <c r="C1444"/>
    </row>
    <row r="1445" spans="3:3">
      <c r="C1445"/>
    </row>
    <row r="1446" spans="3:3">
      <c r="C1446"/>
    </row>
    <row r="1447" spans="3:3">
      <c r="C1447"/>
    </row>
    <row r="1448" spans="3:3">
      <c r="C1448"/>
    </row>
    <row r="1449" spans="3:3">
      <c r="C1449"/>
    </row>
    <row r="1450" spans="3:3">
      <c r="C1450"/>
    </row>
    <row r="1451" spans="3:3">
      <c r="C1451"/>
    </row>
    <row r="1452" spans="3:3">
      <c r="C1452"/>
    </row>
    <row r="1453" spans="3:3">
      <c r="C1453"/>
    </row>
    <row r="1454" spans="3:3">
      <c r="C1454"/>
    </row>
    <row r="1455" spans="3:3">
      <c r="C1455"/>
    </row>
    <row r="1456" spans="3:3">
      <c r="C1456"/>
    </row>
    <row r="1457" spans="3:3">
      <c r="C1457"/>
    </row>
    <row r="1458" spans="3:3">
      <c r="C1458"/>
    </row>
    <row r="1459" spans="3:3">
      <c r="C1459"/>
    </row>
    <row r="1460" spans="3:3">
      <c r="C1460"/>
    </row>
    <row r="1461" spans="3:3">
      <c r="C1461"/>
    </row>
    <row r="1462" spans="3:3">
      <c r="C1462"/>
    </row>
    <row r="1463" spans="3:3">
      <c r="C1463"/>
    </row>
    <row r="1464" spans="3:3">
      <c r="C1464"/>
    </row>
    <row r="1465" spans="3:3">
      <c r="C1465"/>
    </row>
    <row r="1466" spans="3:3">
      <c r="C1466"/>
    </row>
    <row r="1467" spans="3:3">
      <c r="C1467"/>
    </row>
    <row r="1468" spans="3:3">
      <c r="C1468"/>
    </row>
    <row r="1469" spans="3:3">
      <c r="C1469"/>
    </row>
    <row r="1470" spans="3:3">
      <c r="C1470"/>
    </row>
    <row r="1471" spans="3:3">
      <c r="C1471"/>
    </row>
    <row r="1472" spans="3:3">
      <c r="C1472"/>
    </row>
    <row r="1473" spans="3:3">
      <c r="C1473"/>
    </row>
    <row r="1474" spans="3:3">
      <c r="C1474"/>
    </row>
    <row r="1475" spans="3:3">
      <c r="C1475"/>
    </row>
    <row r="1476" spans="3:3">
      <c r="C1476"/>
    </row>
    <row r="1477" spans="3:3">
      <c r="C1477"/>
    </row>
    <row r="1478" spans="3:3">
      <c r="C1478"/>
    </row>
    <row r="1479" spans="3:3">
      <c r="C1479"/>
    </row>
    <row r="1480" spans="3:3">
      <c r="C1480"/>
    </row>
    <row r="1481" spans="3:3">
      <c r="C1481"/>
    </row>
    <row r="1482" spans="3:3">
      <c r="C1482"/>
    </row>
    <row r="1483" spans="3:3">
      <c r="C1483"/>
    </row>
    <row r="1484" spans="3:3">
      <c r="C1484"/>
    </row>
    <row r="1485" spans="3:3">
      <c r="C1485"/>
    </row>
    <row r="1486" spans="3:3">
      <c r="C1486"/>
    </row>
    <row r="1487" spans="3:3">
      <c r="C1487"/>
    </row>
    <row r="1488" spans="3:3">
      <c r="C1488"/>
    </row>
    <row r="1489" spans="3:3">
      <c r="C1489"/>
    </row>
    <row r="1490" spans="3:3">
      <c r="C1490"/>
    </row>
    <row r="1491" spans="3:3">
      <c r="C1491"/>
    </row>
    <row r="1492" spans="3:3">
      <c r="C1492"/>
    </row>
    <row r="1493" spans="3:3">
      <c r="C1493"/>
    </row>
    <row r="1494" spans="3:3">
      <c r="C1494"/>
    </row>
    <row r="1495" spans="3:3">
      <c r="C1495"/>
    </row>
    <row r="1496" spans="3:3">
      <c r="C1496"/>
    </row>
    <row r="1497" spans="3:3">
      <c r="C1497"/>
    </row>
    <row r="1498" spans="3:3">
      <c r="C1498"/>
    </row>
    <row r="1499" spans="3:3">
      <c r="C1499"/>
    </row>
    <row r="1500" spans="3:3">
      <c r="C1500"/>
    </row>
    <row r="1501" spans="3:3">
      <c r="C1501"/>
    </row>
    <row r="1502" spans="3:3">
      <c r="C1502"/>
    </row>
    <row r="1503" spans="3:3">
      <c r="C1503"/>
    </row>
    <row r="1504" spans="3:3">
      <c r="C1504"/>
    </row>
    <row r="1505" spans="3:3">
      <c r="C1505"/>
    </row>
    <row r="1506" spans="3:3">
      <c r="C1506"/>
    </row>
    <row r="1507" spans="3:3">
      <c r="C1507"/>
    </row>
    <row r="1508" spans="3:3">
      <c r="C1508"/>
    </row>
    <row r="1509" spans="3:3">
      <c r="C1509"/>
    </row>
    <row r="1510" spans="3:3">
      <c r="C1510"/>
    </row>
    <row r="1511" spans="3:3">
      <c r="C1511"/>
    </row>
    <row r="1512" spans="3:3">
      <c r="C1512"/>
    </row>
    <row r="1513" spans="3:3">
      <c r="C1513"/>
    </row>
    <row r="1514" spans="3:3">
      <c r="C1514"/>
    </row>
    <row r="1515" spans="3:3">
      <c r="C1515"/>
    </row>
    <row r="1516" spans="3:3">
      <c r="C1516"/>
    </row>
    <row r="1517" spans="3:3">
      <c r="C1517"/>
    </row>
    <row r="1518" spans="3:3">
      <c r="C1518"/>
    </row>
    <row r="1519" spans="3:3">
      <c r="C1519"/>
    </row>
    <row r="1520" spans="3:3">
      <c r="C1520"/>
    </row>
    <row r="1521" spans="3:3">
      <c r="C1521"/>
    </row>
    <row r="1522" spans="3:3">
      <c r="C1522"/>
    </row>
    <row r="1523" spans="3:3">
      <c r="C1523"/>
    </row>
    <row r="1524" spans="3:3">
      <c r="C1524"/>
    </row>
    <row r="1525" spans="3:3">
      <c r="C1525"/>
    </row>
    <row r="1526" spans="3:3">
      <c r="C1526"/>
    </row>
    <row r="1527" spans="3:3">
      <c r="C1527"/>
    </row>
    <row r="1528" spans="3:3">
      <c r="C1528"/>
    </row>
    <row r="1529" spans="3:3">
      <c r="C1529"/>
    </row>
    <row r="1530" spans="3:3">
      <c r="C1530"/>
    </row>
    <row r="1531" spans="3:3">
      <c r="C1531"/>
    </row>
    <row r="1532" spans="3:3">
      <c r="C1532"/>
    </row>
    <row r="1533" spans="3:3">
      <c r="C1533"/>
    </row>
    <row r="1534" spans="3:3">
      <c r="C1534"/>
    </row>
    <row r="1535" spans="3:3">
      <c r="C1535"/>
    </row>
    <row r="1536" spans="3:3">
      <c r="C1536"/>
    </row>
    <row r="1537" spans="3:3">
      <c r="C1537"/>
    </row>
    <row r="1538" spans="3:3">
      <c r="C1538"/>
    </row>
    <row r="1539" spans="3:3">
      <c r="C1539"/>
    </row>
    <row r="1540" spans="3:3">
      <c r="C1540"/>
    </row>
    <row r="1541" spans="3:3">
      <c r="C1541"/>
    </row>
    <row r="1542" spans="3:3">
      <c r="C1542"/>
    </row>
    <row r="1543" spans="3:3">
      <c r="C1543"/>
    </row>
    <row r="1544" spans="3:3">
      <c r="C1544"/>
    </row>
    <row r="1545" spans="3:3">
      <c r="C1545"/>
    </row>
    <row r="1546" spans="3:3">
      <c r="C1546"/>
    </row>
    <row r="1547" spans="3:3">
      <c r="C1547"/>
    </row>
    <row r="1548" spans="3:3">
      <c r="C1548"/>
    </row>
    <row r="1549" spans="3:3">
      <c r="C1549"/>
    </row>
    <row r="1550" spans="3:3">
      <c r="C1550"/>
    </row>
    <row r="1551" spans="3:3">
      <c r="C1551"/>
    </row>
    <row r="1552" spans="3:3">
      <c r="C1552"/>
    </row>
    <row r="1553" spans="3:3">
      <c r="C1553"/>
    </row>
    <row r="1554" spans="3:3">
      <c r="C1554"/>
    </row>
    <row r="1555" spans="3:3">
      <c r="C1555"/>
    </row>
    <row r="1556" spans="3:3">
      <c r="C1556"/>
    </row>
    <row r="1557" spans="3:3">
      <c r="C1557"/>
    </row>
    <row r="1558" spans="3:3">
      <c r="C1558"/>
    </row>
    <row r="1559" spans="3:3">
      <c r="C1559"/>
    </row>
    <row r="1560" spans="3:3">
      <c r="C1560"/>
    </row>
    <row r="1561" spans="3:3">
      <c r="C1561"/>
    </row>
    <row r="1562" spans="3:3">
      <c r="C1562"/>
    </row>
    <row r="1563" spans="3:3">
      <c r="C1563"/>
    </row>
    <row r="1564" spans="3:3">
      <c r="C1564"/>
    </row>
    <row r="1565" spans="3:3">
      <c r="C1565"/>
    </row>
    <row r="1566" spans="3:3">
      <c r="C1566"/>
    </row>
    <row r="1567" spans="3:3">
      <c r="C1567"/>
    </row>
    <row r="1568" spans="3:3">
      <c r="C1568"/>
    </row>
    <row r="1569" spans="3:3">
      <c r="C1569"/>
    </row>
    <row r="1570" spans="3:3">
      <c r="C1570"/>
    </row>
    <row r="1571" spans="3:3">
      <c r="C1571"/>
    </row>
    <row r="1572" spans="3:3">
      <c r="C1572"/>
    </row>
    <row r="1573" spans="3:3">
      <c r="C1573"/>
    </row>
    <row r="1574" spans="3:3">
      <c r="C1574"/>
    </row>
    <row r="1575" spans="3:3">
      <c r="C1575"/>
    </row>
    <row r="1576" spans="3:3">
      <c r="C1576"/>
    </row>
    <row r="1577" spans="3:3">
      <c r="C1577"/>
    </row>
    <row r="1578" spans="3:3">
      <c r="C1578"/>
    </row>
    <row r="1579" spans="3:3">
      <c r="C1579"/>
    </row>
    <row r="1580" spans="3:3">
      <c r="C1580"/>
    </row>
    <row r="1581" spans="3:3">
      <c r="C1581"/>
    </row>
    <row r="1582" spans="3:3">
      <c r="C1582"/>
    </row>
    <row r="1583" spans="3:3">
      <c r="C1583"/>
    </row>
    <row r="1584" spans="3:3">
      <c r="C1584"/>
    </row>
    <row r="1585" spans="3:3">
      <c r="C1585"/>
    </row>
    <row r="1586" spans="3:3">
      <c r="C1586"/>
    </row>
    <row r="1587" spans="3:3">
      <c r="C1587"/>
    </row>
    <row r="1588" spans="3:3">
      <c r="C1588"/>
    </row>
    <row r="1589" spans="3:3">
      <c r="C1589"/>
    </row>
    <row r="1590" spans="3:3">
      <c r="C1590"/>
    </row>
    <row r="1591" spans="3:3">
      <c r="C1591"/>
    </row>
    <row r="1592" spans="3:3">
      <c r="C1592"/>
    </row>
    <row r="1593" spans="3:3">
      <c r="C1593"/>
    </row>
    <row r="1594" spans="3:3">
      <c r="C1594"/>
    </row>
    <row r="1595" spans="3:3">
      <c r="C1595"/>
    </row>
    <row r="1596" spans="3:3">
      <c r="C1596"/>
    </row>
    <row r="1597" spans="3:3">
      <c r="C1597"/>
    </row>
    <row r="1598" spans="3:3">
      <c r="C1598"/>
    </row>
    <row r="1599" spans="3:3">
      <c r="C1599"/>
    </row>
    <row r="1600" spans="3:3">
      <c r="C1600"/>
    </row>
    <row r="1601" spans="3:3">
      <c r="C1601"/>
    </row>
    <row r="1602" spans="3:3">
      <c r="C1602"/>
    </row>
    <row r="1603" spans="3:3">
      <c r="C1603"/>
    </row>
    <row r="1604" spans="3:3">
      <c r="C1604"/>
    </row>
    <row r="1605" spans="3:3">
      <c r="C1605"/>
    </row>
    <row r="1606" spans="3:3">
      <c r="C1606"/>
    </row>
    <row r="1607" spans="3:3">
      <c r="C1607"/>
    </row>
    <row r="1608" spans="3:3">
      <c r="C1608"/>
    </row>
    <row r="1609" spans="3:3">
      <c r="C1609"/>
    </row>
    <row r="1610" spans="3:3">
      <c r="C1610"/>
    </row>
    <row r="1611" spans="3:3">
      <c r="C1611"/>
    </row>
    <row r="1612" spans="3:3">
      <c r="C1612"/>
    </row>
    <row r="1613" spans="3:3">
      <c r="C1613"/>
    </row>
    <row r="1614" spans="3:3">
      <c r="C1614"/>
    </row>
    <row r="1615" spans="3:3">
      <c r="C1615"/>
    </row>
    <row r="1616" spans="3:3">
      <c r="C1616"/>
    </row>
    <row r="1617" spans="3:3">
      <c r="C1617"/>
    </row>
    <row r="1618" spans="3:3">
      <c r="C1618"/>
    </row>
    <row r="1619" spans="3:3">
      <c r="C1619"/>
    </row>
    <row r="1620" spans="3:3">
      <c r="C1620"/>
    </row>
    <row r="1621" spans="3:3">
      <c r="C1621"/>
    </row>
    <row r="1622" spans="3:3">
      <c r="C1622"/>
    </row>
    <row r="1623" spans="3:3">
      <c r="C1623"/>
    </row>
    <row r="1624" spans="3:3">
      <c r="C1624"/>
    </row>
    <row r="1625" spans="3:3">
      <c r="C1625"/>
    </row>
    <row r="1626" spans="3:3">
      <c r="C1626"/>
    </row>
    <row r="1627" spans="3:3">
      <c r="C1627"/>
    </row>
    <row r="1628" spans="3:3">
      <c r="C1628"/>
    </row>
    <row r="1629" spans="3:3">
      <c r="C1629"/>
    </row>
    <row r="1630" spans="3:3">
      <c r="C1630"/>
    </row>
    <row r="1631" spans="3:3">
      <c r="C1631"/>
    </row>
    <row r="1632" spans="3:3">
      <c r="C1632"/>
    </row>
    <row r="1633" spans="3:3">
      <c r="C1633"/>
    </row>
    <row r="1634" spans="3:3">
      <c r="C1634"/>
    </row>
    <row r="1635" spans="3:3">
      <c r="C1635"/>
    </row>
    <row r="1636" spans="3:3">
      <c r="C1636"/>
    </row>
    <row r="1637" spans="3:3">
      <c r="C1637"/>
    </row>
    <row r="1638" spans="3:3">
      <c r="C1638"/>
    </row>
    <row r="1639" spans="3:3">
      <c r="C1639"/>
    </row>
    <row r="1640" spans="3:3">
      <c r="C1640"/>
    </row>
    <row r="1641" spans="3:3">
      <c r="C1641"/>
    </row>
    <row r="1642" spans="3:3">
      <c r="C1642"/>
    </row>
    <row r="1643" spans="3:3">
      <c r="C1643"/>
    </row>
    <row r="1644" spans="3:3">
      <c r="C1644"/>
    </row>
    <row r="1645" spans="3:3">
      <c r="C1645"/>
    </row>
    <row r="1646" spans="3:3">
      <c r="C1646"/>
    </row>
    <row r="1647" spans="3:3">
      <c r="C1647"/>
    </row>
    <row r="1648" spans="3:3">
      <c r="C1648"/>
    </row>
    <row r="1649" spans="3:3">
      <c r="C1649"/>
    </row>
    <row r="1650" spans="3:3">
      <c r="C1650"/>
    </row>
    <row r="1651" spans="3:3">
      <c r="C1651"/>
    </row>
    <row r="1652" spans="3:3">
      <c r="C1652"/>
    </row>
    <row r="1653" spans="3:3">
      <c r="C1653"/>
    </row>
    <row r="1654" spans="3:3">
      <c r="C1654"/>
    </row>
    <row r="1655" spans="3:3">
      <c r="C1655"/>
    </row>
    <row r="1656" spans="3:3">
      <c r="C1656"/>
    </row>
    <row r="1657" spans="3:3">
      <c r="C1657"/>
    </row>
    <row r="1658" spans="3:3">
      <c r="C1658"/>
    </row>
    <row r="1659" spans="3:3">
      <c r="C1659"/>
    </row>
    <row r="1660" spans="3:3">
      <c r="C1660"/>
    </row>
    <row r="1661" spans="3:3">
      <c r="C1661"/>
    </row>
    <row r="1662" spans="3:3">
      <c r="C1662"/>
    </row>
    <row r="1663" spans="3:3">
      <c r="C1663"/>
    </row>
    <row r="1664" spans="3:3">
      <c r="C1664"/>
    </row>
    <row r="1665" spans="3:3">
      <c r="C1665"/>
    </row>
    <row r="1666" spans="3:3">
      <c r="C1666"/>
    </row>
    <row r="1667" spans="3:3">
      <c r="C1667"/>
    </row>
    <row r="1668" spans="3:3">
      <c r="C1668"/>
    </row>
    <row r="1669" spans="3:3">
      <c r="C1669"/>
    </row>
    <row r="1670" spans="3:3">
      <c r="C1670"/>
    </row>
    <row r="1671" spans="3:3">
      <c r="C1671"/>
    </row>
    <row r="1672" spans="3:3">
      <c r="C1672"/>
    </row>
    <row r="1673" spans="3:3">
      <c r="C1673"/>
    </row>
    <row r="1674" spans="3:3">
      <c r="C1674"/>
    </row>
    <row r="1675" spans="3:3">
      <c r="C1675"/>
    </row>
    <row r="1676" spans="3:3">
      <c r="C1676"/>
    </row>
    <row r="1677" spans="3:3">
      <c r="C1677"/>
    </row>
    <row r="1678" spans="3:3">
      <c r="C1678"/>
    </row>
    <row r="1679" spans="3:3">
      <c r="C1679"/>
    </row>
    <row r="1680" spans="3:3">
      <c r="C1680"/>
    </row>
    <row r="1681" spans="3:3">
      <c r="C1681"/>
    </row>
    <row r="1682" spans="3:3">
      <c r="C1682"/>
    </row>
    <row r="1683" spans="3:3">
      <c r="C1683"/>
    </row>
    <row r="1684" spans="3:3">
      <c r="C1684"/>
    </row>
    <row r="1685" spans="3:3">
      <c r="C1685"/>
    </row>
    <row r="1686" spans="3:3">
      <c r="C1686"/>
    </row>
    <row r="1687" spans="3:3">
      <c r="C1687"/>
    </row>
    <row r="1688" spans="3:3">
      <c r="C1688"/>
    </row>
    <row r="1689" spans="3:3">
      <c r="C1689"/>
    </row>
    <row r="1690" spans="3:3">
      <c r="C1690"/>
    </row>
    <row r="1691" spans="3:3">
      <c r="C1691"/>
    </row>
    <row r="1692" spans="3:3">
      <c r="C1692"/>
    </row>
    <row r="1693" spans="3:3">
      <c r="C1693"/>
    </row>
    <row r="1694" spans="3:3">
      <c r="C1694"/>
    </row>
    <row r="1695" spans="3:3">
      <c r="C1695"/>
    </row>
    <row r="1696" spans="3:3">
      <c r="C1696"/>
    </row>
    <row r="1697" spans="3:3">
      <c r="C1697"/>
    </row>
    <row r="1698" spans="3:3">
      <c r="C1698"/>
    </row>
    <row r="1699" spans="3:3">
      <c r="C1699"/>
    </row>
    <row r="1700" spans="3:3">
      <c r="C1700"/>
    </row>
    <row r="1701" spans="3:3">
      <c r="C1701"/>
    </row>
    <row r="1702" spans="3:3">
      <c r="C1702"/>
    </row>
    <row r="1703" spans="3:3">
      <c r="C1703"/>
    </row>
    <row r="1704" spans="3:3">
      <c r="C1704"/>
    </row>
    <row r="1705" spans="3:3">
      <c r="C1705"/>
    </row>
    <row r="1706" spans="3:3">
      <c r="C1706"/>
    </row>
    <row r="1707" spans="3:3">
      <c r="C1707"/>
    </row>
    <row r="1708" spans="3:3">
      <c r="C1708"/>
    </row>
    <row r="1709" spans="3:3">
      <c r="C1709"/>
    </row>
    <row r="1710" spans="3:3">
      <c r="C1710"/>
    </row>
    <row r="1711" spans="3:3">
      <c r="C1711"/>
    </row>
    <row r="1712" spans="3:3">
      <c r="C1712"/>
    </row>
    <row r="1713" spans="3:3">
      <c r="C1713"/>
    </row>
    <row r="1714" spans="3:3">
      <c r="C1714"/>
    </row>
    <row r="1715" spans="3:3">
      <c r="C1715"/>
    </row>
    <row r="1716" spans="3:3">
      <c r="C1716"/>
    </row>
    <row r="1717" spans="3:3">
      <c r="C1717"/>
    </row>
    <row r="1718" spans="3:3">
      <c r="C1718"/>
    </row>
    <row r="1719" spans="3:3">
      <c r="C1719"/>
    </row>
    <row r="1720" spans="3:3">
      <c r="C1720"/>
    </row>
    <row r="1721" spans="3:3">
      <c r="C1721"/>
    </row>
    <row r="1722" spans="3:3">
      <c r="C1722"/>
    </row>
    <row r="1723" spans="3:3">
      <c r="C1723"/>
    </row>
    <row r="1724" spans="3:3">
      <c r="C1724"/>
    </row>
    <row r="1725" spans="3:3">
      <c r="C1725"/>
    </row>
    <row r="1726" spans="3:3">
      <c r="C1726"/>
    </row>
    <row r="1727" spans="3:3">
      <c r="C1727"/>
    </row>
    <row r="1728" spans="3:3">
      <c r="C1728"/>
    </row>
    <row r="1729" spans="3:3">
      <c r="C1729"/>
    </row>
    <row r="1730" spans="3:3">
      <c r="C1730"/>
    </row>
    <row r="1731" spans="3:3">
      <c r="C1731"/>
    </row>
    <row r="1732" spans="3:3">
      <c r="C1732"/>
    </row>
    <row r="1733" spans="3:3">
      <c r="C1733"/>
    </row>
    <row r="1734" spans="3:3">
      <c r="C1734"/>
    </row>
    <row r="1735" spans="3:3">
      <c r="C1735"/>
    </row>
    <row r="1736" spans="3:3">
      <c r="C1736"/>
    </row>
    <row r="1737" spans="3:3">
      <c r="C1737"/>
    </row>
    <row r="1738" spans="3:3">
      <c r="C1738"/>
    </row>
    <row r="1739" spans="3:3">
      <c r="C1739"/>
    </row>
    <row r="1740" spans="3:3">
      <c r="C1740"/>
    </row>
    <row r="1741" spans="3:3">
      <c r="C1741"/>
    </row>
    <row r="1742" spans="3:3">
      <c r="C1742"/>
    </row>
    <row r="1743" spans="3:3">
      <c r="C1743"/>
    </row>
    <row r="1744" spans="3:3">
      <c r="C1744"/>
    </row>
    <row r="1745" spans="3:3">
      <c r="C1745"/>
    </row>
    <row r="1746" spans="3:3">
      <c r="C1746"/>
    </row>
    <row r="1747" spans="3:3">
      <c r="C1747"/>
    </row>
    <row r="1748" spans="3:3">
      <c r="C1748"/>
    </row>
    <row r="1749" spans="3:3">
      <c r="C1749"/>
    </row>
    <row r="1750" spans="3:3">
      <c r="C1750"/>
    </row>
    <row r="1751" spans="3:3">
      <c r="C1751"/>
    </row>
    <row r="1752" spans="3:3">
      <c r="C1752"/>
    </row>
    <row r="1753" spans="3:3">
      <c r="C1753"/>
    </row>
    <row r="1754" spans="3:3">
      <c r="C1754"/>
    </row>
    <row r="1755" spans="3:3">
      <c r="C1755"/>
    </row>
    <row r="1756" spans="3:3">
      <c r="C1756"/>
    </row>
    <row r="1757" spans="3:3">
      <c r="C1757"/>
    </row>
    <row r="1758" spans="3:3">
      <c r="C1758"/>
    </row>
    <row r="1759" spans="3:3">
      <c r="C1759"/>
    </row>
    <row r="1760" spans="3:3">
      <c r="C1760"/>
    </row>
    <row r="1761" spans="3:3">
      <c r="C1761"/>
    </row>
    <row r="1762" spans="3:3">
      <c r="C1762"/>
    </row>
    <row r="1763" spans="3:3">
      <c r="C1763"/>
    </row>
    <row r="1764" spans="3:3">
      <c r="C1764"/>
    </row>
    <row r="1765" spans="3:3">
      <c r="C1765"/>
    </row>
    <row r="1766" spans="3:3">
      <c r="C1766"/>
    </row>
    <row r="1767" spans="3:3">
      <c r="C1767"/>
    </row>
    <row r="1768" spans="3:3">
      <c r="C1768"/>
    </row>
    <row r="1769" spans="3:3">
      <c r="C1769"/>
    </row>
    <row r="1770" spans="3:3">
      <c r="C1770"/>
    </row>
    <row r="1771" spans="3:3">
      <c r="C1771"/>
    </row>
    <row r="1772" spans="3:3">
      <c r="C1772"/>
    </row>
    <row r="1773" spans="3:3">
      <c r="C1773"/>
    </row>
    <row r="1774" spans="3:3">
      <c r="C1774"/>
    </row>
    <row r="1775" spans="3:3">
      <c r="C1775"/>
    </row>
    <row r="1776" spans="3:3">
      <c r="C1776"/>
    </row>
    <row r="1777" spans="3:3">
      <c r="C1777"/>
    </row>
    <row r="1778" spans="3:3">
      <c r="C1778"/>
    </row>
    <row r="1779" spans="3:3">
      <c r="C1779"/>
    </row>
    <row r="1780" spans="3:3">
      <c r="C1780"/>
    </row>
    <row r="1781" spans="3:3">
      <c r="C1781"/>
    </row>
    <row r="1782" spans="3:3">
      <c r="C1782"/>
    </row>
    <row r="1783" spans="3:3">
      <c r="C1783"/>
    </row>
    <row r="1784" spans="3:3">
      <c r="C1784"/>
    </row>
    <row r="1785" spans="3:3">
      <c r="C1785"/>
    </row>
    <row r="1786" spans="3:3">
      <c r="C1786"/>
    </row>
    <row r="1787" spans="3:3">
      <c r="C1787"/>
    </row>
    <row r="1788" spans="3:3">
      <c r="C1788"/>
    </row>
    <row r="1789" spans="3:3">
      <c r="C1789"/>
    </row>
    <row r="1790" spans="3:3">
      <c r="C1790"/>
    </row>
    <row r="1791" spans="3:3">
      <c r="C1791"/>
    </row>
    <row r="1792" spans="3:3">
      <c r="C1792"/>
    </row>
    <row r="1793" spans="3:3">
      <c r="C1793"/>
    </row>
    <row r="1794" spans="3:3">
      <c r="C1794"/>
    </row>
    <row r="1795" spans="3:3">
      <c r="C1795"/>
    </row>
    <row r="1796" spans="3:3">
      <c r="C1796"/>
    </row>
    <row r="1797" spans="3:3">
      <c r="C1797"/>
    </row>
    <row r="1798" spans="3:3">
      <c r="C1798"/>
    </row>
    <row r="1799" spans="3:3">
      <c r="C1799"/>
    </row>
    <row r="1800" spans="3:3">
      <c r="C1800"/>
    </row>
    <row r="1801" spans="3:3">
      <c r="C1801"/>
    </row>
    <row r="1802" spans="3:3">
      <c r="C1802"/>
    </row>
    <row r="1803" spans="3:3">
      <c r="C1803"/>
    </row>
    <row r="1804" spans="3:3">
      <c r="C1804"/>
    </row>
    <row r="1805" spans="3:3">
      <c r="C1805"/>
    </row>
    <row r="1806" spans="3:3">
      <c r="C1806"/>
    </row>
    <row r="1807" spans="3:3">
      <c r="C1807"/>
    </row>
    <row r="1808" spans="3:3">
      <c r="C1808"/>
    </row>
    <row r="1809" spans="3:3">
      <c r="C1809"/>
    </row>
    <row r="1810" spans="3:3">
      <c r="C1810"/>
    </row>
    <row r="1811" spans="3:3">
      <c r="C1811"/>
    </row>
    <row r="1812" spans="3:3">
      <c r="C1812"/>
    </row>
    <row r="1813" spans="3:3">
      <c r="C1813"/>
    </row>
    <row r="1814" spans="3:3">
      <c r="C1814"/>
    </row>
    <row r="1815" spans="3:3">
      <c r="C1815"/>
    </row>
    <row r="1816" spans="3:3">
      <c r="C1816"/>
    </row>
    <row r="1817" spans="3:3">
      <c r="C1817"/>
    </row>
    <row r="1818" spans="3:3">
      <c r="C1818"/>
    </row>
    <row r="1819" spans="3:3">
      <c r="C1819"/>
    </row>
    <row r="1820" spans="3:3">
      <c r="C1820"/>
    </row>
    <row r="1821" spans="3:3">
      <c r="C1821"/>
    </row>
    <row r="1822" spans="3:3">
      <c r="C1822"/>
    </row>
    <row r="1823" spans="3:3">
      <c r="C1823"/>
    </row>
    <row r="1824" spans="3:3">
      <c r="C1824"/>
    </row>
    <row r="1825" spans="3:3">
      <c r="C1825"/>
    </row>
    <row r="1826" spans="3:3">
      <c r="C1826"/>
    </row>
    <row r="1827" spans="3:3">
      <c r="C1827"/>
    </row>
    <row r="1828" spans="3:3">
      <c r="C1828"/>
    </row>
    <row r="1829" spans="3:3">
      <c r="C1829"/>
    </row>
    <row r="1830" spans="3:3">
      <c r="C1830"/>
    </row>
    <row r="1831" spans="3:3">
      <c r="C1831"/>
    </row>
    <row r="1832" spans="3:3">
      <c r="C1832"/>
    </row>
    <row r="1833" spans="3:3">
      <c r="C1833"/>
    </row>
    <row r="1834" spans="3:3">
      <c r="C1834"/>
    </row>
    <row r="1835" spans="3:3">
      <c r="C1835"/>
    </row>
    <row r="1836" spans="3:3">
      <c r="C1836"/>
    </row>
    <row r="1837" spans="3:3">
      <c r="C1837"/>
    </row>
    <row r="1838" spans="3:3">
      <c r="C1838"/>
    </row>
    <row r="1839" spans="3:3">
      <c r="C1839"/>
    </row>
    <row r="1840" spans="3:3">
      <c r="C1840"/>
    </row>
    <row r="1841" spans="3:3">
      <c r="C1841"/>
    </row>
    <row r="1842" spans="3:3">
      <c r="C1842"/>
    </row>
    <row r="1843" spans="3:3">
      <c r="C1843"/>
    </row>
    <row r="1844" spans="3:3">
      <c r="C1844"/>
    </row>
    <row r="1845" spans="3:3">
      <c r="C1845"/>
    </row>
    <row r="1846" spans="3:3">
      <c r="C1846"/>
    </row>
    <row r="1847" spans="3:3">
      <c r="C1847"/>
    </row>
    <row r="1848" spans="3:3">
      <c r="C1848"/>
    </row>
    <row r="1849" spans="3:3">
      <c r="C1849"/>
    </row>
    <row r="1850" spans="3:3">
      <c r="C1850"/>
    </row>
    <row r="1851" spans="3:3">
      <c r="C1851"/>
    </row>
    <row r="1852" spans="3:3">
      <c r="C1852"/>
    </row>
    <row r="1853" spans="3:3">
      <c r="C1853"/>
    </row>
    <row r="1854" spans="3:3">
      <c r="C1854"/>
    </row>
    <row r="1855" spans="3:3">
      <c r="C1855"/>
    </row>
    <row r="1856" spans="3:3">
      <c r="C1856"/>
    </row>
    <row r="1857" spans="3:3">
      <c r="C1857"/>
    </row>
    <row r="1858" spans="3:3">
      <c r="C1858"/>
    </row>
    <row r="1859" spans="3:3">
      <c r="C1859"/>
    </row>
    <row r="1860" spans="3:3">
      <c r="C1860"/>
    </row>
    <row r="1861" spans="3:3">
      <c r="C1861"/>
    </row>
    <row r="1862" spans="3:3">
      <c r="C1862"/>
    </row>
    <row r="1863" spans="3:3">
      <c r="C1863"/>
    </row>
    <row r="1864" spans="3:3">
      <c r="C1864"/>
    </row>
    <row r="1865" spans="3:3">
      <c r="C1865"/>
    </row>
    <row r="1866" spans="3:3">
      <c r="C1866"/>
    </row>
    <row r="1867" spans="3:3">
      <c r="C1867"/>
    </row>
    <row r="1868" spans="3:3">
      <c r="C1868"/>
    </row>
    <row r="1869" spans="3:3">
      <c r="C1869"/>
    </row>
    <row r="1870" spans="3:3">
      <c r="C1870"/>
    </row>
    <row r="1871" spans="3:3">
      <c r="C1871"/>
    </row>
    <row r="1872" spans="3:3">
      <c r="C1872"/>
    </row>
    <row r="1873" spans="3:3">
      <c r="C1873"/>
    </row>
    <row r="1874" spans="3:3">
      <c r="C1874"/>
    </row>
    <row r="1875" spans="3:3">
      <c r="C1875"/>
    </row>
    <row r="1876" spans="3:3">
      <c r="C1876"/>
    </row>
    <row r="1877" spans="3:3">
      <c r="C1877"/>
    </row>
    <row r="1878" spans="3:3">
      <c r="C1878"/>
    </row>
    <row r="1879" spans="3:3">
      <c r="C1879"/>
    </row>
    <row r="1880" spans="3:3">
      <c r="C1880"/>
    </row>
    <row r="1881" spans="3:3">
      <c r="C1881"/>
    </row>
    <row r="1882" spans="3:3">
      <c r="C1882"/>
    </row>
    <row r="1883" spans="3:3">
      <c r="C1883"/>
    </row>
    <row r="1884" spans="3:3">
      <c r="C1884"/>
    </row>
    <row r="1885" spans="3:3">
      <c r="C1885"/>
    </row>
    <row r="1886" spans="3:3">
      <c r="C1886"/>
    </row>
    <row r="1887" spans="3:3">
      <c r="C1887"/>
    </row>
    <row r="1888" spans="3:3">
      <c r="C1888"/>
    </row>
    <row r="1889" spans="3:3">
      <c r="C1889"/>
    </row>
    <row r="1890" spans="3:3">
      <c r="C1890"/>
    </row>
    <row r="1891" spans="3:3">
      <c r="C1891"/>
    </row>
    <row r="1892" spans="3:3">
      <c r="C1892"/>
    </row>
    <row r="1893" spans="3:3">
      <c r="C1893"/>
    </row>
    <row r="1894" spans="3:3">
      <c r="C1894"/>
    </row>
    <row r="1895" spans="3:3">
      <c r="C1895"/>
    </row>
    <row r="1896" spans="3:3">
      <c r="C1896"/>
    </row>
    <row r="1897" spans="3:3">
      <c r="C1897"/>
    </row>
    <row r="1898" spans="3:3">
      <c r="C1898"/>
    </row>
    <row r="1899" spans="3:3">
      <c r="C1899"/>
    </row>
    <row r="1900" spans="3:3">
      <c r="C1900"/>
    </row>
    <row r="1901" spans="3:3">
      <c r="C1901"/>
    </row>
    <row r="1902" spans="3:3">
      <c r="C1902"/>
    </row>
    <row r="1903" spans="3:3">
      <c r="C1903"/>
    </row>
    <row r="1904" spans="3:3">
      <c r="C1904"/>
    </row>
    <row r="1905" spans="3:3">
      <c r="C1905"/>
    </row>
    <row r="1906" spans="3:3">
      <c r="C1906"/>
    </row>
    <row r="1907" spans="3:3">
      <c r="C1907"/>
    </row>
    <row r="1908" spans="3:3">
      <c r="C1908"/>
    </row>
    <row r="1909" spans="3:3">
      <c r="C1909"/>
    </row>
    <row r="1910" spans="3:3">
      <c r="C1910"/>
    </row>
    <row r="1911" spans="3:3">
      <c r="C1911"/>
    </row>
    <row r="1912" spans="3:3">
      <c r="C1912"/>
    </row>
    <row r="1913" spans="3:3">
      <c r="C1913"/>
    </row>
    <row r="1914" spans="3:3">
      <c r="C1914"/>
    </row>
    <row r="1915" spans="3:3">
      <c r="C1915"/>
    </row>
    <row r="1916" spans="3:3">
      <c r="C1916"/>
    </row>
    <row r="1917" spans="3:3">
      <c r="C1917"/>
    </row>
    <row r="1918" spans="3:3">
      <c r="C1918"/>
    </row>
    <row r="1919" spans="3:3">
      <c r="C1919"/>
    </row>
    <row r="1920" spans="3:3">
      <c r="C1920"/>
    </row>
    <row r="1921" spans="3:3">
      <c r="C1921"/>
    </row>
    <row r="1922" spans="3:3">
      <c r="C1922"/>
    </row>
    <row r="1923" spans="3:3">
      <c r="C1923"/>
    </row>
    <row r="1924" spans="3:3">
      <c r="C1924"/>
    </row>
    <row r="1925" spans="3:3">
      <c r="C1925"/>
    </row>
    <row r="1926" spans="3:3">
      <c r="C1926"/>
    </row>
    <row r="1927" spans="3:3">
      <c r="C1927"/>
    </row>
    <row r="1928" spans="3:3">
      <c r="C1928"/>
    </row>
    <row r="1929" spans="3:3">
      <c r="C1929"/>
    </row>
    <row r="1930" spans="3:3">
      <c r="C1930"/>
    </row>
    <row r="1931" spans="3:3">
      <c r="C1931"/>
    </row>
    <row r="1932" spans="3:3">
      <c r="C1932"/>
    </row>
    <row r="1933" spans="3:3">
      <c r="C1933"/>
    </row>
    <row r="1934" spans="3:3">
      <c r="C1934"/>
    </row>
    <row r="1935" spans="3:3">
      <c r="C1935"/>
    </row>
    <row r="1936" spans="3:3">
      <c r="C1936"/>
    </row>
    <row r="1937" spans="3:3">
      <c r="C1937"/>
    </row>
    <row r="1938" spans="3:3">
      <c r="C1938"/>
    </row>
    <row r="1939" spans="3:3">
      <c r="C1939"/>
    </row>
    <row r="1940" spans="3:3">
      <c r="C1940"/>
    </row>
    <row r="1941" spans="3:3">
      <c r="C1941"/>
    </row>
    <row r="1942" spans="3:3">
      <c r="C1942"/>
    </row>
    <row r="1943" spans="3:3">
      <c r="C1943"/>
    </row>
    <row r="1944" spans="3:3">
      <c r="C1944"/>
    </row>
    <row r="1945" spans="3:3">
      <c r="C1945"/>
    </row>
    <row r="1946" spans="3:3">
      <c r="C1946"/>
    </row>
    <row r="1947" spans="3:3">
      <c r="C1947"/>
    </row>
    <row r="1948" spans="3:3">
      <c r="C1948"/>
    </row>
    <row r="1949" spans="3:3">
      <c r="C1949"/>
    </row>
    <row r="1950" spans="3:3">
      <c r="C1950"/>
    </row>
    <row r="1951" spans="3:3">
      <c r="C1951"/>
    </row>
    <row r="1952" spans="3:3">
      <c r="C1952"/>
    </row>
    <row r="1953" spans="3:3">
      <c r="C1953"/>
    </row>
    <row r="1954" spans="3:3">
      <c r="C1954"/>
    </row>
    <row r="1955" spans="3:3">
      <c r="C1955"/>
    </row>
    <row r="1956" spans="3:3">
      <c r="C1956"/>
    </row>
    <row r="1957" spans="3:3">
      <c r="C1957"/>
    </row>
    <row r="1958" spans="3:3">
      <c r="C1958"/>
    </row>
    <row r="1959" spans="3:3">
      <c r="C1959"/>
    </row>
    <row r="1960" spans="3:3">
      <c r="C1960"/>
    </row>
    <row r="1961" spans="3:3">
      <c r="C1961"/>
    </row>
    <row r="1962" spans="3:3">
      <c r="C1962"/>
    </row>
    <row r="1963" spans="3:3">
      <c r="C1963"/>
    </row>
    <row r="1964" spans="3:3">
      <c r="C1964"/>
    </row>
    <row r="1965" spans="3:3">
      <c r="C1965"/>
    </row>
    <row r="1966" spans="3:3">
      <c r="C1966"/>
    </row>
    <row r="1967" spans="3:3">
      <c r="C1967"/>
    </row>
    <row r="1968" spans="3:3">
      <c r="C1968"/>
    </row>
    <row r="1969" spans="3:3">
      <c r="C1969"/>
    </row>
    <row r="1970" spans="3:3">
      <c r="C1970"/>
    </row>
    <row r="1971" spans="3:3">
      <c r="C1971"/>
    </row>
    <row r="1972" spans="3:3">
      <c r="C1972"/>
    </row>
    <row r="1973" spans="3:3">
      <c r="C1973"/>
    </row>
    <row r="1974" spans="3:3">
      <c r="C1974"/>
    </row>
    <row r="1975" spans="3:3">
      <c r="C1975"/>
    </row>
    <row r="1976" spans="3:3">
      <c r="C1976"/>
    </row>
    <row r="1977" spans="3:3">
      <c r="C1977"/>
    </row>
    <row r="1978" spans="3:3">
      <c r="C1978"/>
    </row>
    <row r="1979" spans="3:3">
      <c r="C1979"/>
    </row>
    <row r="1980" spans="3:3">
      <c r="C1980"/>
    </row>
    <row r="1981" spans="3:3">
      <c r="C1981"/>
    </row>
    <row r="1982" spans="3:3">
      <c r="C1982"/>
    </row>
    <row r="1983" spans="3:3">
      <c r="C1983"/>
    </row>
    <row r="1984" spans="3:3">
      <c r="C1984"/>
    </row>
    <row r="1985" spans="3:3">
      <c r="C1985"/>
    </row>
    <row r="1986" spans="3:3">
      <c r="C1986"/>
    </row>
    <row r="1987" spans="3:3">
      <c r="C1987"/>
    </row>
    <row r="1988" spans="3:3">
      <c r="C1988"/>
    </row>
    <row r="1989" spans="3:3">
      <c r="C1989"/>
    </row>
    <row r="1990" spans="3:3">
      <c r="C1990"/>
    </row>
    <row r="1991" spans="3:3">
      <c r="C1991"/>
    </row>
    <row r="1992" spans="3:3">
      <c r="C1992"/>
    </row>
    <row r="1993" spans="3:3">
      <c r="C1993"/>
    </row>
    <row r="1994" spans="3:3">
      <c r="C1994"/>
    </row>
    <row r="1995" spans="3:3">
      <c r="C1995"/>
    </row>
    <row r="1996" spans="3:3">
      <c r="C1996"/>
    </row>
    <row r="1997" spans="3:3">
      <c r="C1997"/>
    </row>
    <row r="1998" spans="3:3">
      <c r="C1998"/>
    </row>
    <row r="1999" spans="3:3">
      <c r="C1999"/>
    </row>
    <row r="2000" spans="3:3">
      <c r="C2000"/>
    </row>
    <row r="2001" spans="3:3">
      <c r="C2001"/>
    </row>
    <row r="2002" spans="3:3">
      <c r="C2002"/>
    </row>
    <row r="2003" spans="3:3">
      <c r="C2003"/>
    </row>
    <row r="2004" spans="3:3">
      <c r="C2004"/>
    </row>
    <row r="2005" spans="3:3">
      <c r="C2005"/>
    </row>
    <row r="2006" spans="3:3">
      <c r="C2006"/>
    </row>
    <row r="2007" spans="3:3">
      <c r="C2007"/>
    </row>
    <row r="2008" spans="3:3">
      <c r="C2008"/>
    </row>
    <row r="2009" spans="3:3">
      <c r="C2009"/>
    </row>
    <row r="2010" spans="3:3">
      <c r="C2010"/>
    </row>
    <row r="2011" spans="3:3">
      <c r="C2011"/>
    </row>
    <row r="2012" spans="3:3">
      <c r="C2012"/>
    </row>
    <row r="2013" spans="3:3">
      <c r="C2013"/>
    </row>
    <row r="2014" spans="3:3">
      <c r="C2014"/>
    </row>
    <row r="2015" spans="3:3">
      <c r="C2015"/>
    </row>
    <row r="2016" spans="3:3">
      <c r="C2016"/>
    </row>
    <row r="2017" spans="3:3">
      <c r="C2017"/>
    </row>
    <row r="2018" spans="3:3">
      <c r="C2018"/>
    </row>
    <row r="2019" spans="3:3">
      <c r="C2019"/>
    </row>
    <row r="2020" spans="3:3">
      <c r="C2020"/>
    </row>
    <row r="2021" spans="3:3">
      <c r="C2021"/>
    </row>
    <row r="2022" spans="3:3">
      <c r="C2022"/>
    </row>
    <row r="2023" spans="3:3">
      <c r="C2023"/>
    </row>
    <row r="2024" spans="3:3">
      <c r="C2024"/>
    </row>
    <row r="2025" spans="3:3">
      <c r="C2025"/>
    </row>
    <row r="2026" spans="3:3">
      <c r="C2026"/>
    </row>
    <row r="2027" spans="3:3">
      <c r="C2027"/>
    </row>
    <row r="2028" spans="3:3">
      <c r="C2028"/>
    </row>
    <row r="2029" spans="3:3">
      <c r="C2029"/>
    </row>
    <row r="2030" spans="3:3">
      <c r="C2030"/>
    </row>
    <row r="2031" spans="3:3">
      <c r="C2031"/>
    </row>
    <row r="2032" spans="3:3">
      <c r="C2032"/>
    </row>
    <row r="2033" spans="3:3">
      <c r="C2033"/>
    </row>
    <row r="2034" spans="3:3">
      <c r="C2034"/>
    </row>
    <row r="2035" spans="3:3">
      <c r="C2035"/>
    </row>
    <row r="2036" spans="3:3">
      <c r="C2036"/>
    </row>
    <row r="2037" spans="3:3">
      <c r="C2037"/>
    </row>
    <row r="2038" spans="3:3">
      <c r="C2038"/>
    </row>
    <row r="2039" spans="3:3">
      <c r="C2039"/>
    </row>
    <row r="2040" spans="3:3">
      <c r="C2040"/>
    </row>
    <row r="2041" spans="3:3">
      <c r="C2041"/>
    </row>
    <row r="2042" spans="3:3">
      <c r="C2042"/>
    </row>
    <row r="2043" spans="3:3">
      <c r="C2043"/>
    </row>
    <row r="2044" spans="3:3">
      <c r="C2044"/>
    </row>
    <row r="2045" spans="3:3">
      <c r="C2045"/>
    </row>
    <row r="2046" spans="3:3">
      <c r="C2046"/>
    </row>
    <row r="2047" spans="3:3">
      <c r="C2047"/>
    </row>
    <row r="2048" spans="3:3">
      <c r="C2048"/>
    </row>
    <row r="2049" spans="3:3">
      <c r="C2049"/>
    </row>
    <row r="2050" spans="3:3">
      <c r="C2050"/>
    </row>
    <row r="2051" spans="3:3">
      <c r="C2051"/>
    </row>
    <row r="2052" spans="3:3">
      <c r="C2052"/>
    </row>
    <row r="2053" spans="3:3">
      <c r="C2053"/>
    </row>
    <row r="2054" spans="3:3">
      <c r="C2054"/>
    </row>
    <row r="2055" spans="3:3">
      <c r="C2055"/>
    </row>
    <row r="2056" spans="3:3">
      <c r="C2056"/>
    </row>
    <row r="2057" spans="3:3">
      <c r="C2057"/>
    </row>
    <row r="2058" spans="3:3">
      <c r="C2058"/>
    </row>
    <row r="2059" spans="3:3">
      <c r="C2059"/>
    </row>
    <row r="2060" spans="3:3">
      <c r="C2060"/>
    </row>
    <row r="2061" spans="3:3">
      <c r="C2061"/>
    </row>
    <row r="2062" spans="3:3">
      <c r="C2062"/>
    </row>
    <row r="2063" spans="3:3">
      <c r="C2063"/>
    </row>
    <row r="2064" spans="3:3">
      <c r="C2064"/>
    </row>
    <row r="2065" spans="3:3">
      <c r="C2065"/>
    </row>
    <row r="2066" spans="3:3">
      <c r="C2066"/>
    </row>
    <row r="2067" spans="3:3">
      <c r="C2067"/>
    </row>
    <row r="2068" spans="3:3">
      <c r="C2068"/>
    </row>
    <row r="2069" spans="3:3">
      <c r="C2069"/>
    </row>
    <row r="2070" spans="3:3">
      <c r="C2070"/>
    </row>
    <row r="2071" spans="3:3">
      <c r="C2071"/>
    </row>
    <row r="2072" spans="3:3">
      <c r="C2072"/>
    </row>
    <row r="2073" spans="3:3">
      <c r="C2073"/>
    </row>
    <row r="2074" spans="3:3">
      <c r="C2074"/>
    </row>
    <row r="2075" spans="3:3">
      <c r="C2075"/>
    </row>
    <row r="2076" spans="3:3">
      <c r="C2076"/>
    </row>
    <row r="2077" spans="3:3">
      <c r="C2077"/>
    </row>
    <row r="2078" spans="3:3">
      <c r="C2078"/>
    </row>
    <row r="2079" spans="3:3">
      <c r="C2079"/>
    </row>
    <row r="2080" spans="3:3">
      <c r="C2080"/>
    </row>
    <row r="2081" spans="3:3">
      <c r="C2081"/>
    </row>
    <row r="2082" spans="3:3">
      <c r="C2082"/>
    </row>
    <row r="2083" spans="3:3">
      <c r="C2083"/>
    </row>
    <row r="2084" spans="3:3">
      <c r="C2084"/>
    </row>
    <row r="2085" spans="3:3">
      <c r="C2085"/>
    </row>
    <row r="2086" spans="3:3">
      <c r="C2086"/>
    </row>
    <row r="2087" spans="3:3">
      <c r="C2087"/>
    </row>
    <row r="2088" spans="3:3">
      <c r="C2088"/>
    </row>
    <row r="2089" spans="3:3">
      <c r="C2089"/>
    </row>
    <row r="2090" spans="3:3">
      <c r="C2090"/>
    </row>
    <row r="2091" spans="3:3">
      <c r="C2091"/>
    </row>
    <row r="2092" spans="3:3">
      <c r="C2092"/>
    </row>
    <row r="2093" spans="3:3">
      <c r="C2093"/>
    </row>
    <row r="2094" spans="3:3">
      <c r="C2094"/>
    </row>
    <row r="2095" spans="3:3">
      <c r="C2095"/>
    </row>
    <row r="2096" spans="3:3">
      <c r="C2096"/>
    </row>
    <row r="2097" spans="3:3">
      <c r="C2097"/>
    </row>
    <row r="2098" spans="3:3">
      <c r="C2098"/>
    </row>
    <row r="2099" spans="3:3">
      <c r="C2099"/>
    </row>
    <row r="2100" spans="3:3">
      <c r="C2100"/>
    </row>
    <row r="2101" spans="3:3">
      <c r="C2101"/>
    </row>
    <row r="2102" spans="3:3">
      <c r="C2102"/>
    </row>
    <row r="2103" spans="3:3">
      <c r="C2103"/>
    </row>
    <row r="2104" spans="3:3">
      <c r="C2104"/>
    </row>
    <row r="2105" spans="3:3">
      <c r="C2105"/>
    </row>
    <row r="2106" spans="3:3">
      <c r="C2106"/>
    </row>
    <row r="2107" spans="3:3">
      <c r="C2107"/>
    </row>
    <row r="2108" spans="3:3">
      <c r="C2108"/>
    </row>
    <row r="2109" spans="3:3">
      <c r="C2109"/>
    </row>
    <row r="2110" spans="3:3">
      <c r="C2110"/>
    </row>
    <row r="2111" spans="3:3">
      <c r="C2111"/>
    </row>
    <row r="2112" spans="3:3">
      <c r="C2112"/>
    </row>
    <row r="2113" spans="3:3">
      <c r="C2113"/>
    </row>
    <row r="2114" spans="3:3">
      <c r="C2114"/>
    </row>
    <row r="2115" spans="3:3">
      <c r="C2115"/>
    </row>
    <row r="2116" spans="3:3">
      <c r="C2116"/>
    </row>
    <row r="2117" spans="3:3">
      <c r="C2117"/>
    </row>
    <row r="2118" spans="3:3">
      <c r="C2118"/>
    </row>
    <row r="2119" spans="3:3">
      <c r="C2119"/>
    </row>
    <row r="2120" spans="3:3">
      <c r="C2120"/>
    </row>
    <row r="2121" spans="3:3">
      <c r="C2121"/>
    </row>
    <row r="2122" spans="3:3">
      <c r="C2122"/>
    </row>
    <row r="2123" spans="3:3">
      <c r="C2123"/>
    </row>
    <row r="2124" spans="3:3">
      <c r="C2124"/>
    </row>
    <row r="2125" spans="3:3">
      <c r="C2125"/>
    </row>
    <row r="2126" spans="3:3">
      <c r="C2126"/>
    </row>
    <row r="2127" spans="3:3">
      <c r="C2127"/>
    </row>
    <row r="2128" spans="3:3">
      <c r="C2128"/>
    </row>
    <row r="2129" spans="3:3">
      <c r="C2129"/>
    </row>
    <row r="2130" spans="3:3">
      <c r="C2130"/>
    </row>
    <row r="2131" spans="3:3">
      <c r="C2131"/>
    </row>
    <row r="2132" spans="3:3">
      <c r="C2132"/>
    </row>
    <row r="2133" spans="3:3">
      <c r="C2133"/>
    </row>
    <row r="2134" spans="3:3">
      <c r="C2134"/>
    </row>
    <row r="2135" spans="3:3">
      <c r="C2135"/>
    </row>
    <row r="2136" spans="3:3">
      <c r="C2136"/>
    </row>
    <row r="2137" spans="3:3">
      <c r="C2137"/>
    </row>
    <row r="2138" spans="3:3">
      <c r="C2138"/>
    </row>
    <row r="2139" spans="3:3">
      <c r="C2139"/>
    </row>
    <row r="2140" spans="3:3">
      <c r="C2140"/>
    </row>
    <row r="2141" spans="3:3">
      <c r="C2141"/>
    </row>
    <row r="2142" spans="3:3">
      <c r="C2142"/>
    </row>
    <row r="2143" spans="3:3">
      <c r="C2143"/>
    </row>
    <row r="2144" spans="3:3">
      <c r="C2144"/>
    </row>
    <row r="2145" spans="3:3">
      <c r="C2145"/>
    </row>
    <row r="2146" spans="3:3">
      <c r="C2146"/>
    </row>
    <row r="2147" spans="3:3">
      <c r="C2147"/>
    </row>
    <row r="2148" spans="3:3">
      <c r="C2148"/>
    </row>
    <row r="2149" spans="3:3">
      <c r="C2149"/>
    </row>
    <row r="2150" spans="3:3">
      <c r="C2150"/>
    </row>
    <row r="2151" spans="3:3">
      <c r="C2151"/>
    </row>
    <row r="2152" spans="3:3">
      <c r="C2152"/>
    </row>
    <row r="2153" spans="3:3">
      <c r="C2153"/>
    </row>
    <row r="2154" spans="3:3">
      <c r="C2154"/>
    </row>
    <row r="2155" spans="3:3">
      <c r="C2155"/>
    </row>
    <row r="2156" spans="3:3">
      <c r="C2156"/>
    </row>
    <row r="2157" spans="3:3">
      <c r="C2157"/>
    </row>
    <row r="2158" spans="3:3">
      <c r="C2158"/>
    </row>
    <row r="2159" spans="3:3">
      <c r="C2159"/>
    </row>
    <row r="2160" spans="3:3">
      <c r="C2160"/>
    </row>
    <row r="2161" spans="3:3">
      <c r="C2161"/>
    </row>
    <row r="2162" spans="3:3">
      <c r="C2162"/>
    </row>
    <row r="2163" spans="3:3">
      <c r="C2163"/>
    </row>
    <row r="2164" spans="3:3">
      <c r="C2164"/>
    </row>
    <row r="2165" spans="3:3">
      <c r="C2165"/>
    </row>
    <row r="2166" spans="3:3">
      <c r="C2166"/>
    </row>
    <row r="2167" spans="3:3">
      <c r="C2167"/>
    </row>
    <row r="2168" spans="3:3">
      <c r="C2168"/>
    </row>
    <row r="2169" spans="3:3">
      <c r="C2169"/>
    </row>
    <row r="2170" spans="3:3">
      <c r="C2170"/>
    </row>
    <row r="2171" spans="3:3">
      <c r="C2171"/>
    </row>
    <row r="2172" spans="3:3">
      <c r="C2172"/>
    </row>
    <row r="2173" spans="3:3">
      <c r="C2173"/>
    </row>
    <row r="2174" spans="3:3">
      <c r="C2174"/>
    </row>
    <row r="2175" spans="3:3">
      <c r="C2175"/>
    </row>
    <row r="2176" spans="3:3">
      <c r="C2176"/>
    </row>
    <row r="2177" spans="3:3">
      <c r="C2177"/>
    </row>
    <row r="2178" spans="3:3">
      <c r="C2178"/>
    </row>
    <row r="2179" spans="3:3">
      <c r="C2179"/>
    </row>
    <row r="2180" spans="3:3">
      <c r="C2180"/>
    </row>
    <row r="2181" spans="3:3">
      <c r="C2181"/>
    </row>
    <row r="2182" spans="3:3">
      <c r="C2182"/>
    </row>
    <row r="2183" spans="3:3">
      <c r="C2183"/>
    </row>
    <row r="2184" spans="3:3">
      <c r="C2184"/>
    </row>
    <row r="2185" spans="3:3">
      <c r="C2185"/>
    </row>
    <row r="2186" spans="3:3">
      <c r="C2186"/>
    </row>
    <row r="2187" spans="3:3">
      <c r="C2187"/>
    </row>
    <row r="2188" spans="3:3">
      <c r="C2188"/>
    </row>
    <row r="2189" spans="3:3">
      <c r="C2189"/>
    </row>
    <row r="2190" spans="3:3">
      <c r="C2190"/>
    </row>
    <row r="2191" spans="3:3">
      <c r="C2191"/>
    </row>
    <row r="2192" spans="3:3">
      <c r="C2192"/>
    </row>
    <row r="2193" spans="3:3">
      <c r="C2193"/>
    </row>
    <row r="2194" spans="3:3">
      <c r="C2194"/>
    </row>
    <row r="2195" spans="3:3">
      <c r="C2195"/>
    </row>
    <row r="2196" spans="3:3">
      <c r="C2196"/>
    </row>
    <row r="2197" spans="3:3">
      <c r="C2197"/>
    </row>
    <row r="2198" spans="3:3">
      <c r="C2198"/>
    </row>
    <row r="2199" spans="3:3">
      <c r="C2199"/>
    </row>
    <row r="2200" spans="3:3">
      <c r="C2200"/>
    </row>
    <row r="2201" spans="3:3">
      <c r="C2201"/>
    </row>
    <row r="2202" spans="3:3">
      <c r="C2202"/>
    </row>
    <row r="2203" spans="3:3">
      <c r="C2203"/>
    </row>
    <row r="2204" spans="3:3">
      <c r="C2204"/>
    </row>
    <row r="2205" spans="3:3">
      <c r="C2205"/>
    </row>
    <row r="2206" spans="3:3">
      <c r="C2206"/>
    </row>
    <row r="2207" spans="3:3">
      <c r="C2207"/>
    </row>
    <row r="2208" spans="3:3">
      <c r="C2208"/>
    </row>
    <row r="2209" spans="3:3">
      <c r="C2209"/>
    </row>
    <row r="2210" spans="3:3">
      <c r="C2210"/>
    </row>
    <row r="2211" spans="3:3">
      <c r="C2211"/>
    </row>
    <row r="2212" spans="3:3">
      <c r="C2212"/>
    </row>
    <row r="2213" spans="3:3">
      <c r="C2213"/>
    </row>
    <row r="2214" spans="3:3">
      <c r="C2214"/>
    </row>
    <row r="2215" spans="3:3">
      <c r="C2215"/>
    </row>
    <row r="2216" spans="3:3">
      <c r="C2216"/>
    </row>
    <row r="2217" spans="3:3">
      <c r="C2217"/>
    </row>
    <row r="2218" spans="3:3">
      <c r="C2218"/>
    </row>
    <row r="2219" spans="3:3">
      <c r="C2219"/>
    </row>
    <row r="2220" spans="3:3">
      <c r="C2220"/>
    </row>
    <row r="2221" spans="3:3">
      <c r="C2221"/>
    </row>
    <row r="2222" spans="3:3">
      <c r="C2222"/>
    </row>
    <row r="2223" spans="3:3">
      <c r="C2223"/>
    </row>
    <row r="2224" spans="3:3">
      <c r="C2224"/>
    </row>
    <row r="2225" spans="3:3">
      <c r="C2225"/>
    </row>
    <row r="2226" spans="3:3">
      <c r="C2226"/>
    </row>
    <row r="2227" spans="3:3">
      <c r="C2227"/>
    </row>
    <row r="2228" spans="3:3">
      <c r="C2228"/>
    </row>
    <row r="2229" spans="3:3">
      <c r="C2229"/>
    </row>
    <row r="2230" spans="3:3">
      <c r="C2230"/>
    </row>
    <row r="2231" spans="3:3">
      <c r="C2231"/>
    </row>
    <row r="2232" spans="3:3">
      <c r="C2232"/>
    </row>
    <row r="2233" spans="3:3">
      <c r="C2233"/>
    </row>
    <row r="2234" spans="3:3">
      <c r="C2234"/>
    </row>
    <row r="2235" spans="3:3">
      <c r="C2235"/>
    </row>
    <row r="2236" spans="3:3">
      <c r="C2236"/>
    </row>
    <row r="2237" spans="3:3">
      <c r="C2237"/>
    </row>
    <row r="2238" spans="3:3">
      <c r="C2238"/>
    </row>
    <row r="2239" spans="3:3">
      <c r="C2239"/>
    </row>
    <row r="2240" spans="3:3">
      <c r="C2240"/>
    </row>
    <row r="2241" spans="3:3">
      <c r="C2241"/>
    </row>
    <row r="2242" spans="3:3">
      <c r="C2242"/>
    </row>
    <row r="2243" spans="3:3">
      <c r="C2243"/>
    </row>
    <row r="2244" spans="3:3">
      <c r="C2244"/>
    </row>
    <row r="2245" spans="3:3">
      <c r="C2245"/>
    </row>
    <row r="2246" spans="3:3">
      <c r="C2246"/>
    </row>
    <row r="2247" spans="3:3">
      <c r="C2247"/>
    </row>
    <row r="2248" spans="3:3">
      <c r="C2248"/>
    </row>
    <row r="2249" spans="3:3">
      <c r="C2249"/>
    </row>
    <row r="2250" spans="3:3">
      <c r="C2250"/>
    </row>
    <row r="2251" spans="3:3">
      <c r="C2251"/>
    </row>
    <row r="2252" spans="3:3">
      <c r="C2252"/>
    </row>
    <row r="2253" spans="3:3">
      <c r="C2253"/>
    </row>
    <row r="2254" spans="3:3">
      <c r="C2254"/>
    </row>
    <row r="2255" spans="3:3">
      <c r="C2255"/>
    </row>
    <row r="2256" spans="3:3">
      <c r="C2256"/>
    </row>
    <row r="2257" spans="3:3">
      <c r="C2257"/>
    </row>
    <row r="2258" spans="3:3">
      <c r="C2258"/>
    </row>
    <row r="2259" spans="3:3">
      <c r="C2259"/>
    </row>
    <row r="2260" spans="3:3">
      <c r="C2260"/>
    </row>
    <row r="2261" spans="3:3">
      <c r="C2261"/>
    </row>
    <row r="2262" spans="3:3">
      <c r="C2262"/>
    </row>
    <row r="2263" spans="3:3">
      <c r="C2263"/>
    </row>
    <row r="2264" spans="3:3">
      <c r="C2264"/>
    </row>
    <row r="2265" spans="3:3">
      <c r="C2265"/>
    </row>
    <row r="2266" spans="3:3">
      <c r="C2266"/>
    </row>
    <row r="2267" spans="3:3">
      <c r="C2267"/>
    </row>
    <row r="2268" spans="3:3">
      <c r="C2268"/>
    </row>
    <row r="2269" spans="3:3">
      <c r="C2269"/>
    </row>
    <row r="2270" spans="3:3">
      <c r="C2270"/>
    </row>
    <row r="2271" spans="3:3">
      <c r="C2271"/>
    </row>
    <row r="2272" spans="3:3">
      <c r="C2272"/>
    </row>
    <row r="2273" spans="3:3">
      <c r="C2273"/>
    </row>
    <row r="2274" spans="3:3">
      <c r="C2274"/>
    </row>
    <row r="2275" spans="3:3">
      <c r="C2275"/>
    </row>
    <row r="2276" spans="3:3">
      <c r="C2276"/>
    </row>
    <row r="2277" spans="3:3">
      <c r="C2277"/>
    </row>
    <row r="2278" spans="3:3">
      <c r="C2278"/>
    </row>
    <row r="2279" spans="3:3">
      <c r="C2279"/>
    </row>
    <row r="2280" spans="3:3">
      <c r="C2280"/>
    </row>
    <row r="2281" spans="3:3">
      <c r="C2281"/>
    </row>
    <row r="2282" spans="3:3">
      <c r="C2282"/>
    </row>
    <row r="2283" spans="3:3">
      <c r="C2283"/>
    </row>
    <row r="2284" spans="3:3">
      <c r="C2284"/>
    </row>
    <row r="2285" spans="3:3">
      <c r="C2285"/>
    </row>
    <row r="2286" spans="3:3">
      <c r="C2286"/>
    </row>
    <row r="2287" spans="3:3">
      <c r="C2287"/>
    </row>
    <row r="2288" spans="3:3">
      <c r="C2288"/>
    </row>
    <row r="2289" spans="3:3">
      <c r="C2289"/>
    </row>
    <row r="2290" spans="3:3">
      <c r="C2290"/>
    </row>
    <row r="2291" spans="3:3">
      <c r="C2291"/>
    </row>
    <row r="2292" spans="3:3">
      <c r="C2292"/>
    </row>
    <row r="2293" spans="3:3">
      <c r="C2293"/>
    </row>
    <row r="2294" spans="3:3">
      <c r="C2294"/>
    </row>
    <row r="2295" spans="3:3">
      <c r="C2295"/>
    </row>
    <row r="2296" spans="3:3">
      <c r="C2296"/>
    </row>
    <row r="2297" spans="3:3">
      <c r="C2297"/>
    </row>
    <row r="2298" spans="3:3">
      <c r="C2298"/>
    </row>
    <row r="2299" spans="3:3">
      <c r="C2299"/>
    </row>
    <row r="2300" spans="3:3">
      <c r="C2300"/>
    </row>
    <row r="2301" spans="3:3">
      <c r="C2301"/>
    </row>
    <row r="2302" spans="3:3">
      <c r="C2302"/>
    </row>
    <row r="2303" spans="3:3">
      <c r="C2303"/>
    </row>
    <row r="2304" spans="3:3">
      <c r="C2304"/>
    </row>
    <row r="2305" spans="3:3">
      <c r="C2305"/>
    </row>
    <row r="2306" spans="3:3">
      <c r="C2306"/>
    </row>
    <row r="2307" spans="3:3">
      <c r="C2307"/>
    </row>
    <row r="2308" spans="3:3">
      <c r="C2308"/>
    </row>
    <row r="2309" spans="3:3">
      <c r="C2309"/>
    </row>
    <row r="2310" spans="3:3">
      <c r="C2310"/>
    </row>
    <row r="2311" spans="3:3">
      <c r="C2311"/>
    </row>
    <row r="2312" spans="3:3">
      <c r="C2312"/>
    </row>
    <row r="2313" spans="3:3">
      <c r="C2313"/>
    </row>
    <row r="2314" spans="3:3">
      <c r="C2314"/>
    </row>
    <row r="2315" spans="3:3">
      <c r="C2315"/>
    </row>
    <row r="2316" spans="3:3">
      <c r="C2316"/>
    </row>
    <row r="2317" spans="3:3">
      <c r="C2317"/>
    </row>
    <row r="2318" spans="3:3">
      <c r="C2318"/>
    </row>
    <row r="2319" spans="3:3">
      <c r="C2319"/>
    </row>
    <row r="2320" spans="3:3">
      <c r="C2320"/>
    </row>
    <row r="2321" spans="3:3">
      <c r="C2321"/>
    </row>
    <row r="2322" spans="3:3">
      <c r="C2322"/>
    </row>
    <row r="2323" spans="3:3">
      <c r="C2323"/>
    </row>
    <row r="2324" spans="3:3">
      <c r="C2324"/>
    </row>
    <row r="2325" spans="3:3">
      <c r="C2325"/>
    </row>
    <row r="2326" spans="3:3">
      <c r="C2326"/>
    </row>
    <row r="2327" spans="3:3">
      <c r="C2327"/>
    </row>
    <row r="2328" spans="3:3">
      <c r="C2328"/>
    </row>
    <row r="2329" spans="3:3">
      <c r="C2329"/>
    </row>
    <row r="2330" spans="3:3">
      <c r="C2330"/>
    </row>
    <row r="2331" spans="3:3">
      <c r="C2331"/>
    </row>
    <row r="2332" spans="3:3">
      <c r="C2332"/>
    </row>
    <row r="2333" spans="3:3">
      <c r="C2333"/>
    </row>
    <row r="2334" spans="3:3">
      <c r="C2334"/>
    </row>
    <row r="2335" spans="3:3">
      <c r="C2335"/>
    </row>
    <row r="2336" spans="3:3">
      <c r="C2336"/>
    </row>
    <row r="2337" spans="3:3">
      <c r="C2337"/>
    </row>
    <row r="2338" spans="3:3">
      <c r="C2338"/>
    </row>
    <row r="2339" spans="3:3">
      <c r="C2339"/>
    </row>
    <row r="2340" spans="3:3">
      <c r="C2340"/>
    </row>
    <row r="2341" spans="3:3">
      <c r="C2341"/>
    </row>
    <row r="2342" spans="3:3">
      <c r="C2342"/>
    </row>
    <row r="2343" spans="3:3">
      <c r="C2343"/>
    </row>
    <row r="2344" spans="3:3">
      <c r="C2344"/>
    </row>
    <row r="2345" spans="3:3">
      <c r="C2345"/>
    </row>
    <row r="2346" spans="3:3">
      <c r="C2346"/>
    </row>
    <row r="2347" spans="3:3">
      <c r="C2347"/>
    </row>
    <row r="2348" spans="3:3">
      <c r="C2348"/>
    </row>
    <row r="2349" spans="3:3">
      <c r="C2349"/>
    </row>
    <row r="2350" spans="3:3">
      <c r="C2350"/>
    </row>
    <row r="2351" spans="3:3">
      <c r="C2351"/>
    </row>
    <row r="2352" spans="3:3">
      <c r="C2352"/>
    </row>
    <row r="2353" spans="3:3">
      <c r="C2353"/>
    </row>
    <row r="2354" spans="3:3">
      <c r="C2354"/>
    </row>
    <row r="2355" spans="3:3">
      <c r="C2355"/>
    </row>
    <row r="2356" spans="3:3">
      <c r="C2356"/>
    </row>
    <row r="2357" spans="3:3">
      <c r="C2357"/>
    </row>
    <row r="2358" spans="3:3">
      <c r="C2358"/>
    </row>
    <row r="2359" spans="3:3">
      <c r="C2359"/>
    </row>
    <row r="2360" spans="3:3">
      <c r="C2360"/>
    </row>
    <row r="2361" spans="3:3">
      <c r="C2361"/>
    </row>
    <row r="2362" spans="3:3">
      <c r="C2362"/>
    </row>
    <row r="2363" spans="3:3">
      <c r="C2363"/>
    </row>
    <row r="2364" spans="3:3">
      <c r="C2364"/>
    </row>
    <row r="2365" spans="3:3">
      <c r="C2365"/>
    </row>
    <row r="2366" spans="3:3">
      <c r="C2366"/>
    </row>
    <row r="2367" spans="3:3">
      <c r="C2367"/>
    </row>
    <row r="2368" spans="3:3">
      <c r="C2368"/>
    </row>
    <row r="2369" spans="3:3">
      <c r="C2369"/>
    </row>
    <row r="2370" spans="3:3">
      <c r="C2370"/>
    </row>
    <row r="2371" spans="3:3">
      <c r="C2371"/>
    </row>
    <row r="2372" spans="3:3">
      <c r="C2372"/>
    </row>
    <row r="2373" spans="3:3">
      <c r="C2373"/>
    </row>
    <row r="2374" spans="3:3">
      <c r="C2374"/>
    </row>
    <row r="2375" spans="3:3">
      <c r="C2375"/>
    </row>
    <row r="2376" spans="3:3">
      <c r="C2376"/>
    </row>
    <row r="2377" spans="3:3">
      <c r="C2377"/>
    </row>
    <row r="2378" spans="3:3">
      <c r="C2378"/>
    </row>
    <row r="2379" spans="3:3">
      <c r="C2379"/>
    </row>
    <row r="2380" spans="3:3">
      <c r="C2380"/>
    </row>
    <row r="2381" spans="3:3">
      <c r="C2381"/>
    </row>
    <row r="2382" spans="3:3">
      <c r="C2382"/>
    </row>
    <row r="2383" spans="3:3">
      <c r="C2383"/>
    </row>
    <row r="2384" spans="3:3">
      <c r="C2384"/>
    </row>
    <row r="2385" spans="3:3">
      <c r="C2385"/>
    </row>
    <row r="2386" spans="3:3">
      <c r="C2386"/>
    </row>
    <row r="2387" spans="3:3">
      <c r="C2387"/>
    </row>
    <row r="2388" spans="3:3">
      <c r="C2388"/>
    </row>
    <row r="2389" spans="3:3">
      <c r="C2389"/>
    </row>
    <row r="2390" spans="3:3">
      <c r="C2390"/>
    </row>
    <row r="2391" spans="3:3">
      <c r="C2391"/>
    </row>
    <row r="2392" spans="3:3">
      <c r="C2392"/>
    </row>
    <row r="2393" spans="3:3">
      <c r="C2393"/>
    </row>
    <row r="2394" spans="3:3">
      <c r="C2394"/>
    </row>
    <row r="2395" spans="3:3">
      <c r="C2395"/>
    </row>
    <row r="2396" spans="3:3">
      <c r="C2396"/>
    </row>
    <row r="2397" spans="3:3">
      <c r="C2397"/>
    </row>
    <row r="2398" spans="3:3">
      <c r="C2398"/>
    </row>
    <row r="2399" spans="3:3">
      <c r="C2399"/>
    </row>
    <row r="2400" spans="3:3">
      <c r="C2400"/>
    </row>
    <row r="2401" spans="3:3">
      <c r="C2401"/>
    </row>
    <row r="2402" spans="3:3">
      <c r="C2402"/>
    </row>
    <row r="2403" spans="3:3">
      <c r="C2403"/>
    </row>
    <row r="2404" spans="3:3">
      <c r="C2404"/>
    </row>
    <row r="2405" spans="3:3">
      <c r="C2405"/>
    </row>
    <row r="2406" spans="3:3">
      <c r="C2406"/>
    </row>
    <row r="2407" spans="3:3">
      <c r="C2407"/>
    </row>
    <row r="2408" spans="3:3">
      <c r="C2408"/>
    </row>
    <row r="2409" spans="3:3">
      <c r="C2409"/>
    </row>
    <row r="2410" spans="3:3">
      <c r="C2410"/>
    </row>
    <row r="2411" spans="3:3">
      <c r="C2411"/>
    </row>
    <row r="2412" spans="3:3">
      <c r="C2412"/>
    </row>
    <row r="2413" spans="3:3">
      <c r="C2413"/>
    </row>
    <row r="2414" spans="3:3">
      <c r="C2414"/>
    </row>
    <row r="2415" spans="3:3">
      <c r="C2415"/>
    </row>
    <row r="2416" spans="3:3">
      <c r="C2416"/>
    </row>
    <row r="2417" spans="3:3">
      <c r="C2417"/>
    </row>
    <row r="2418" spans="3:3">
      <c r="C2418"/>
    </row>
    <row r="2419" spans="3:3">
      <c r="C2419"/>
    </row>
    <row r="2420" spans="3:3">
      <c r="C2420"/>
    </row>
    <row r="2421" spans="3:3">
      <c r="C2421"/>
    </row>
    <row r="2422" spans="3:3">
      <c r="C2422"/>
    </row>
    <row r="2423" spans="3:3">
      <c r="C2423"/>
    </row>
    <row r="2424" spans="3:3">
      <c r="C2424"/>
    </row>
    <row r="2425" spans="3:3">
      <c r="C2425"/>
    </row>
    <row r="2426" spans="3:3">
      <c r="C2426"/>
    </row>
    <row r="2427" spans="3:3">
      <c r="C2427"/>
    </row>
    <row r="2428" spans="3:3">
      <c r="C2428"/>
    </row>
    <row r="2429" spans="3:3">
      <c r="C2429"/>
    </row>
    <row r="2430" spans="3:3">
      <c r="C2430"/>
    </row>
    <row r="2431" spans="3:3">
      <c r="C2431"/>
    </row>
    <row r="2432" spans="3:3">
      <c r="C2432"/>
    </row>
    <row r="2433" spans="3:3">
      <c r="C2433"/>
    </row>
    <row r="2434" spans="3:3">
      <c r="C2434"/>
    </row>
    <row r="2435" spans="3:3">
      <c r="C2435"/>
    </row>
    <row r="2436" spans="3:3">
      <c r="C2436"/>
    </row>
    <row r="2437" spans="3:3">
      <c r="C2437"/>
    </row>
    <row r="2438" spans="3:3">
      <c r="C2438"/>
    </row>
    <row r="2439" spans="3:3">
      <c r="C2439"/>
    </row>
    <row r="2440" spans="3:3">
      <c r="C2440"/>
    </row>
    <row r="2441" spans="3:3">
      <c r="C2441"/>
    </row>
    <row r="2442" spans="3:3">
      <c r="C2442"/>
    </row>
    <row r="2443" spans="3:3">
      <c r="C2443"/>
    </row>
    <row r="2444" spans="3:3">
      <c r="C2444"/>
    </row>
    <row r="2445" spans="3:3">
      <c r="C2445"/>
    </row>
    <row r="2446" spans="3:3">
      <c r="C2446"/>
    </row>
    <row r="2447" spans="3:3">
      <c r="C2447"/>
    </row>
    <row r="2448" spans="3:3">
      <c r="C2448"/>
    </row>
    <row r="2449" spans="3:3">
      <c r="C2449"/>
    </row>
    <row r="2450" spans="3:3">
      <c r="C2450"/>
    </row>
    <row r="2451" spans="3:3">
      <c r="C2451"/>
    </row>
    <row r="2452" spans="3:3">
      <c r="C2452"/>
    </row>
    <row r="2453" spans="3:3">
      <c r="C2453"/>
    </row>
    <row r="2454" spans="3:3">
      <c r="C2454"/>
    </row>
    <row r="2455" spans="3:3">
      <c r="C2455"/>
    </row>
    <row r="2456" spans="3:3">
      <c r="C2456"/>
    </row>
    <row r="2457" spans="3:3">
      <c r="C2457"/>
    </row>
    <row r="2458" spans="3:3">
      <c r="C2458"/>
    </row>
    <row r="2459" spans="3:3">
      <c r="C2459"/>
    </row>
    <row r="2460" spans="3:3">
      <c r="C2460"/>
    </row>
    <row r="2461" spans="3:3">
      <c r="C2461"/>
    </row>
    <row r="2462" spans="3:3">
      <c r="C2462"/>
    </row>
    <row r="2463" spans="3:3">
      <c r="C2463"/>
    </row>
    <row r="2464" spans="3:3">
      <c r="C2464"/>
    </row>
    <row r="2465" spans="3:3">
      <c r="C2465"/>
    </row>
    <row r="2466" spans="3:3">
      <c r="C2466"/>
    </row>
    <row r="2467" spans="3:3">
      <c r="C2467"/>
    </row>
    <row r="2468" spans="3:3">
      <c r="C2468"/>
    </row>
    <row r="2469" spans="3:3">
      <c r="C2469"/>
    </row>
    <row r="2470" spans="3:3">
      <c r="C2470"/>
    </row>
    <row r="2471" spans="3:3">
      <c r="C2471"/>
    </row>
    <row r="2472" spans="3:3">
      <c r="C2472"/>
    </row>
    <row r="2473" spans="3:3">
      <c r="C2473"/>
    </row>
    <row r="2474" spans="3:3">
      <c r="C2474"/>
    </row>
    <row r="2475" spans="3:3">
      <c r="C2475"/>
    </row>
    <row r="2476" spans="3:3">
      <c r="C2476"/>
    </row>
    <row r="2477" spans="3:3">
      <c r="C2477"/>
    </row>
    <row r="2478" spans="3:3">
      <c r="C2478"/>
    </row>
    <row r="2479" spans="3:3">
      <c r="C2479"/>
    </row>
    <row r="2480" spans="3:3">
      <c r="C2480"/>
    </row>
    <row r="2481" spans="3:3">
      <c r="C2481"/>
    </row>
    <row r="2482" spans="3:3">
      <c r="C2482"/>
    </row>
    <row r="2483" spans="3:3">
      <c r="C2483"/>
    </row>
    <row r="2484" spans="3:3">
      <c r="C2484"/>
    </row>
    <row r="2485" spans="3:3">
      <c r="C2485"/>
    </row>
    <row r="2486" spans="3:3">
      <c r="C2486"/>
    </row>
    <row r="2487" spans="3:3">
      <c r="C2487"/>
    </row>
    <row r="2488" spans="3:3">
      <c r="C2488"/>
    </row>
    <row r="2489" spans="3:3">
      <c r="C2489"/>
    </row>
    <row r="2490" spans="3:3">
      <c r="C2490"/>
    </row>
    <row r="2491" spans="3:3">
      <c r="C2491"/>
    </row>
    <row r="2492" spans="3:3">
      <c r="C2492"/>
    </row>
    <row r="2493" spans="3:3">
      <c r="C2493"/>
    </row>
    <row r="2494" spans="3:3">
      <c r="C2494"/>
    </row>
    <row r="2495" spans="3:3">
      <c r="C2495"/>
    </row>
    <row r="2496" spans="3:3">
      <c r="C2496"/>
    </row>
    <row r="2497" spans="3:3">
      <c r="C2497"/>
    </row>
    <row r="2498" spans="3:3">
      <c r="C2498"/>
    </row>
    <row r="2499" spans="3:3">
      <c r="C2499"/>
    </row>
    <row r="2500" spans="3:3">
      <c r="C2500"/>
    </row>
    <row r="2501" spans="3:3">
      <c r="C2501"/>
    </row>
    <row r="2502" spans="3:3">
      <c r="C2502"/>
    </row>
    <row r="2503" spans="3:3">
      <c r="C2503"/>
    </row>
    <row r="2504" spans="3:3">
      <c r="C2504"/>
    </row>
    <row r="2505" spans="3:3">
      <c r="C2505"/>
    </row>
    <row r="2506" spans="3:3">
      <c r="C2506"/>
    </row>
    <row r="2507" spans="3:3">
      <c r="C2507"/>
    </row>
    <row r="2508" spans="3:3">
      <c r="C2508"/>
    </row>
    <row r="2509" spans="3:3">
      <c r="C2509"/>
    </row>
    <row r="2510" spans="3:3">
      <c r="C2510"/>
    </row>
    <row r="2511" spans="3:3">
      <c r="C2511"/>
    </row>
    <row r="2512" spans="3:3">
      <c r="C2512"/>
    </row>
    <row r="2513" spans="3:3">
      <c r="C2513"/>
    </row>
    <row r="2514" spans="3:3">
      <c r="C2514"/>
    </row>
    <row r="2515" spans="3:3">
      <c r="C2515"/>
    </row>
    <row r="2516" spans="3:3">
      <c r="C2516"/>
    </row>
    <row r="2517" spans="3:3">
      <c r="C2517"/>
    </row>
    <row r="2518" spans="3:3">
      <c r="C2518"/>
    </row>
    <row r="2519" spans="3:3">
      <c r="C2519"/>
    </row>
    <row r="2520" spans="3:3">
      <c r="C2520"/>
    </row>
    <row r="2521" spans="3:3">
      <c r="C2521"/>
    </row>
    <row r="2522" spans="3:3">
      <c r="C2522"/>
    </row>
    <row r="2523" spans="3:3">
      <c r="C2523"/>
    </row>
    <row r="2524" spans="3:3">
      <c r="C2524"/>
    </row>
    <row r="2525" spans="3:3">
      <c r="C2525"/>
    </row>
    <row r="2526" spans="3:3">
      <c r="C2526"/>
    </row>
    <row r="2527" spans="3:3">
      <c r="C2527"/>
    </row>
    <row r="2528" spans="3:3">
      <c r="C2528"/>
    </row>
    <row r="2529" spans="3:3">
      <c r="C2529"/>
    </row>
    <row r="2530" spans="3:3">
      <c r="C2530"/>
    </row>
    <row r="2531" spans="3:3">
      <c r="C2531"/>
    </row>
    <row r="2532" spans="3:3">
      <c r="C2532"/>
    </row>
    <row r="2533" spans="3:3">
      <c r="C2533"/>
    </row>
    <row r="2534" spans="3:3">
      <c r="C2534"/>
    </row>
    <row r="2535" spans="3:3">
      <c r="C2535"/>
    </row>
    <row r="2536" spans="3:3">
      <c r="C2536"/>
    </row>
    <row r="2537" spans="3:3">
      <c r="C2537"/>
    </row>
    <row r="2538" spans="3:3">
      <c r="C2538"/>
    </row>
    <row r="2539" spans="3:3">
      <c r="C2539"/>
    </row>
    <row r="2540" spans="3:3">
      <c r="C2540"/>
    </row>
    <row r="2541" spans="3:3">
      <c r="C2541"/>
    </row>
    <row r="2542" spans="3:3">
      <c r="C2542"/>
    </row>
    <row r="2543" spans="3:3">
      <c r="C2543"/>
    </row>
    <row r="2544" spans="3:3">
      <c r="C2544"/>
    </row>
    <row r="2545" spans="3:3">
      <c r="C2545"/>
    </row>
    <row r="2546" spans="3:3">
      <c r="C2546"/>
    </row>
    <row r="2547" spans="3:3">
      <c r="C2547"/>
    </row>
    <row r="2548" spans="3:3">
      <c r="C2548"/>
    </row>
    <row r="2549" spans="3:3">
      <c r="C2549"/>
    </row>
    <row r="2550" spans="3:3">
      <c r="C2550"/>
    </row>
    <row r="2551" spans="3:3">
      <c r="C2551"/>
    </row>
    <row r="2552" spans="3:3">
      <c r="C2552"/>
    </row>
    <row r="2553" spans="3:3">
      <c r="C2553"/>
    </row>
    <row r="2554" spans="3:3">
      <c r="C2554"/>
    </row>
    <row r="2555" spans="3:3">
      <c r="C2555"/>
    </row>
    <row r="2556" spans="3:3">
      <c r="C2556"/>
    </row>
    <row r="2557" spans="3:3">
      <c r="C2557"/>
    </row>
    <row r="2558" spans="3:3">
      <c r="C2558"/>
    </row>
    <row r="2559" spans="3:3">
      <c r="C2559"/>
    </row>
    <row r="2560" spans="3:3">
      <c r="C2560"/>
    </row>
    <row r="2561" spans="3:3">
      <c r="C2561"/>
    </row>
    <row r="2562" spans="3:3">
      <c r="C2562"/>
    </row>
    <row r="2563" spans="3:3">
      <c r="C2563"/>
    </row>
    <row r="2564" spans="3:3">
      <c r="C2564"/>
    </row>
    <row r="2565" spans="3:3">
      <c r="C2565"/>
    </row>
    <row r="2566" spans="3:3">
      <c r="C2566"/>
    </row>
    <row r="2567" spans="3:3">
      <c r="C2567"/>
    </row>
    <row r="2568" spans="3:3">
      <c r="C2568"/>
    </row>
    <row r="2569" spans="3:3">
      <c r="C2569"/>
    </row>
    <row r="2570" spans="3:3">
      <c r="C2570"/>
    </row>
    <row r="2571" spans="3:3">
      <c r="C2571"/>
    </row>
    <row r="2572" spans="3:3">
      <c r="C2572"/>
    </row>
    <row r="2573" spans="3:3">
      <c r="C2573"/>
    </row>
    <row r="2574" spans="3:3">
      <c r="C2574"/>
    </row>
    <row r="2575" spans="3:3">
      <c r="C2575"/>
    </row>
    <row r="2576" spans="3:3">
      <c r="C2576"/>
    </row>
    <row r="2577" spans="3:3">
      <c r="C2577"/>
    </row>
    <row r="2578" spans="3:3">
      <c r="C2578"/>
    </row>
    <row r="2579" spans="3:3">
      <c r="C2579"/>
    </row>
    <row r="2580" spans="3:3">
      <c r="C2580"/>
    </row>
    <row r="2581" spans="3:3">
      <c r="C2581"/>
    </row>
    <row r="2582" spans="3:3">
      <c r="C2582"/>
    </row>
    <row r="2583" spans="3:3">
      <c r="C2583"/>
    </row>
    <row r="2584" spans="3:3">
      <c r="C2584"/>
    </row>
    <row r="2585" spans="3:3">
      <c r="C2585"/>
    </row>
    <row r="2586" spans="3:3">
      <c r="C2586"/>
    </row>
    <row r="2587" spans="3:3">
      <c r="C2587"/>
    </row>
    <row r="2588" spans="3:3">
      <c r="C2588"/>
    </row>
    <row r="2589" spans="3:3">
      <c r="C2589"/>
    </row>
    <row r="2590" spans="3:3">
      <c r="C2590"/>
    </row>
    <row r="2591" spans="3:3">
      <c r="C2591"/>
    </row>
    <row r="2592" spans="3:3">
      <c r="C2592"/>
    </row>
    <row r="2593" spans="3:3">
      <c r="C2593"/>
    </row>
    <row r="2594" spans="3:3">
      <c r="C2594"/>
    </row>
    <row r="2595" spans="3:3">
      <c r="C2595"/>
    </row>
    <row r="2596" spans="3:3">
      <c r="C2596"/>
    </row>
    <row r="2597" spans="3:3">
      <c r="C2597"/>
    </row>
    <row r="2598" spans="3:3">
      <c r="C2598"/>
    </row>
    <row r="2599" spans="3:3">
      <c r="C2599"/>
    </row>
    <row r="2600" spans="3:3">
      <c r="C2600"/>
    </row>
    <row r="2601" spans="3:3">
      <c r="C2601"/>
    </row>
    <row r="2602" spans="3:3">
      <c r="C2602"/>
    </row>
    <row r="2603" spans="3:3">
      <c r="C2603"/>
    </row>
    <row r="2604" spans="3:3">
      <c r="C2604"/>
    </row>
    <row r="2605" spans="3:3">
      <c r="C2605"/>
    </row>
    <row r="2606" spans="3:3">
      <c r="C2606"/>
    </row>
    <row r="2607" spans="3:3">
      <c r="C2607"/>
    </row>
    <row r="2608" spans="3:3">
      <c r="C2608"/>
    </row>
    <row r="2609" spans="3:3">
      <c r="C2609"/>
    </row>
    <row r="2610" spans="3:3">
      <c r="C2610"/>
    </row>
    <row r="2611" spans="3:3">
      <c r="C2611"/>
    </row>
    <row r="2612" spans="3:3">
      <c r="C2612"/>
    </row>
    <row r="2613" spans="3:3">
      <c r="C2613"/>
    </row>
    <row r="2614" spans="3:3">
      <c r="C2614"/>
    </row>
    <row r="2615" spans="3:3">
      <c r="C2615"/>
    </row>
    <row r="2616" spans="3:3">
      <c r="C2616"/>
    </row>
    <row r="2617" spans="3:3">
      <c r="C2617"/>
    </row>
    <row r="2618" spans="3:3">
      <c r="C2618"/>
    </row>
    <row r="2619" spans="3:3">
      <c r="C2619"/>
    </row>
    <row r="2620" spans="3:3">
      <c r="C2620"/>
    </row>
    <row r="2621" spans="3:3">
      <c r="C2621"/>
    </row>
    <row r="2622" spans="3:3">
      <c r="C2622"/>
    </row>
    <row r="2623" spans="3:3">
      <c r="C2623"/>
    </row>
    <row r="2624" spans="3:3">
      <c r="C2624"/>
    </row>
    <row r="2625" spans="3:3">
      <c r="C2625"/>
    </row>
    <row r="2626" spans="3:3">
      <c r="C2626"/>
    </row>
    <row r="2627" spans="3:3">
      <c r="C2627"/>
    </row>
    <row r="2628" spans="3:3">
      <c r="C2628"/>
    </row>
    <row r="2629" spans="3:3">
      <c r="C2629"/>
    </row>
    <row r="2630" spans="3:3">
      <c r="C2630"/>
    </row>
    <row r="2631" spans="3:3">
      <c r="C2631"/>
    </row>
    <row r="2632" spans="3:3">
      <c r="C2632"/>
    </row>
    <row r="2633" spans="3:3">
      <c r="C2633"/>
    </row>
    <row r="2634" spans="3:3">
      <c r="C2634"/>
    </row>
    <row r="2635" spans="3:3">
      <c r="C2635"/>
    </row>
    <row r="2636" spans="3:3">
      <c r="C2636"/>
    </row>
    <row r="2637" spans="3:3">
      <c r="C2637"/>
    </row>
    <row r="2638" spans="3:3">
      <c r="C2638"/>
    </row>
    <row r="2639" spans="3:3">
      <c r="C2639"/>
    </row>
    <row r="2640" spans="3:3">
      <c r="C2640"/>
    </row>
    <row r="2641" spans="3:3">
      <c r="C2641"/>
    </row>
    <row r="2642" spans="3:3">
      <c r="C2642"/>
    </row>
    <row r="2643" spans="3:3">
      <c r="C2643"/>
    </row>
    <row r="2644" spans="3:3">
      <c r="C2644"/>
    </row>
    <row r="2645" spans="3:3">
      <c r="C2645"/>
    </row>
    <row r="2646" spans="3:3">
      <c r="C2646"/>
    </row>
    <row r="2647" spans="3:3">
      <c r="C2647"/>
    </row>
    <row r="2648" spans="3:3">
      <c r="C2648"/>
    </row>
    <row r="2649" spans="3:3">
      <c r="C2649"/>
    </row>
    <row r="2650" spans="3:3">
      <c r="C2650"/>
    </row>
    <row r="2651" spans="3:3">
      <c r="C2651"/>
    </row>
    <row r="2652" spans="3:3">
      <c r="C2652"/>
    </row>
    <row r="2653" spans="3:3">
      <c r="C2653"/>
    </row>
    <row r="2654" spans="3:3">
      <c r="C2654"/>
    </row>
    <row r="2655" spans="3:3">
      <c r="C2655"/>
    </row>
    <row r="2656" spans="3:3">
      <c r="C2656"/>
    </row>
    <row r="2657" spans="3:3">
      <c r="C2657"/>
    </row>
    <row r="2658" spans="3:3">
      <c r="C2658"/>
    </row>
    <row r="2659" spans="3:3">
      <c r="C2659"/>
    </row>
    <row r="2660" spans="3:3">
      <c r="C2660"/>
    </row>
    <row r="2661" spans="3:3">
      <c r="C2661"/>
    </row>
    <row r="2662" spans="3:3">
      <c r="C2662"/>
    </row>
    <row r="2663" spans="3:3">
      <c r="C2663"/>
    </row>
    <row r="2664" spans="3:3">
      <c r="C2664"/>
    </row>
    <row r="2665" spans="3:3">
      <c r="C2665"/>
    </row>
    <row r="2666" spans="3:3">
      <c r="C2666"/>
    </row>
    <row r="2667" spans="3:3">
      <c r="C2667"/>
    </row>
    <row r="2668" spans="3:3">
      <c r="C2668"/>
    </row>
    <row r="2669" spans="3:3">
      <c r="C2669"/>
    </row>
    <row r="2670" spans="3:3">
      <c r="C2670"/>
    </row>
    <row r="2671" spans="3:3">
      <c r="C2671"/>
    </row>
    <row r="2672" spans="3:3">
      <c r="C2672"/>
    </row>
    <row r="2673" spans="3:3">
      <c r="C2673"/>
    </row>
    <row r="2674" spans="3:3">
      <c r="C2674"/>
    </row>
    <row r="2675" spans="3:3">
      <c r="C2675"/>
    </row>
    <row r="2676" spans="3:3">
      <c r="C2676"/>
    </row>
    <row r="2677" spans="3:3">
      <c r="C2677"/>
    </row>
    <row r="2678" spans="3:3">
      <c r="C2678"/>
    </row>
    <row r="2679" spans="3:3">
      <c r="C2679"/>
    </row>
    <row r="2680" spans="3:3">
      <c r="C2680"/>
    </row>
    <row r="2681" spans="3:3">
      <c r="C2681"/>
    </row>
    <row r="2682" spans="3:3">
      <c r="C2682"/>
    </row>
    <row r="2683" spans="3:3">
      <c r="C2683"/>
    </row>
    <row r="2684" spans="3:3">
      <c r="C2684"/>
    </row>
    <row r="2685" spans="3:3">
      <c r="C2685"/>
    </row>
    <row r="2686" spans="3:3">
      <c r="C2686"/>
    </row>
    <row r="2687" spans="3:3">
      <c r="C2687"/>
    </row>
    <row r="2688" spans="3:3">
      <c r="C2688"/>
    </row>
    <row r="2689" spans="3:3">
      <c r="C2689"/>
    </row>
    <row r="2690" spans="3:3">
      <c r="C2690"/>
    </row>
    <row r="2691" spans="3:3">
      <c r="C2691"/>
    </row>
    <row r="2692" spans="3:3">
      <c r="C2692"/>
    </row>
    <row r="2693" spans="3:3">
      <c r="C2693"/>
    </row>
    <row r="2694" spans="3:3">
      <c r="C2694"/>
    </row>
    <row r="2695" spans="3:3">
      <c r="C2695"/>
    </row>
    <row r="2696" spans="3:3">
      <c r="C2696"/>
    </row>
    <row r="2697" spans="3:3">
      <c r="C2697"/>
    </row>
    <row r="2698" spans="3:3">
      <c r="C2698"/>
    </row>
    <row r="2699" spans="3:3">
      <c r="C2699"/>
    </row>
    <row r="2700" spans="3:3">
      <c r="C2700"/>
    </row>
    <row r="2701" spans="3:3">
      <c r="C2701"/>
    </row>
    <row r="2702" spans="3:3">
      <c r="C2702"/>
    </row>
    <row r="2703" spans="3:3">
      <c r="C2703"/>
    </row>
    <row r="2704" spans="3:3">
      <c r="C2704"/>
    </row>
    <row r="2705" spans="3:3">
      <c r="C2705"/>
    </row>
    <row r="2706" spans="3:3">
      <c r="C2706"/>
    </row>
    <row r="2707" spans="3:3">
      <c r="C2707"/>
    </row>
    <row r="2708" spans="3:3">
      <c r="C2708"/>
    </row>
    <row r="2709" spans="3:3">
      <c r="C2709"/>
    </row>
    <row r="2710" spans="3:3">
      <c r="C2710"/>
    </row>
    <row r="2711" spans="3:3">
      <c r="C2711"/>
    </row>
    <row r="2712" spans="3:3">
      <c r="C2712"/>
    </row>
    <row r="2713" spans="3:3">
      <c r="C2713"/>
    </row>
    <row r="2714" spans="3:3">
      <c r="C2714"/>
    </row>
    <row r="2715" spans="3:3">
      <c r="C2715"/>
    </row>
    <row r="2716" spans="3:3">
      <c r="C2716"/>
    </row>
    <row r="2717" spans="3:3">
      <c r="C2717"/>
    </row>
    <row r="2718" spans="3:3">
      <c r="C2718"/>
    </row>
    <row r="2719" spans="3:3">
      <c r="C2719"/>
    </row>
    <row r="2720" spans="3:3">
      <c r="C2720"/>
    </row>
    <row r="2721" spans="3:3">
      <c r="C2721"/>
    </row>
    <row r="2722" spans="3:3">
      <c r="C2722"/>
    </row>
    <row r="2723" spans="3:3">
      <c r="C2723"/>
    </row>
    <row r="2724" spans="3:3">
      <c r="C2724"/>
    </row>
    <row r="2725" spans="3:3">
      <c r="C2725"/>
    </row>
    <row r="2726" spans="3:3">
      <c r="C2726"/>
    </row>
    <row r="2727" spans="3:3">
      <c r="C2727"/>
    </row>
    <row r="2728" spans="3:3">
      <c r="C2728"/>
    </row>
    <row r="2729" spans="3:3">
      <c r="C2729"/>
    </row>
    <row r="2730" spans="3:3">
      <c r="C2730"/>
    </row>
    <row r="2731" spans="3:3">
      <c r="C2731"/>
    </row>
    <row r="2732" spans="3:3">
      <c r="C2732"/>
    </row>
    <row r="2733" spans="3:3">
      <c r="C2733"/>
    </row>
    <row r="2734" spans="3:3">
      <c r="C2734"/>
    </row>
    <row r="2735" spans="3:3">
      <c r="C2735"/>
    </row>
    <row r="2736" spans="3:3">
      <c r="C2736"/>
    </row>
    <row r="2737" spans="3:3">
      <c r="C2737"/>
    </row>
    <row r="2738" spans="3:3">
      <c r="C2738"/>
    </row>
    <row r="2739" spans="3:3">
      <c r="C2739"/>
    </row>
    <row r="2740" spans="3:3">
      <c r="C2740"/>
    </row>
    <row r="2741" spans="3:3">
      <c r="C2741"/>
    </row>
    <row r="2742" spans="3:3">
      <c r="C2742"/>
    </row>
    <row r="2743" spans="3:3">
      <c r="C2743"/>
    </row>
    <row r="2744" spans="3:3">
      <c r="C2744"/>
    </row>
    <row r="2745" spans="3:3">
      <c r="C2745"/>
    </row>
    <row r="2746" spans="3:3">
      <c r="C2746"/>
    </row>
    <row r="2747" spans="3:3">
      <c r="C2747"/>
    </row>
    <row r="2748" spans="3:3">
      <c r="C2748"/>
    </row>
    <row r="2749" spans="3:3">
      <c r="C2749"/>
    </row>
    <row r="2750" spans="3:3">
      <c r="C2750"/>
    </row>
    <row r="2751" spans="3:3">
      <c r="C2751"/>
    </row>
    <row r="2752" spans="3:3">
      <c r="C2752"/>
    </row>
    <row r="2753" spans="3:3">
      <c r="C2753"/>
    </row>
    <row r="2754" spans="3:3">
      <c r="C2754"/>
    </row>
    <row r="2755" spans="3:3">
      <c r="C2755"/>
    </row>
    <row r="2756" spans="3:3">
      <c r="C2756"/>
    </row>
    <row r="2757" spans="3:3">
      <c r="C2757"/>
    </row>
    <row r="2758" spans="3:3">
      <c r="C2758"/>
    </row>
    <row r="2759" spans="3:3">
      <c r="C2759"/>
    </row>
    <row r="2760" spans="3:3">
      <c r="C2760"/>
    </row>
    <row r="2761" spans="3:3">
      <c r="C2761"/>
    </row>
    <row r="2762" spans="3:3">
      <c r="C2762"/>
    </row>
    <row r="2763" spans="3:3">
      <c r="C2763"/>
    </row>
    <row r="2764" spans="3:3">
      <c r="C2764"/>
    </row>
    <row r="2765" spans="3:3">
      <c r="C2765"/>
    </row>
    <row r="2766" spans="3:3">
      <c r="C2766"/>
    </row>
    <row r="2767" spans="3:3">
      <c r="C2767"/>
    </row>
    <row r="2768" spans="3:3">
      <c r="C2768"/>
    </row>
    <row r="2769" spans="3:3">
      <c r="C2769"/>
    </row>
    <row r="2770" spans="3:3">
      <c r="C2770"/>
    </row>
    <row r="2771" spans="3:3">
      <c r="C2771"/>
    </row>
    <row r="2772" spans="3:3">
      <c r="C2772"/>
    </row>
    <row r="2773" spans="3:3">
      <c r="C2773"/>
    </row>
    <row r="2774" spans="3:3">
      <c r="C2774"/>
    </row>
    <row r="2775" spans="3:3">
      <c r="C2775"/>
    </row>
    <row r="2776" spans="3:3">
      <c r="C2776"/>
    </row>
    <row r="2777" spans="3:3">
      <c r="C2777"/>
    </row>
    <row r="2778" spans="3:3">
      <c r="C2778"/>
    </row>
    <row r="2779" spans="3:3">
      <c r="C2779"/>
    </row>
    <row r="2780" spans="3:3">
      <c r="C2780"/>
    </row>
    <row r="2781" spans="3:3">
      <c r="C2781"/>
    </row>
    <row r="2782" spans="3:3">
      <c r="C2782"/>
    </row>
    <row r="2783" spans="3:3">
      <c r="C2783"/>
    </row>
    <row r="2784" spans="3:3">
      <c r="C2784"/>
    </row>
    <row r="2785" spans="3:3">
      <c r="C2785"/>
    </row>
    <row r="2786" spans="3:3">
      <c r="C2786"/>
    </row>
    <row r="2787" spans="3:3">
      <c r="C2787"/>
    </row>
    <row r="2788" spans="3:3">
      <c r="C2788"/>
    </row>
    <row r="2789" spans="3:3">
      <c r="C2789"/>
    </row>
    <row r="2790" spans="3:3">
      <c r="C2790"/>
    </row>
    <row r="2791" spans="3:3">
      <c r="C2791"/>
    </row>
    <row r="2792" spans="3:3">
      <c r="C2792"/>
    </row>
    <row r="2793" spans="3:3">
      <c r="C2793"/>
    </row>
    <row r="2794" spans="3:3">
      <c r="C2794"/>
    </row>
    <row r="2795" spans="3:3">
      <c r="C2795"/>
    </row>
    <row r="2796" spans="3:3">
      <c r="C2796"/>
    </row>
    <row r="2797" spans="3:3">
      <c r="C2797"/>
    </row>
    <row r="2798" spans="3:3">
      <c r="C2798"/>
    </row>
    <row r="2799" spans="3:3">
      <c r="C2799"/>
    </row>
    <row r="2800" spans="3:3">
      <c r="C2800"/>
    </row>
    <row r="2801" spans="3:3">
      <c r="C2801"/>
    </row>
    <row r="2802" spans="3:3">
      <c r="C2802"/>
    </row>
    <row r="2803" spans="3:3">
      <c r="C2803"/>
    </row>
    <row r="2804" spans="3:3">
      <c r="C2804"/>
    </row>
    <row r="2805" spans="3:3">
      <c r="C2805"/>
    </row>
    <row r="2806" spans="3:3">
      <c r="C2806"/>
    </row>
    <row r="2807" spans="3:3">
      <c r="C2807"/>
    </row>
    <row r="2808" spans="3:3">
      <c r="C2808"/>
    </row>
    <row r="2809" spans="3:3">
      <c r="C2809"/>
    </row>
    <row r="2810" spans="3:3">
      <c r="C2810"/>
    </row>
    <row r="2811" spans="3:3">
      <c r="C2811"/>
    </row>
    <row r="2812" spans="3:3">
      <c r="C2812"/>
    </row>
    <row r="2813" spans="3:3">
      <c r="C2813"/>
    </row>
    <row r="2814" spans="3:3">
      <c r="C2814"/>
    </row>
    <row r="2815" spans="3:3">
      <c r="C2815"/>
    </row>
    <row r="2816" spans="3:3">
      <c r="C2816"/>
    </row>
    <row r="2817" spans="3:3">
      <c r="C2817"/>
    </row>
    <row r="2818" spans="3:3">
      <c r="C2818"/>
    </row>
    <row r="2819" spans="3:3">
      <c r="C2819"/>
    </row>
    <row r="2820" spans="3:3">
      <c r="C2820"/>
    </row>
    <row r="2821" spans="3:3">
      <c r="C2821"/>
    </row>
    <row r="2822" spans="3:3">
      <c r="C2822"/>
    </row>
    <row r="2823" spans="3:3">
      <c r="C2823"/>
    </row>
    <row r="2824" spans="3:3">
      <c r="C2824"/>
    </row>
    <row r="2825" spans="3:3">
      <c r="C2825"/>
    </row>
    <row r="2826" spans="3:3">
      <c r="C2826"/>
    </row>
    <row r="2827" spans="3:3">
      <c r="C2827"/>
    </row>
    <row r="2828" spans="3:3">
      <c r="C2828"/>
    </row>
    <row r="2829" spans="3:3">
      <c r="C2829"/>
    </row>
    <row r="2830" spans="3:3">
      <c r="C2830"/>
    </row>
    <row r="2831" spans="3:3">
      <c r="C2831"/>
    </row>
    <row r="2832" spans="3:3">
      <c r="C2832"/>
    </row>
    <row r="2833" spans="3:3">
      <c r="C2833"/>
    </row>
    <row r="2834" spans="3:3">
      <c r="C2834"/>
    </row>
    <row r="2835" spans="3:3">
      <c r="C2835"/>
    </row>
    <row r="2836" spans="3:3">
      <c r="C2836"/>
    </row>
    <row r="2837" spans="3:3">
      <c r="C2837"/>
    </row>
    <row r="2838" spans="3:3">
      <c r="C2838"/>
    </row>
    <row r="2839" spans="3:3">
      <c r="C2839"/>
    </row>
    <row r="2840" spans="3:3">
      <c r="C2840"/>
    </row>
    <row r="2841" spans="3:3">
      <c r="C2841"/>
    </row>
    <row r="2842" spans="3:3">
      <c r="C2842"/>
    </row>
    <row r="2843" spans="3:3">
      <c r="C2843"/>
    </row>
    <row r="2844" spans="3:3">
      <c r="C2844"/>
    </row>
    <row r="2845" spans="3:3">
      <c r="C2845"/>
    </row>
    <row r="2846" spans="3:3">
      <c r="C2846"/>
    </row>
    <row r="2847" spans="3:3">
      <c r="C2847"/>
    </row>
    <row r="2848" spans="3:3">
      <c r="C2848"/>
    </row>
    <row r="2849" spans="3:3">
      <c r="C2849"/>
    </row>
    <row r="2850" spans="3:3">
      <c r="C2850"/>
    </row>
    <row r="2851" spans="3:3">
      <c r="C2851"/>
    </row>
    <row r="2852" spans="3:3">
      <c r="C2852"/>
    </row>
    <row r="2853" spans="3:3">
      <c r="C2853"/>
    </row>
    <row r="2854" spans="3:3">
      <c r="C2854"/>
    </row>
    <row r="2855" spans="3:3">
      <c r="C2855"/>
    </row>
    <row r="2856" spans="3:3">
      <c r="C2856"/>
    </row>
    <row r="2857" spans="3:3">
      <c r="C2857"/>
    </row>
    <row r="2858" spans="3:3">
      <c r="C2858"/>
    </row>
    <row r="2859" spans="3:3">
      <c r="C2859"/>
    </row>
    <row r="2860" spans="3:3">
      <c r="C2860"/>
    </row>
    <row r="2861" spans="3:3">
      <c r="C2861"/>
    </row>
    <row r="2862" spans="3:3">
      <c r="C2862"/>
    </row>
    <row r="2863" spans="3:3">
      <c r="C2863"/>
    </row>
    <row r="2864" spans="3:3">
      <c r="C2864"/>
    </row>
    <row r="2865" spans="3:3">
      <c r="C2865"/>
    </row>
    <row r="2866" spans="3:3">
      <c r="C2866"/>
    </row>
    <row r="2867" spans="3:3">
      <c r="C2867"/>
    </row>
    <row r="2868" spans="3:3">
      <c r="C2868"/>
    </row>
    <row r="2869" spans="3:3">
      <c r="C2869"/>
    </row>
    <row r="2870" spans="3:3">
      <c r="C2870"/>
    </row>
    <row r="2871" spans="3:3">
      <c r="C2871"/>
    </row>
    <row r="2872" spans="3:3">
      <c r="C2872"/>
    </row>
    <row r="2873" spans="3:3">
      <c r="C2873"/>
    </row>
    <row r="2874" spans="3:3">
      <c r="C2874"/>
    </row>
    <row r="2875" spans="3:3">
      <c r="C2875"/>
    </row>
    <row r="2876" spans="3:3">
      <c r="C2876"/>
    </row>
    <row r="2877" spans="3:3">
      <c r="C2877"/>
    </row>
    <row r="2878" spans="3:3">
      <c r="C2878"/>
    </row>
    <row r="2879" spans="3:3">
      <c r="C2879"/>
    </row>
    <row r="2880" spans="3:3">
      <c r="C2880"/>
    </row>
    <row r="2881" spans="3:3">
      <c r="C2881"/>
    </row>
    <row r="2882" spans="3:3">
      <c r="C2882"/>
    </row>
    <row r="2883" spans="3:3">
      <c r="C2883"/>
    </row>
    <row r="2884" spans="3:3">
      <c r="C2884"/>
    </row>
    <row r="2885" spans="3:3">
      <c r="C2885"/>
    </row>
    <row r="2886" spans="3:3">
      <c r="C2886"/>
    </row>
    <row r="2887" spans="3:3">
      <c r="C2887"/>
    </row>
    <row r="2888" spans="3:3">
      <c r="C2888"/>
    </row>
    <row r="2889" spans="3:3">
      <c r="C2889"/>
    </row>
    <row r="2890" spans="3:3">
      <c r="C2890"/>
    </row>
    <row r="2891" spans="3:3">
      <c r="C2891"/>
    </row>
    <row r="2892" spans="3:3">
      <c r="C2892"/>
    </row>
    <row r="2893" spans="3:3">
      <c r="C2893"/>
    </row>
    <row r="2894" spans="3:3">
      <c r="C2894"/>
    </row>
    <row r="2895" spans="3:3">
      <c r="C2895"/>
    </row>
    <row r="2896" spans="3:3">
      <c r="C2896"/>
    </row>
    <row r="2897" spans="3:3">
      <c r="C2897"/>
    </row>
    <row r="2898" spans="3:3">
      <c r="C2898"/>
    </row>
    <row r="2899" spans="3:3">
      <c r="C2899"/>
    </row>
    <row r="2900" spans="3:3">
      <c r="C2900"/>
    </row>
    <row r="2901" spans="3:3">
      <c r="C2901"/>
    </row>
    <row r="2902" spans="3:3">
      <c r="C2902"/>
    </row>
    <row r="2903" spans="3:3">
      <c r="C2903"/>
    </row>
    <row r="2904" spans="3:3">
      <c r="C2904"/>
    </row>
    <row r="2905" spans="3:3">
      <c r="C2905"/>
    </row>
    <row r="2906" spans="3:3">
      <c r="C2906"/>
    </row>
    <row r="2907" spans="3:3">
      <c r="C2907"/>
    </row>
    <row r="2908" spans="3:3">
      <c r="C2908"/>
    </row>
    <row r="2909" spans="3:3">
      <c r="C2909"/>
    </row>
    <row r="2910" spans="3:3">
      <c r="C2910"/>
    </row>
    <row r="2911" spans="3:3">
      <c r="C2911"/>
    </row>
    <row r="2912" spans="3:3">
      <c r="C2912"/>
    </row>
    <row r="2913" spans="3:3">
      <c r="C2913"/>
    </row>
    <row r="2914" spans="3:3">
      <c r="C2914"/>
    </row>
    <row r="2915" spans="3:3">
      <c r="C2915"/>
    </row>
    <row r="2916" spans="3:3">
      <c r="C2916"/>
    </row>
    <row r="2917" spans="3:3">
      <c r="C2917"/>
    </row>
    <row r="2918" spans="3:3">
      <c r="C2918"/>
    </row>
    <row r="2919" spans="3:3">
      <c r="C2919"/>
    </row>
    <row r="2920" spans="3:3">
      <c r="C2920"/>
    </row>
    <row r="2921" spans="3:3">
      <c r="C2921"/>
    </row>
    <row r="2922" spans="3:3">
      <c r="C2922"/>
    </row>
    <row r="2923" spans="3:3">
      <c r="C2923"/>
    </row>
    <row r="2924" spans="3:3">
      <c r="C2924"/>
    </row>
    <row r="2925" spans="3:3">
      <c r="C2925"/>
    </row>
    <row r="2926" spans="3:3">
      <c r="C2926"/>
    </row>
    <row r="2927" spans="3:3">
      <c r="C2927"/>
    </row>
    <row r="2928" spans="3:3">
      <c r="C2928"/>
    </row>
    <row r="2929" spans="3:3">
      <c r="C2929"/>
    </row>
    <row r="2930" spans="3:3">
      <c r="C2930"/>
    </row>
    <row r="2931" spans="3:3">
      <c r="C2931"/>
    </row>
    <row r="2932" spans="3:3">
      <c r="C2932"/>
    </row>
    <row r="2933" spans="3:3">
      <c r="C2933"/>
    </row>
    <row r="2934" spans="3:3">
      <c r="C2934"/>
    </row>
    <row r="2935" spans="3:3">
      <c r="C2935"/>
    </row>
    <row r="2936" spans="3:3">
      <c r="C2936"/>
    </row>
    <row r="2937" spans="3:3">
      <c r="C2937"/>
    </row>
    <row r="2938" spans="3:3">
      <c r="C2938"/>
    </row>
    <row r="2939" spans="3:3">
      <c r="C2939"/>
    </row>
    <row r="2940" spans="3:3">
      <c r="C2940"/>
    </row>
    <row r="2941" spans="3:3">
      <c r="C2941"/>
    </row>
    <row r="2942" spans="3:3">
      <c r="C2942"/>
    </row>
    <row r="2943" spans="3:3">
      <c r="C2943"/>
    </row>
    <row r="2944" spans="3:3">
      <c r="C2944"/>
    </row>
    <row r="2945" spans="3:3">
      <c r="C2945"/>
    </row>
    <row r="2946" spans="3:3">
      <c r="C2946"/>
    </row>
    <row r="2947" spans="3:3">
      <c r="C2947"/>
    </row>
    <row r="2948" spans="3:3">
      <c r="C2948"/>
    </row>
    <row r="2949" spans="3:3">
      <c r="C2949"/>
    </row>
    <row r="2950" spans="3:3">
      <c r="C2950"/>
    </row>
    <row r="2951" spans="3:3">
      <c r="C2951"/>
    </row>
    <row r="2952" spans="3:3">
      <c r="C2952"/>
    </row>
    <row r="2953" spans="3:3">
      <c r="C2953"/>
    </row>
    <row r="2954" spans="3:3">
      <c r="C2954"/>
    </row>
    <row r="2955" spans="3:3">
      <c r="C2955"/>
    </row>
    <row r="2956" spans="3:3">
      <c r="C2956"/>
    </row>
    <row r="2957" spans="3:3">
      <c r="C2957"/>
    </row>
    <row r="2958" spans="3:3">
      <c r="C2958"/>
    </row>
    <row r="2959" spans="3:3">
      <c r="C2959"/>
    </row>
    <row r="2960" spans="3:3">
      <c r="C2960"/>
    </row>
    <row r="2961" spans="3:3">
      <c r="C2961"/>
    </row>
    <row r="2962" spans="3:3">
      <c r="C2962"/>
    </row>
    <row r="2963" spans="3:3">
      <c r="C2963"/>
    </row>
    <row r="2964" spans="3:3">
      <c r="C2964"/>
    </row>
    <row r="2965" spans="3:3">
      <c r="C2965"/>
    </row>
    <row r="2966" spans="3:3">
      <c r="C2966"/>
    </row>
    <row r="2967" spans="3:3">
      <c r="C2967"/>
    </row>
    <row r="2968" spans="3:3">
      <c r="C2968"/>
    </row>
    <row r="2969" spans="3:3">
      <c r="C2969"/>
    </row>
    <row r="2970" spans="3:3">
      <c r="C2970"/>
    </row>
    <row r="2971" spans="3:3">
      <c r="C2971"/>
    </row>
    <row r="2972" spans="3:3">
      <c r="C2972"/>
    </row>
    <row r="2973" spans="3:3">
      <c r="C2973"/>
    </row>
    <row r="2974" spans="3:3">
      <c r="C2974"/>
    </row>
    <row r="2975" spans="3:3">
      <c r="C2975"/>
    </row>
    <row r="2976" spans="3:3">
      <c r="C2976"/>
    </row>
    <row r="2977" spans="3:3">
      <c r="C2977"/>
    </row>
    <row r="2978" spans="3:3">
      <c r="C2978"/>
    </row>
    <row r="2979" spans="3:3">
      <c r="C2979"/>
    </row>
    <row r="2980" spans="3:3">
      <c r="C2980"/>
    </row>
    <row r="2981" spans="3:3">
      <c r="C2981"/>
    </row>
    <row r="2982" spans="3:3">
      <c r="C2982"/>
    </row>
    <row r="2983" spans="3:3">
      <c r="C2983"/>
    </row>
    <row r="2984" spans="3:3">
      <c r="C2984"/>
    </row>
    <row r="2985" spans="3:3">
      <c r="C2985"/>
    </row>
    <row r="2986" spans="3:3">
      <c r="C2986"/>
    </row>
    <row r="2987" spans="3:3">
      <c r="C2987"/>
    </row>
    <row r="2988" spans="3:3">
      <c r="C2988"/>
    </row>
    <row r="2989" spans="3:3">
      <c r="C2989"/>
    </row>
    <row r="2990" spans="3:3">
      <c r="C2990"/>
    </row>
    <row r="2991" spans="3:3">
      <c r="C2991"/>
    </row>
    <row r="2992" spans="3:3">
      <c r="C2992"/>
    </row>
    <row r="2993" spans="3:3">
      <c r="C2993"/>
    </row>
    <row r="2994" spans="3:3">
      <c r="C2994"/>
    </row>
    <row r="2995" spans="3:3">
      <c r="C2995"/>
    </row>
    <row r="2996" spans="3:3">
      <c r="C2996"/>
    </row>
    <row r="2997" spans="3:3">
      <c r="C2997"/>
    </row>
    <row r="2998" spans="3:3">
      <c r="C2998"/>
    </row>
    <row r="2999" spans="3:3">
      <c r="C2999"/>
    </row>
    <row r="3000" spans="3:3">
      <c r="C3000"/>
    </row>
    <row r="3001" spans="3:3">
      <c r="C3001"/>
    </row>
    <row r="3002" spans="3:3">
      <c r="C3002"/>
    </row>
    <row r="3003" spans="3:3">
      <c r="C3003"/>
    </row>
    <row r="3004" spans="3:3">
      <c r="C3004"/>
    </row>
    <row r="3005" spans="3:3">
      <c r="C3005"/>
    </row>
    <row r="3006" spans="3:3">
      <c r="C3006"/>
    </row>
    <row r="3007" spans="3:3">
      <c r="C3007"/>
    </row>
    <row r="3008" spans="3:3">
      <c r="C3008"/>
    </row>
    <row r="3009" spans="3:3">
      <c r="C3009"/>
    </row>
    <row r="3010" spans="3:3">
      <c r="C3010"/>
    </row>
    <row r="3011" spans="3:3">
      <c r="C3011"/>
    </row>
    <row r="3012" spans="3:3">
      <c r="C3012"/>
    </row>
    <row r="3013" spans="3:3">
      <c r="C3013"/>
    </row>
    <row r="3014" spans="3:3">
      <c r="C3014"/>
    </row>
    <row r="3015" spans="3:3">
      <c r="C3015"/>
    </row>
    <row r="3016" spans="3:3">
      <c r="C3016"/>
    </row>
    <row r="3017" spans="3:3">
      <c r="C3017"/>
    </row>
    <row r="3018" spans="3:3">
      <c r="C3018"/>
    </row>
    <row r="3019" spans="3:3">
      <c r="C3019"/>
    </row>
    <row r="3020" spans="3:3">
      <c r="C3020"/>
    </row>
    <row r="3021" spans="3:3">
      <c r="C3021"/>
    </row>
    <row r="3022" spans="3:3">
      <c r="C3022"/>
    </row>
    <row r="3023" spans="3:3">
      <c r="C3023"/>
    </row>
    <row r="3024" spans="3:3">
      <c r="C3024"/>
    </row>
    <row r="3025" spans="3:3">
      <c r="C3025"/>
    </row>
    <row r="3026" spans="3:3">
      <c r="C3026"/>
    </row>
    <row r="3027" spans="3:3">
      <c r="C3027"/>
    </row>
    <row r="3028" spans="3:3">
      <c r="C3028"/>
    </row>
    <row r="3029" spans="3:3">
      <c r="C3029"/>
    </row>
    <row r="3030" spans="3:3">
      <c r="C3030"/>
    </row>
    <row r="3031" spans="3:3">
      <c r="C3031"/>
    </row>
    <row r="3032" spans="3:3">
      <c r="C3032"/>
    </row>
    <row r="3033" spans="3:3">
      <c r="C3033"/>
    </row>
    <row r="3034" spans="3:3">
      <c r="C3034"/>
    </row>
    <row r="3035" spans="3:3">
      <c r="C3035"/>
    </row>
    <row r="3036" spans="3:3">
      <c r="C3036"/>
    </row>
    <row r="3037" spans="3:3">
      <c r="C3037"/>
    </row>
    <row r="3038" spans="3:3">
      <c r="C3038"/>
    </row>
    <row r="3039" spans="3:3">
      <c r="C3039"/>
    </row>
    <row r="3040" spans="3:3">
      <c r="C3040"/>
    </row>
    <row r="3041" spans="3:3">
      <c r="C3041"/>
    </row>
    <row r="3042" spans="3:3">
      <c r="C3042"/>
    </row>
    <row r="3043" spans="3:3">
      <c r="C3043"/>
    </row>
    <row r="3044" spans="3:3">
      <c r="C3044"/>
    </row>
    <row r="3045" spans="3:3">
      <c r="C3045"/>
    </row>
    <row r="3046" spans="3:3">
      <c r="C3046"/>
    </row>
    <row r="3047" spans="3:3">
      <c r="C3047"/>
    </row>
    <row r="3048" spans="3:3">
      <c r="C3048"/>
    </row>
    <row r="3049" spans="3:3">
      <c r="C3049"/>
    </row>
    <row r="3050" spans="3:3">
      <c r="C3050"/>
    </row>
    <row r="3051" spans="3:3">
      <c r="C3051"/>
    </row>
    <row r="3052" spans="3:3">
      <c r="C3052"/>
    </row>
    <row r="3053" spans="3:3">
      <c r="C3053"/>
    </row>
    <row r="3054" spans="3:3">
      <c r="C3054"/>
    </row>
    <row r="3055" spans="3:3">
      <c r="C3055"/>
    </row>
    <row r="3056" spans="3:3">
      <c r="C3056"/>
    </row>
    <row r="3057" spans="3:3">
      <c r="C3057"/>
    </row>
    <row r="3058" spans="3:3">
      <c r="C3058"/>
    </row>
    <row r="3059" spans="3:3">
      <c r="C3059"/>
    </row>
    <row r="3060" spans="3:3">
      <c r="C3060"/>
    </row>
    <row r="3061" spans="3:3">
      <c r="C3061"/>
    </row>
    <row r="3062" spans="3:3">
      <c r="C3062"/>
    </row>
    <row r="3063" spans="3:3">
      <c r="C3063"/>
    </row>
    <row r="3064" spans="3:3">
      <c r="C3064"/>
    </row>
    <row r="3065" spans="3:3">
      <c r="C3065"/>
    </row>
    <row r="3066" spans="3:3">
      <c r="C3066"/>
    </row>
    <row r="3067" spans="3:3">
      <c r="C3067"/>
    </row>
    <row r="3068" spans="3:3">
      <c r="C3068"/>
    </row>
    <row r="3069" spans="3:3">
      <c r="C3069"/>
    </row>
    <row r="3070" spans="3:3">
      <c r="C3070"/>
    </row>
    <row r="3071" spans="3:3">
      <c r="C3071"/>
    </row>
    <row r="3072" spans="3:3">
      <c r="C3072"/>
    </row>
    <row r="3073" spans="3:3">
      <c r="C3073"/>
    </row>
    <row r="3074" spans="3:3">
      <c r="C3074"/>
    </row>
    <row r="3075" spans="3:3">
      <c r="C3075"/>
    </row>
    <row r="3076" spans="3:3">
      <c r="C3076"/>
    </row>
    <row r="3077" spans="3:3">
      <c r="C3077"/>
    </row>
    <row r="3078" spans="3:3">
      <c r="C3078"/>
    </row>
    <row r="3079" spans="3:3">
      <c r="C3079"/>
    </row>
    <row r="3080" spans="3:3">
      <c r="C3080"/>
    </row>
    <row r="3081" spans="3:3">
      <c r="C3081"/>
    </row>
    <row r="3082" spans="3:3">
      <c r="C3082"/>
    </row>
    <row r="3083" spans="3:3">
      <c r="C3083"/>
    </row>
    <row r="3084" spans="3:3">
      <c r="C3084"/>
    </row>
    <row r="3085" spans="3:3">
      <c r="C3085"/>
    </row>
    <row r="3086" spans="3:3">
      <c r="C3086"/>
    </row>
    <row r="3087" spans="3:3">
      <c r="C3087"/>
    </row>
    <row r="3088" spans="3:3">
      <c r="C3088"/>
    </row>
    <row r="3089" spans="3:3">
      <c r="C3089"/>
    </row>
    <row r="3090" spans="3:3">
      <c r="C3090"/>
    </row>
    <row r="3091" spans="3:3">
      <c r="C3091"/>
    </row>
    <row r="3092" spans="3:3">
      <c r="C3092"/>
    </row>
    <row r="3093" spans="3:3">
      <c r="C3093"/>
    </row>
    <row r="3094" spans="3:3">
      <c r="C3094"/>
    </row>
    <row r="3095" spans="3:3">
      <c r="C3095"/>
    </row>
    <row r="3096" spans="3:3">
      <c r="C3096"/>
    </row>
    <row r="3097" spans="3:3">
      <c r="C3097"/>
    </row>
    <row r="3098" spans="3:3">
      <c r="C3098"/>
    </row>
    <row r="3099" spans="3:3">
      <c r="C3099"/>
    </row>
    <row r="3100" spans="3:3">
      <c r="C3100"/>
    </row>
    <row r="3101" spans="3:3">
      <c r="C3101"/>
    </row>
    <row r="3102" spans="3:3">
      <c r="C3102"/>
    </row>
    <row r="3103" spans="3:3">
      <c r="C3103"/>
    </row>
    <row r="3104" spans="3:3">
      <c r="C3104"/>
    </row>
    <row r="3105" spans="3:3">
      <c r="C3105"/>
    </row>
    <row r="3106" spans="3:3">
      <c r="C3106"/>
    </row>
    <row r="3107" spans="3:3">
      <c r="C3107"/>
    </row>
    <row r="3108" spans="3:3">
      <c r="C3108"/>
    </row>
    <row r="3109" spans="3:3">
      <c r="C3109"/>
    </row>
    <row r="3110" spans="3:3">
      <c r="C3110"/>
    </row>
    <row r="3111" spans="3:3">
      <c r="C3111"/>
    </row>
    <row r="3112" spans="3:3">
      <c r="C3112"/>
    </row>
    <row r="3113" spans="3:3">
      <c r="C3113"/>
    </row>
    <row r="3114" spans="3:3">
      <c r="C3114"/>
    </row>
    <row r="3115" spans="3:3">
      <c r="C3115"/>
    </row>
    <row r="3116" spans="3:3">
      <c r="C3116"/>
    </row>
    <row r="3117" spans="3:3">
      <c r="C3117"/>
    </row>
    <row r="3118" spans="3:3">
      <c r="C3118"/>
    </row>
    <row r="3119" spans="3:3">
      <c r="C3119"/>
    </row>
    <row r="3120" spans="3:3">
      <c r="C3120"/>
    </row>
    <row r="3121" spans="3:3">
      <c r="C3121"/>
    </row>
    <row r="3122" spans="3:3">
      <c r="C3122"/>
    </row>
    <row r="3123" spans="3:3">
      <c r="C3123"/>
    </row>
    <row r="3124" spans="3:3">
      <c r="C3124"/>
    </row>
    <row r="3125" spans="3:3">
      <c r="C3125"/>
    </row>
    <row r="3126" spans="3:3">
      <c r="C3126"/>
    </row>
    <row r="3127" spans="3:3">
      <c r="C3127"/>
    </row>
    <row r="3128" spans="3:3">
      <c r="C3128"/>
    </row>
    <row r="3129" spans="3:3">
      <c r="C3129"/>
    </row>
    <row r="3130" spans="3:3">
      <c r="C3130"/>
    </row>
    <row r="3131" spans="3:3">
      <c r="C3131"/>
    </row>
    <row r="3132" spans="3:3">
      <c r="C3132"/>
    </row>
    <row r="3133" spans="3:3">
      <c r="C3133"/>
    </row>
    <row r="3134" spans="3:3">
      <c r="C3134"/>
    </row>
    <row r="3135" spans="3:3">
      <c r="C3135"/>
    </row>
    <row r="3136" spans="3:3">
      <c r="C3136"/>
    </row>
    <row r="3137" spans="3:3">
      <c r="C3137"/>
    </row>
    <row r="3138" spans="3:3">
      <c r="C3138"/>
    </row>
    <row r="3139" spans="3:3">
      <c r="C3139"/>
    </row>
    <row r="3140" spans="3:3">
      <c r="C3140"/>
    </row>
    <row r="3141" spans="3:3">
      <c r="C3141"/>
    </row>
    <row r="3142" spans="3:3">
      <c r="C3142"/>
    </row>
    <row r="3143" spans="3:3">
      <c r="C3143"/>
    </row>
    <row r="3144" spans="3:3">
      <c r="C3144"/>
    </row>
    <row r="3145" spans="3:3">
      <c r="C3145"/>
    </row>
    <row r="3146" spans="3:3">
      <c r="C3146"/>
    </row>
    <row r="3147" spans="3:3">
      <c r="C3147"/>
    </row>
    <row r="3148" spans="3:3">
      <c r="C3148"/>
    </row>
    <row r="3149" spans="3:3">
      <c r="C3149"/>
    </row>
    <row r="3150" spans="3:3">
      <c r="C3150"/>
    </row>
    <row r="3151" spans="3:3">
      <c r="C3151"/>
    </row>
    <row r="3152" spans="3:3">
      <c r="C3152"/>
    </row>
    <row r="3153" spans="3:3">
      <c r="C3153"/>
    </row>
    <row r="3154" spans="3:3">
      <c r="C3154"/>
    </row>
    <row r="3155" spans="3:3">
      <c r="C3155"/>
    </row>
    <row r="3156" spans="3:3">
      <c r="C3156"/>
    </row>
    <row r="3157" spans="3:3">
      <c r="C3157"/>
    </row>
    <row r="3158" spans="3:3">
      <c r="C3158"/>
    </row>
    <row r="3159" spans="3:3">
      <c r="C3159"/>
    </row>
    <row r="3160" spans="3:3">
      <c r="C3160"/>
    </row>
    <row r="3161" spans="3:3">
      <c r="C3161"/>
    </row>
    <row r="3162" spans="3:3">
      <c r="C3162"/>
    </row>
    <row r="3163" spans="3:3">
      <c r="C3163"/>
    </row>
    <row r="3164" spans="3:3">
      <c r="C3164"/>
    </row>
    <row r="3165" spans="3:3">
      <c r="C3165"/>
    </row>
    <row r="3166" spans="3:3">
      <c r="C3166"/>
    </row>
    <row r="3167" spans="3:3">
      <c r="C3167"/>
    </row>
    <row r="3168" spans="3:3">
      <c r="C3168"/>
    </row>
    <row r="3169" spans="3:3">
      <c r="C3169"/>
    </row>
    <row r="3170" spans="3:3">
      <c r="C3170"/>
    </row>
    <row r="3171" spans="3:3">
      <c r="C3171"/>
    </row>
    <row r="3172" spans="3:3">
      <c r="C3172"/>
    </row>
    <row r="3173" spans="3:3">
      <c r="C3173"/>
    </row>
    <row r="3174" spans="3:3">
      <c r="C3174"/>
    </row>
    <row r="3175" spans="3:3">
      <c r="C3175"/>
    </row>
    <row r="3176" spans="3:3">
      <c r="C3176"/>
    </row>
    <row r="3177" spans="3:3">
      <c r="C3177"/>
    </row>
    <row r="3178" spans="3:3">
      <c r="C3178"/>
    </row>
    <row r="3179" spans="3:3">
      <c r="C3179"/>
    </row>
    <row r="3180" spans="3:3">
      <c r="C3180"/>
    </row>
    <row r="3181" spans="3:3">
      <c r="C3181"/>
    </row>
    <row r="3182" spans="3:3">
      <c r="C3182"/>
    </row>
    <row r="3183" spans="3:3">
      <c r="C3183"/>
    </row>
    <row r="3184" spans="3:3">
      <c r="C3184"/>
    </row>
    <row r="3185" spans="3:3">
      <c r="C3185"/>
    </row>
    <row r="3186" spans="3:3">
      <c r="C3186"/>
    </row>
    <row r="3187" spans="3:3">
      <c r="C3187"/>
    </row>
    <row r="3188" spans="3:3">
      <c r="C3188"/>
    </row>
    <row r="3189" spans="3:3">
      <c r="C3189"/>
    </row>
    <row r="3190" spans="3:3">
      <c r="C3190"/>
    </row>
    <row r="3191" spans="3:3">
      <c r="C3191"/>
    </row>
    <row r="3192" spans="3:3">
      <c r="C3192"/>
    </row>
    <row r="3193" spans="3:3">
      <c r="C3193"/>
    </row>
    <row r="3194" spans="3:3">
      <c r="C3194"/>
    </row>
    <row r="3195" spans="3:3">
      <c r="C3195"/>
    </row>
    <row r="3196" spans="3:3">
      <c r="C3196"/>
    </row>
    <row r="3197" spans="3:3">
      <c r="C3197"/>
    </row>
    <row r="3198" spans="3:3">
      <c r="C3198"/>
    </row>
    <row r="3199" spans="3:3">
      <c r="C3199"/>
    </row>
    <row r="3200" spans="3:3">
      <c r="C3200"/>
    </row>
    <row r="3201" spans="3:3">
      <c r="C3201"/>
    </row>
    <row r="3202" spans="3:3">
      <c r="C3202"/>
    </row>
    <row r="3203" spans="3:3">
      <c r="C3203"/>
    </row>
    <row r="3204" spans="3:3">
      <c r="C3204"/>
    </row>
    <row r="3205" spans="3:3">
      <c r="C3205"/>
    </row>
    <row r="3206" spans="3:3">
      <c r="C3206"/>
    </row>
    <row r="3207" spans="3:3">
      <c r="C3207"/>
    </row>
    <row r="3208" spans="3:3">
      <c r="C3208"/>
    </row>
    <row r="3209" spans="3:3">
      <c r="C3209"/>
    </row>
    <row r="3210" spans="3:3">
      <c r="C3210"/>
    </row>
    <row r="3211" spans="3:3">
      <c r="C3211"/>
    </row>
    <row r="3212" spans="3:3">
      <c r="C3212"/>
    </row>
    <row r="3213" spans="3:3">
      <c r="C3213"/>
    </row>
    <row r="3214" spans="3:3">
      <c r="C3214"/>
    </row>
    <row r="3215" spans="3:3">
      <c r="C3215"/>
    </row>
    <row r="3216" spans="3:3">
      <c r="C3216"/>
    </row>
    <row r="3217" spans="3:3">
      <c r="C3217"/>
    </row>
    <row r="3218" spans="3:3">
      <c r="C3218"/>
    </row>
    <row r="3219" spans="3:3">
      <c r="C3219"/>
    </row>
    <row r="3220" spans="3:3">
      <c r="C3220"/>
    </row>
    <row r="3221" spans="3:3">
      <c r="C3221"/>
    </row>
    <row r="3222" spans="3:3">
      <c r="C3222"/>
    </row>
    <row r="3223" spans="3:3">
      <c r="C3223"/>
    </row>
    <row r="3224" spans="3:3">
      <c r="C3224"/>
    </row>
    <row r="3225" spans="3:3">
      <c r="C3225"/>
    </row>
    <row r="3226" spans="3:3">
      <c r="C3226"/>
    </row>
    <row r="3227" spans="3:3">
      <c r="C3227"/>
    </row>
    <row r="3228" spans="3:3">
      <c r="C3228"/>
    </row>
    <row r="3229" spans="3:3">
      <c r="C3229"/>
    </row>
    <row r="3230" spans="3:3">
      <c r="C3230"/>
    </row>
    <row r="3231" spans="3:3">
      <c r="C3231"/>
    </row>
    <row r="3232" spans="3:3">
      <c r="C3232"/>
    </row>
    <row r="3233" spans="3:3">
      <c r="C3233"/>
    </row>
    <row r="3234" spans="3:3">
      <c r="C3234"/>
    </row>
    <row r="3235" spans="3:3">
      <c r="C3235"/>
    </row>
    <row r="3236" spans="3:3">
      <c r="C3236"/>
    </row>
    <row r="3237" spans="3:3">
      <c r="C3237"/>
    </row>
    <row r="3238" spans="3:3">
      <c r="C3238"/>
    </row>
    <row r="3239" spans="3:3">
      <c r="C3239"/>
    </row>
    <row r="3240" spans="3:3">
      <c r="C3240"/>
    </row>
    <row r="3241" spans="3:3">
      <c r="C3241"/>
    </row>
    <row r="3242" spans="3:3">
      <c r="C3242"/>
    </row>
    <row r="3243" spans="3:3">
      <c r="C3243"/>
    </row>
    <row r="3244" spans="3:3">
      <c r="C3244"/>
    </row>
    <row r="3245" spans="3:3">
      <c r="C3245"/>
    </row>
    <row r="3246" spans="3:3">
      <c r="C3246"/>
    </row>
    <row r="3247" spans="3:3">
      <c r="C3247"/>
    </row>
    <row r="3248" spans="3:3">
      <c r="C3248"/>
    </row>
    <row r="3249" spans="3:3">
      <c r="C3249"/>
    </row>
    <row r="3250" spans="3:3">
      <c r="C3250"/>
    </row>
    <row r="3251" spans="3:3">
      <c r="C3251"/>
    </row>
    <row r="3252" spans="3:3">
      <c r="C3252"/>
    </row>
    <row r="3253" spans="3:3">
      <c r="C3253"/>
    </row>
    <row r="3254" spans="3:3">
      <c r="C3254"/>
    </row>
    <row r="3255" spans="3:3">
      <c r="C3255"/>
    </row>
    <row r="3256" spans="3:3">
      <c r="C3256"/>
    </row>
    <row r="3257" spans="3:3">
      <c r="C3257"/>
    </row>
    <row r="3258" spans="3:3">
      <c r="C3258"/>
    </row>
    <row r="3259" spans="3:3">
      <c r="C3259"/>
    </row>
    <row r="3260" spans="3:3">
      <c r="C3260"/>
    </row>
    <row r="3261" spans="3:3">
      <c r="C3261"/>
    </row>
    <row r="3262" spans="3:3">
      <c r="C3262"/>
    </row>
    <row r="3263" spans="3:3">
      <c r="C3263"/>
    </row>
    <row r="3264" spans="3:3">
      <c r="C3264"/>
    </row>
    <row r="3265" spans="3:3">
      <c r="C3265"/>
    </row>
    <row r="3266" spans="3:3">
      <c r="C3266"/>
    </row>
    <row r="3267" spans="3:3">
      <c r="C3267"/>
    </row>
    <row r="3268" spans="3:3">
      <c r="C3268"/>
    </row>
    <row r="3269" spans="3:3">
      <c r="C3269"/>
    </row>
    <row r="3270" spans="3:3">
      <c r="C3270"/>
    </row>
    <row r="3271" spans="3:3">
      <c r="C3271"/>
    </row>
    <row r="3272" spans="3:3">
      <c r="C3272"/>
    </row>
    <row r="3273" spans="3:3">
      <c r="C3273"/>
    </row>
    <row r="3274" spans="3:3">
      <c r="C3274"/>
    </row>
    <row r="3275" spans="3:3">
      <c r="C3275"/>
    </row>
    <row r="3276" spans="3:3">
      <c r="C3276"/>
    </row>
    <row r="3277" spans="3:3">
      <c r="C3277"/>
    </row>
    <row r="3278" spans="3:3">
      <c r="C3278"/>
    </row>
    <row r="3279" spans="3:3">
      <c r="C3279"/>
    </row>
    <row r="3280" spans="3:3">
      <c r="C3280"/>
    </row>
    <row r="3281" spans="3:3">
      <c r="C3281"/>
    </row>
    <row r="3282" spans="3:3">
      <c r="C3282"/>
    </row>
    <row r="3283" spans="3:3">
      <c r="C3283"/>
    </row>
    <row r="3284" spans="3:3">
      <c r="C3284"/>
    </row>
    <row r="3285" spans="3:3">
      <c r="C3285"/>
    </row>
    <row r="3286" spans="3:3">
      <c r="C3286"/>
    </row>
    <row r="3287" spans="3:3">
      <c r="C3287"/>
    </row>
    <row r="3288" spans="3:3">
      <c r="C3288"/>
    </row>
    <row r="3289" spans="3:3">
      <c r="C3289"/>
    </row>
    <row r="3290" spans="3:3">
      <c r="C3290"/>
    </row>
    <row r="3291" spans="3:3">
      <c r="C3291"/>
    </row>
    <row r="3292" spans="3:3">
      <c r="C3292"/>
    </row>
    <row r="3293" spans="3:3">
      <c r="C3293"/>
    </row>
    <row r="3294" spans="3:3">
      <c r="C3294"/>
    </row>
    <row r="3295" spans="3:3">
      <c r="C3295"/>
    </row>
    <row r="3296" spans="3:3">
      <c r="C3296"/>
    </row>
    <row r="3297" spans="3:3">
      <c r="C3297"/>
    </row>
    <row r="3298" spans="3:3">
      <c r="C3298"/>
    </row>
    <row r="3299" spans="3:3">
      <c r="C3299"/>
    </row>
    <row r="3300" spans="3:3">
      <c r="C3300"/>
    </row>
    <row r="3301" spans="3:3">
      <c r="C3301"/>
    </row>
    <row r="3302" spans="3:3">
      <c r="C3302"/>
    </row>
    <row r="3303" spans="3:3">
      <c r="C3303"/>
    </row>
    <row r="3304" spans="3:3">
      <c r="C3304"/>
    </row>
    <row r="3305" spans="3:3">
      <c r="C3305"/>
    </row>
    <row r="3306" spans="3:3">
      <c r="C3306"/>
    </row>
    <row r="3307" spans="3:3">
      <c r="C3307"/>
    </row>
    <row r="3308" spans="3:3">
      <c r="C3308"/>
    </row>
    <row r="3309" spans="3:3">
      <c r="C3309"/>
    </row>
    <row r="3310" spans="3:3">
      <c r="C3310"/>
    </row>
    <row r="3311" spans="3:3">
      <c r="C3311"/>
    </row>
    <row r="3312" spans="3:3">
      <c r="C3312"/>
    </row>
    <row r="3313" spans="3:3">
      <c r="C3313"/>
    </row>
    <row r="3314" spans="3:3">
      <c r="C3314"/>
    </row>
    <row r="3315" spans="3:3">
      <c r="C3315"/>
    </row>
    <row r="3316" spans="3:3">
      <c r="C3316"/>
    </row>
    <row r="3317" spans="3:3">
      <c r="C3317"/>
    </row>
    <row r="3318" spans="3:3">
      <c r="C3318"/>
    </row>
    <row r="3319" spans="3:3">
      <c r="C3319"/>
    </row>
    <row r="3320" spans="3:3">
      <c r="C3320"/>
    </row>
    <row r="3321" spans="3:3">
      <c r="C3321"/>
    </row>
    <row r="3322" spans="3:3">
      <c r="C3322"/>
    </row>
    <row r="3323" spans="3:3">
      <c r="C3323"/>
    </row>
    <row r="3324" spans="3:3">
      <c r="C3324"/>
    </row>
    <row r="3325" spans="3:3">
      <c r="C3325"/>
    </row>
    <row r="3326" spans="3:3">
      <c r="C3326"/>
    </row>
    <row r="3327" spans="3:3">
      <c r="C3327"/>
    </row>
    <row r="3328" spans="3:3">
      <c r="C3328"/>
    </row>
    <row r="3329" spans="3:3">
      <c r="C3329"/>
    </row>
    <row r="3330" spans="3:3">
      <c r="C3330"/>
    </row>
    <row r="3331" spans="3:3">
      <c r="C3331"/>
    </row>
    <row r="3332" spans="3:3">
      <c r="C3332"/>
    </row>
    <row r="3333" spans="3:3">
      <c r="C3333"/>
    </row>
    <row r="3334" spans="3:3">
      <c r="C3334"/>
    </row>
    <row r="3335" spans="3:3">
      <c r="C3335"/>
    </row>
    <row r="3336" spans="3:3">
      <c r="C3336"/>
    </row>
    <row r="3337" spans="3:3">
      <c r="C3337"/>
    </row>
    <row r="3338" spans="3:3">
      <c r="C3338"/>
    </row>
    <row r="3339" spans="3:3">
      <c r="C3339"/>
    </row>
    <row r="3340" spans="3:3">
      <c r="C3340"/>
    </row>
    <row r="3341" spans="3:3">
      <c r="C3341"/>
    </row>
    <row r="3342" spans="3:3">
      <c r="C3342"/>
    </row>
    <row r="3343" spans="3:3">
      <c r="C3343"/>
    </row>
    <row r="3344" spans="3:3">
      <c r="C3344"/>
    </row>
    <row r="3345" spans="3:3">
      <c r="C3345"/>
    </row>
    <row r="3346" spans="3:3">
      <c r="C3346"/>
    </row>
    <row r="3347" spans="3:3">
      <c r="C3347"/>
    </row>
    <row r="3348" spans="3:3">
      <c r="C3348"/>
    </row>
    <row r="3349" spans="3:3">
      <c r="C3349"/>
    </row>
    <row r="3350" spans="3:3">
      <c r="C3350"/>
    </row>
    <row r="3351" spans="3:3">
      <c r="C3351"/>
    </row>
    <row r="3352" spans="3:3">
      <c r="C3352"/>
    </row>
    <row r="3353" spans="3:3">
      <c r="C3353"/>
    </row>
    <row r="3354" spans="3:3">
      <c r="C3354"/>
    </row>
    <row r="3355" spans="3:3">
      <c r="C3355"/>
    </row>
    <row r="3356" spans="3:3">
      <c r="C3356"/>
    </row>
    <row r="3357" spans="3:3">
      <c r="C3357"/>
    </row>
    <row r="3358" spans="3:3">
      <c r="C3358"/>
    </row>
    <row r="3359" spans="3:3">
      <c r="C3359"/>
    </row>
    <row r="3360" spans="3:3">
      <c r="C3360"/>
    </row>
    <row r="3361" spans="3:3">
      <c r="C3361"/>
    </row>
    <row r="3362" spans="3:3">
      <c r="C3362"/>
    </row>
    <row r="3363" spans="3:3">
      <c r="C3363"/>
    </row>
    <row r="3364" spans="3:3">
      <c r="C3364"/>
    </row>
    <row r="3365" spans="3:3">
      <c r="C3365"/>
    </row>
    <row r="3366" spans="3:3">
      <c r="C3366"/>
    </row>
    <row r="3367" spans="3:3">
      <c r="C3367"/>
    </row>
    <row r="3368" spans="3:3">
      <c r="C3368"/>
    </row>
    <row r="3369" spans="3:3">
      <c r="C3369"/>
    </row>
    <row r="3370" spans="3:3">
      <c r="C3370"/>
    </row>
    <row r="3371" spans="3:3">
      <c r="C3371"/>
    </row>
    <row r="3372" spans="3:3">
      <c r="C3372"/>
    </row>
    <row r="3373" spans="3:3">
      <c r="C3373"/>
    </row>
    <row r="3374" spans="3:3">
      <c r="C3374"/>
    </row>
    <row r="3375" spans="3:3">
      <c r="C3375"/>
    </row>
    <row r="3376" spans="3:3">
      <c r="C3376"/>
    </row>
    <row r="3377" spans="3:3">
      <c r="C3377"/>
    </row>
    <row r="3378" spans="3:3">
      <c r="C3378"/>
    </row>
    <row r="3379" spans="3:3">
      <c r="C3379"/>
    </row>
    <row r="3380" spans="3:3">
      <c r="C3380"/>
    </row>
    <row r="3381" spans="3:3">
      <c r="C3381"/>
    </row>
    <row r="3382" spans="3:3">
      <c r="C3382"/>
    </row>
    <row r="3383" spans="3:3">
      <c r="C3383"/>
    </row>
    <row r="3384" spans="3:3">
      <c r="C3384"/>
    </row>
    <row r="3385" spans="3:3">
      <c r="C3385"/>
    </row>
    <row r="3386" spans="3:3">
      <c r="C3386"/>
    </row>
    <row r="3387" spans="3:3">
      <c r="C3387"/>
    </row>
    <row r="3388" spans="3:3">
      <c r="C3388"/>
    </row>
    <row r="3389" spans="3:3">
      <c r="C3389"/>
    </row>
    <row r="3390" spans="3:3">
      <c r="C3390"/>
    </row>
    <row r="3391" spans="3:3">
      <c r="C3391"/>
    </row>
    <row r="3392" spans="3:3">
      <c r="C3392"/>
    </row>
    <row r="3393" spans="3:3">
      <c r="C3393"/>
    </row>
    <row r="3394" spans="3:3">
      <c r="C3394"/>
    </row>
    <row r="3395" spans="3:3">
      <c r="C3395"/>
    </row>
    <row r="3396" spans="3:3">
      <c r="C3396"/>
    </row>
    <row r="3397" spans="3:3">
      <c r="C3397"/>
    </row>
    <row r="3398" spans="3:3">
      <c r="C3398"/>
    </row>
    <row r="3399" spans="3:3">
      <c r="C3399"/>
    </row>
    <row r="3400" spans="3:3">
      <c r="C3400"/>
    </row>
    <row r="3401" spans="3:3">
      <c r="C3401"/>
    </row>
    <row r="3402" spans="3:3">
      <c r="C3402"/>
    </row>
    <row r="3403" spans="3:3">
      <c r="C3403"/>
    </row>
    <row r="3404" spans="3:3">
      <c r="C3404"/>
    </row>
    <row r="3405" spans="3:3">
      <c r="C3405"/>
    </row>
    <row r="3406" spans="3:3">
      <c r="C3406"/>
    </row>
    <row r="3407" spans="3:3">
      <c r="C3407"/>
    </row>
    <row r="3408" spans="3:3">
      <c r="C3408"/>
    </row>
    <row r="3409" spans="3:3">
      <c r="C3409"/>
    </row>
    <row r="3410" spans="3:3">
      <c r="C3410"/>
    </row>
    <row r="3411" spans="3:3">
      <c r="C3411"/>
    </row>
    <row r="3412" spans="3:3">
      <c r="C3412"/>
    </row>
    <row r="3413" spans="3:3">
      <c r="C3413"/>
    </row>
    <row r="3414" spans="3:3">
      <c r="C3414"/>
    </row>
    <row r="3415" spans="3:3">
      <c r="C3415"/>
    </row>
    <row r="3416" spans="3:3">
      <c r="C3416"/>
    </row>
    <row r="3417" spans="3:3">
      <c r="C3417"/>
    </row>
    <row r="3418" spans="3:3">
      <c r="C3418"/>
    </row>
    <row r="3419" spans="3:3">
      <c r="C3419"/>
    </row>
    <row r="3420" spans="3:3">
      <c r="C3420"/>
    </row>
    <row r="3421" spans="3:3">
      <c r="C3421"/>
    </row>
    <row r="3422" spans="3:3">
      <c r="C3422"/>
    </row>
    <row r="3423" spans="3:3">
      <c r="C3423"/>
    </row>
    <row r="3424" spans="3:3">
      <c r="C3424"/>
    </row>
    <row r="3425" spans="3:3">
      <c r="C3425"/>
    </row>
    <row r="3426" spans="3:3">
      <c r="C3426"/>
    </row>
    <row r="3427" spans="3:3">
      <c r="C3427"/>
    </row>
    <row r="3428" spans="3:3">
      <c r="C3428"/>
    </row>
    <row r="3429" spans="3:3">
      <c r="C3429"/>
    </row>
    <row r="3430" spans="3:3">
      <c r="C3430"/>
    </row>
    <row r="3431" spans="3:3">
      <c r="C3431"/>
    </row>
    <row r="3432" spans="3:3">
      <c r="C3432"/>
    </row>
    <row r="3433" spans="3:3">
      <c r="C3433"/>
    </row>
    <row r="3434" spans="3:3">
      <c r="C3434"/>
    </row>
    <row r="3435" spans="3:3">
      <c r="C3435"/>
    </row>
    <row r="3436" spans="3:3">
      <c r="C3436"/>
    </row>
    <row r="3437" spans="3:3">
      <c r="C3437"/>
    </row>
    <row r="3438" spans="3:3">
      <c r="C3438"/>
    </row>
    <row r="3439" spans="3:3">
      <c r="C3439"/>
    </row>
    <row r="3440" spans="3:3">
      <c r="C3440"/>
    </row>
    <row r="3441" spans="3:3">
      <c r="C3441"/>
    </row>
    <row r="3442" spans="3:3">
      <c r="C3442"/>
    </row>
    <row r="3443" spans="3:3">
      <c r="C3443"/>
    </row>
    <row r="3444" spans="3:3">
      <c r="C3444"/>
    </row>
    <row r="3445" spans="3:3">
      <c r="C3445"/>
    </row>
    <row r="3446" spans="3:3">
      <c r="C3446"/>
    </row>
    <row r="3447" spans="3:3">
      <c r="C3447"/>
    </row>
    <row r="3448" spans="3:3">
      <c r="C3448"/>
    </row>
    <row r="3449" spans="3:3">
      <c r="C3449"/>
    </row>
    <row r="3450" spans="3:3">
      <c r="C3450"/>
    </row>
    <row r="3451" spans="3:3">
      <c r="C3451"/>
    </row>
    <row r="3452" spans="3:3">
      <c r="C3452"/>
    </row>
    <row r="3453" spans="3:3">
      <c r="C3453"/>
    </row>
    <row r="3454" spans="3:3">
      <c r="C3454"/>
    </row>
    <row r="3455" spans="3:3">
      <c r="C3455"/>
    </row>
    <row r="3456" spans="3:3">
      <c r="C3456"/>
    </row>
    <row r="3457" spans="3:3">
      <c r="C3457"/>
    </row>
    <row r="3458" spans="3:3">
      <c r="C3458"/>
    </row>
    <row r="3459" spans="3:3">
      <c r="C3459"/>
    </row>
    <row r="3460" spans="3:3">
      <c r="C3460"/>
    </row>
    <row r="3461" spans="3:3">
      <c r="C3461"/>
    </row>
    <row r="3462" spans="3:3">
      <c r="C3462"/>
    </row>
    <row r="3463" spans="3:3">
      <c r="C3463"/>
    </row>
    <row r="3464" spans="3:3">
      <c r="C3464"/>
    </row>
    <row r="3465" spans="3:3">
      <c r="C3465"/>
    </row>
    <row r="3466" spans="3:3">
      <c r="C3466"/>
    </row>
    <row r="3467" spans="3:3">
      <c r="C3467"/>
    </row>
    <row r="3468" spans="3:3">
      <c r="C3468"/>
    </row>
    <row r="3469" spans="3:3">
      <c r="C3469"/>
    </row>
    <row r="3470" spans="3:3">
      <c r="C3470"/>
    </row>
    <row r="3471" spans="3:3">
      <c r="C3471"/>
    </row>
    <row r="3472" spans="3:3">
      <c r="C3472"/>
    </row>
    <row r="3473" spans="3:3">
      <c r="C3473"/>
    </row>
    <row r="3474" spans="3:3">
      <c r="C3474"/>
    </row>
    <row r="3475" spans="3:3">
      <c r="C3475"/>
    </row>
    <row r="3476" spans="3:3">
      <c r="C3476"/>
    </row>
    <row r="3477" spans="3:3">
      <c r="C3477"/>
    </row>
    <row r="3478" spans="3:3">
      <c r="C3478"/>
    </row>
    <row r="3479" spans="3:3">
      <c r="C3479"/>
    </row>
    <row r="3480" spans="3:3">
      <c r="C3480"/>
    </row>
    <row r="3481" spans="3:3">
      <c r="C3481"/>
    </row>
    <row r="3482" spans="3:3">
      <c r="C3482"/>
    </row>
    <row r="3483" spans="3:3">
      <c r="C3483"/>
    </row>
    <row r="3484" spans="3:3">
      <c r="C3484"/>
    </row>
    <row r="3485" spans="3:3">
      <c r="C3485"/>
    </row>
    <row r="3486" spans="3:3">
      <c r="C3486"/>
    </row>
    <row r="3487" spans="3:3">
      <c r="C3487"/>
    </row>
    <row r="3488" spans="3:3">
      <c r="C3488"/>
    </row>
    <row r="3489" spans="3:3">
      <c r="C3489"/>
    </row>
    <row r="3490" spans="3:3">
      <c r="C3490"/>
    </row>
    <row r="3491" spans="3:3">
      <c r="C3491"/>
    </row>
    <row r="3492" spans="3:3">
      <c r="C3492"/>
    </row>
    <row r="3493" spans="3:3">
      <c r="C3493"/>
    </row>
    <row r="3494" spans="3:3">
      <c r="C3494"/>
    </row>
    <row r="3495" spans="3:3">
      <c r="C3495"/>
    </row>
    <row r="3496" spans="3:3">
      <c r="C3496"/>
    </row>
    <row r="3497" spans="3:3">
      <c r="C3497"/>
    </row>
    <row r="3498" spans="3:3">
      <c r="C3498"/>
    </row>
    <row r="3499" spans="3:3">
      <c r="C3499"/>
    </row>
    <row r="3500" spans="3:3">
      <c r="C3500"/>
    </row>
    <row r="3501" spans="3:3">
      <c r="C3501"/>
    </row>
    <row r="3502" spans="3:3">
      <c r="C3502"/>
    </row>
    <row r="3503" spans="3:3">
      <c r="C3503"/>
    </row>
    <row r="3504" spans="3:3">
      <c r="C3504"/>
    </row>
    <row r="3505" spans="3:3">
      <c r="C3505"/>
    </row>
    <row r="3506" spans="3:3">
      <c r="C3506"/>
    </row>
    <row r="3507" spans="3:3">
      <c r="C3507"/>
    </row>
    <row r="3508" spans="3:3">
      <c r="C3508"/>
    </row>
    <row r="3509" spans="3:3">
      <c r="C3509"/>
    </row>
    <row r="3510" spans="3:3">
      <c r="C3510"/>
    </row>
    <row r="3511" spans="3:3">
      <c r="C3511"/>
    </row>
    <row r="3512" spans="3:3">
      <c r="C3512"/>
    </row>
    <row r="3513" spans="3:3">
      <c r="C3513"/>
    </row>
    <row r="3514" spans="3:3">
      <c r="C3514"/>
    </row>
    <row r="3515" spans="3:3">
      <c r="C3515"/>
    </row>
    <row r="3516" spans="3:3">
      <c r="C3516"/>
    </row>
    <row r="3517" spans="3:3">
      <c r="C3517"/>
    </row>
    <row r="3518" spans="3:3">
      <c r="C3518"/>
    </row>
    <row r="3519" spans="3:3">
      <c r="C3519"/>
    </row>
    <row r="3520" spans="3:3">
      <c r="C3520"/>
    </row>
    <row r="3521" spans="3:3">
      <c r="C3521"/>
    </row>
    <row r="3522" spans="3:3">
      <c r="C3522"/>
    </row>
    <row r="3523" spans="3:3">
      <c r="C3523"/>
    </row>
    <row r="3524" spans="3:3">
      <c r="C3524"/>
    </row>
    <row r="3525" spans="3:3">
      <c r="C3525"/>
    </row>
    <row r="3526" spans="3:3">
      <c r="C3526"/>
    </row>
    <row r="3527" spans="3:3">
      <c r="C3527"/>
    </row>
    <row r="3528" spans="3:3">
      <c r="C3528"/>
    </row>
    <row r="3529" spans="3:3">
      <c r="C3529"/>
    </row>
    <row r="3530" spans="3:3">
      <c r="C3530"/>
    </row>
    <row r="3531" spans="3:3">
      <c r="C3531"/>
    </row>
    <row r="3532" spans="3:3">
      <c r="C3532"/>
    </row>
    <row r="3533" spans="3:3">
      <c r="C3533"/>
    </row>
    <row r="3534" spans="3:3">
      <c r="C3534"/>
    </row>
    <row r="3535" spans="3:3">
      <c r="C3535"/>
    </row>
    <row r="3536" spans="3:3">
      <c r="C3536"/>
    </row>
    <row r="3537" spans="3:3">
      <c r="C3537"/>
    </row>
    <row r="3538" spans="3:3">
      <c r="C3538"/>
    </row>
    <row r="3539" spans="3:3">
      <c r="C3539"/>
    </row>
    <row r="3540" spans="3:3">
      <c r="C3540"/>
    </row>
    <row r="3541" spans="3:3">
      <c r="C3541"/>
    </row>
    <row r="3542" spans="3:3">
      <c r="C3542"/>
    </row>
    <row r="3543" spans="3:3">
      <c r="C3543"/>
    </row>
    <row r="3544" spans="3:3">
      <c r="C3544"/>
    </row>
    <row r="3545" spans="3:3">
      <c r="C3545"/>
    </row>
    <row r="3546" spans="3:3">
      <c r="C3546"/>
    </row>
    <row r="3547" spans="3:3">
      <c r="C3547"/>
    </row>
    <row r="3548" spans="3:3">
      <c r="C3548"/>
    </row>
    <row r="3549" spans="3:3">
      <c r="C3549"/>
    </row>
    <row r="3550" spans="3:3">
      <c r="C3550"/>
    </row>
    <row r="3551" spans="3:3">
      <c r="C3551"/>
    </row>
    <row r="3552" spans="3:3">
      <c r="C3552"/>
    </row>
    <row r="3553" spans="3:3">
      <c r="C3553"/>
    </row>
    <row r="3554" spans="3:3">
      <c r="C3554"/>
    </row>
    <row r="3555" spans="3:3">
      <c r="C3555"/>
    </row>
    <row r="3556" spans="3:3">
      <c r="C3556"/>
    </row>
    <row r="3557" spans="3:3">
      <c r="C3557"/>
    </row>
    <row r="3558" spans="3:3">
      <c r="C3558"/>
    </row>
    <row r="3559" spans="3:3">
      <c r="C3559"/>
    </row>
    <row r="3560" spans="3:3">
      <c r="C3560"/>
    </row>
    <row r="3561" spans="3:3">
      <c r="C3561"/>
    </row>
    <row r="3562" spans="3:3">
      <c r="C3562"/>
    </row>
    <row r="3563" spans="3:3">
      <c r="C3563"/>
    </row>
    <row r="3564" spans="3:3">
      <c r="C3564"/>
    </row>
    <row r="3565" spans="3:3">
      <c r="C3565"/>
    </row>
    <row r="3566" spans="3:3">
      <c r="C3566"/>
    </row>
    <row r="3567" spans="3:3">
      <c r="C3567"/>
    </row>
    <row r="3568" spans="3:3">
      <c r="C3568"/>
    </row>
    <row r="3569" spans="3:3">
      <c r="C3569"/>
    </row>
    <row r="3570" spans="3:3">
      <c r="C3570"/>
    </row>
    <row r="3571" spans="3:3">
      <c r="C3571"/>
    </row>
    <row r="3572" spans="3:3">
      <c r="C3572"/>
    </row>
    <row r="3573" spans="3:3">
      <c r="C3573"/>
    </row>
    <row r="3574" spans="3:3">
      <c r="C3574"/>
    </row>
    <row r="3575" spans="3:3">
      <c r="C3575"/>
    </row>
    <row r="3576" spans="3:3">
      <c r="C3576"/>
    </row>
    <row r="3577" spans="3:3">
      <c r="C3577"/>
    </row>
    <row r="3578" spans="3:3">
      <c r="C3578"/>
    </row>
    <row r="3579" spans="3:3">
      <c r="C3579"/>
    </row>
    <row r="3580" spans="3:3">
      <c r="C3580"/>
    </row>
    <row r="3581" spans="3:3">
      <c r="C3581"/>
    </row>
    <row r="3582" spans="3:3">
      <c r="C3582"/>
    </row>
    <row r="3583" spans="3:3">
      <c r="C3583"/>
    </row>
    <row r="3584" spans="3:3">
      <c r="C3584"/>
    </row>
    <row r="3585" spans="3:3">
      <c r="C3585"/>
    </row>
    <row r="3586" spans="3:3">
      <c r="C3586"/>
    </row>
    <row r="3587" spans="3:3">
      <c r="C3587"/>
    </row>
    <row r="3588" spans="3:3">
      <c r="C3588"/>
    </row>
    <row r="3589" spans="3:3">
      <c r="C3589"/>
    </row>
    <row r="3590" spans="3:3">
      <c r="C3590"/>
    </row>
    <row r="3591" spans="3:3">
      <c r="C3591"/>
    </row>
    <row r="3592" spans="3:3">
      <c r="C3592"/>
    </row>
    <row r="3593" spans="3:3">
      <c r="C3593"/>
    </row>
    <row r="3594" spans="3:3">
      <c r="C3594"/>
    </row>
    <row r="3595" spans="3:3">
      <c r="C3595"/>
    </row>
    <row r="3596" spans="3:3">
      <c r="C3596"/>
    </row>
    <row r="3597" spans="3:3">
      <c r="C3597"/>
    </row>
    <row r="3598" spans="3:3">
      <c r="C3598"/>
    </row>
    <row r="3599" spans="3:3">
      <c r="C3599"/>
    </row>
    <row r="3600" spans="3:3">
      <c r="C3600"/>
    </row>
    <row r="3601" spans="3:3">
      <c r="C3601"/>
    </row>
    <row r="3602" spans="3:3">
      <c r="C3602"/>
    </row>
    <row r="3603" spans="3:3">
      <c r="C3603"/>
    </row>
    <row r="3604" spans="3:3">
      <c r="C3604"/>
    </row>
    <row r="3605" spans="3:3">
      <c r="C3605"/>
    </row>
    <row r="3606" spans="3:3">
      <c r="C3606"/>
    </row>
    <row r="3607" spans="3:3">
      <c r="C3607"/>
    </row>
    <row r="3608" spans="3:3">
      <c r="C3608"/>
    </row>
    <row r="3609" spans="3:3">
      <c r="C3609"/>
    </row>
    <row r="3610" spans="3:3">
      <c r="C3610"/>
    </row>
    <row r="3611" spans="3:3">
      <c r="C3611"/>
    </row>
    <row r="3612" spans="3:3">
      <c r="C3612"/>
    </row>
    <row r="3613" spans="3:3">
      <c r="C3613"/>
    </row>
    <row r="3614" spans="3:3">
      <c r="C3614"/>
    </row>
    <row r="3615" spans="3:3">
      <c r="C3615"/>
    </row>
    <row r="3616" spans="3:3">
      <c r="C3616"/>
    </row>
    <row r="3617" spans="3:3">
      <c r="C3617"/>
    </row>
    <row r="3618" spans="3:3">
      <c r="C3618"/>
    </row>
    <row r="3619" spans="3:3">
      <c r="C3619"/>
    </row>
    <row r="3620" spans="3:3">
      <c r="C3620"/>
    </row>
    <row r="3621" spans="3:3">
      <c r="C3621"/>
    </row>
    <row r="3622" spans="3:3">
      <c r="C3622"/>
    </row>
    <row r="3623" spans="3:3">
      <c r="C3623"/>
    </row>
    <row r="3624" spans="3:3">
      <c r="C3624"/>
    </row>
    <row r="3625" spans="3:3">
      <c r="C3625"/>
    </row>
    <row r="3626" spans="3:3">
      <c r="C3626"/>
    </row>
    <row r="3627" spans="3:3">
      <c r="C3627"/>
    </row>
    <row r="3628" spans="3:3">
      <c r="C3628"/>
    </row>
    <row r="3629" spans="3:3">
      <c r="C3629"/>
    </row>
    <row r="3630" spans="3:3">
      <c r="C3630"/>
    </row>
    <row r="3631" spans="3:3">
      <c r="C3631"/>
    </row>
    <row r="3632" spans="3:3">
      <c r="C3632"/>
    </row>
    <row r="3633" spans="3:3">
      <c r="C3633"/>
    </row>
    <row r="3634" spans="3:3">
      <c r="C3634"/>
    </row>
    <row r="3635" spans="3:3">
      <c r="C3635"/>
    </row>
    <row r="3636" spans="3:3">
      <c r="C3636"/>
    </row>
    <row r="3637" spans="3:3">
      <c r="C3637"/>
    </row>
    <row r="3638" spans="3:3">
      <c r="C3638"/>
    </row>
    <row r="3639" spans="3:3">
      <c r="C3639"/>
    </row>
    <row r="3640" spans="3:3">
      <c r="C3640"/>
    </row>
    <row r="3641" spans="3:3">
      <c r="C3641"/>
    </row>
    <row r="3642" spans="3:3">
      <c r="C3642"/>
    </row>
    <row r="3643" spans="3:3">
      <c r="C3643"/>
    </row>
    <row r="3644" spans="3:3">
      <c r="C3644"/>
    </row>
    <row r="3645" spans="3:3">
      <c r="C3645"/>
    </row>
    <row r="3646" spans="3:3">
      <c r="C3646"/>
    </row>
    <row r="3647" spans="3:3">
      <c r="C3647"/>
    </row>
    <row r="3648" spans="3:3">
      <c r="C3648"/>
    </row>
    <row r="3649" spans="3:3">
      <c r="C3649"/>
    </row>
    <row r="3650" spans="3:3">
      <c r="C3650"/>
    </row>
    <row r="3651" spans="3:3">
      <c r="C3651"/>
    </row>
    <row r="3652" spans="3:3">
      <c r="C3652"/>
    </row>
    <row r="3653" spans="3:3">
      <c r="C3653"/>
    </row>
    <row r="3654" spans="3:3">
      <c r="C3654"/>
    </row>
    <row r="3655" spans="3:3">
      <c r="C3655"/>
    </row>
    <row r="3656" spans="3:3">
      <c r="C3656"/>
    </row>
    <row r="3657" spans="3:3">
      <c r="C3657"/>
    </row>
    <row r="3658" spans="3:3">
      <c r="C3658"/>
    </row>
    <row r="3659" spans="3:3">
      <c r="C3659"/>
    </row>
    <row r="3660" spans="3:3">
      <c r="C3660"/>
    </row>
    <row r="3661" spans="3:3">
      <c r="C3661"/>
    </row>
    <row r="3662" spans="3:3">
      <c r="C3662"/>
    </row>
    <row r="3663" spans="3:3">
      <c r="C3663"/>
    </row>
    <row r="3664" spans="3:3">
      <c r="C3664"/>
    </row>
    <row r="3665" spans="3:3">
      <c r="C3665"/>
    </row>
    <row r="3666" spans="3:3">
      <c r="C3666"/>
    </row>
    <row r="3667" spans="3:3">
      <c r="C3667"/>
    </row>
    <row r="3668" spans="3:3">
      <c r="C3668"/>
    </row>
    <row r="3669" spans="3:3">
      <c r="C3669"/>
    </row>
    <row r="3670" spans="3:3">
      <c r="C3670"/>
    </row>
    <row r="3671" spans="3:3">
      <c r="C3671"/>
    </row>
    <row r="3672" spans="3:3">
      <c r="C3672"/>
    </row>
    <row r="3673" spans="3:3">
      <c r="C3673"/>
    </row>
    <row r="3674" spans="3:3">
      <c r="C3674"/>
    </row>
    <row r="3675" spans="3:3">
      <c r="C3675"/>
    </row>
    <row r="3676" spans="3:3">
      <c r="C3676"/>
    </row>
    <row r="3677" spans="3:3">
      <c r="C3677"/>
    </row>
    <row r="3678" spans="3:3">
      <c r="C3678"/>
    </row>
    <row r="3679" spans="3:3">
      <c r="C3679"/>
    </row>
    <row r="3680" spans="3:3">
      <c r="C3680"/>
    </row>
    <row r="3681" spans="3:3">
      <c r="C3681"/>
    </row>
    <row r="3682" spans="3:3">
      <c r="C3682"/>
    </row>
    <row r="3683" spans="3:3">
      <c r="C3683"/>
    </row>
    <row r="3684" spans="3:3">
      <c r="C3684"/>
    </row>
    <row r="3685" spans="3:3">
      <c r="C3685"/>
    </row>
    <row r="3686" spans="3:3">
      <c r="C3686"/>
    </row>
    <row r="3687" spans="3:3">
      <c r="C3687"/>
    </row>
    <row r="3688" spans="3:3">
      <c r="C3688"/>
    </row>
    <row r="3689" spans="3:3">
      <c r="C3689"/>
    </row>
    <row r="3690" spans="3:3">
      <c r="C3690"/>
    </row>
    <row r="3691" spans="3:3">
      <c r="C3691"/>
    </row>
    <row r="3692" spans="3:3">
      <c r="C3692"/>
    </row>
    <row r="3693" spans="3:3">
      <c r="C3693"/>
    </row>
    <row r="3694" spans="3:3">
      <c r="C3694"/>
    </row>
    <row r="3695" spans="3:3">
      <c r="C3695"/>
    </row>
    <row r="3696" spans="3:3">
      <c r="C3696"/>
    </row>
    <row r="3697" spans="3:3">
      <c r="C3697"/>
    </row>
    <row r="3698" spans="3:3">
      <c r="C3698"/>
    </row>
    <row r="3699" spans="3:3">
      <c r="C3699"/>
    </row>
    <row r="3700" spans="3:3">
      <c r="C3700"/>
    </row>
    <row r="3701" spans="3:3">
      <c r="C3701"/>
    </row>
    <row r="3702" spans="3:3">
      <c r="C3702"/>
    </row>
    <row r="3703" spans="3:3">
      <c r="C3703"/>
    </row>
    <row r="3704" spans="3:3">
      <c r="C3704"/>
    </row>
    <row r="3705" spans="3:3">
      <c r="C3705"/>
    </row>
    <row r="3706" spans="3:3">
      <c r="C3706"/>
    </row>
    <row r="3707" spans="3:3">
      <c r="C3707"/>
    </row>
    <row r="3708" spans="3:3">
      <c r="C3708"/>
    </row>
    <row r="3709" spans="3:3">
      <c r="C3709"/>
    </row>
    <row r="3710" spans="3:3">
      <c r="C3710"/>
    </row>
    <row r="3711" spans="3:3">
      <c r="C3711"/>
    </row>
    <row r="3712" spans="3:3">
      <c r="C3712"/>
    </row>
    <row r="3713" spans="3:3">
      <c r="C3713"/>
    </row>
    <row r="3714" spans="3:3">
      <c r="C3714"/>
    </row>
    <row r="3715" spans="3:3">
      <c r="C3715"/>
    </row>
    <row r="3716" spans="3:3">
      <c r="C3716"/>
    </row>
    <row r="3717" spans="3:3">
      <c r="C3717"/>
    </row>
    <row r="3718" spans="3:3">
      <c r="C3718"/>
    </row>
    <row r="3719" spans="3:3">
      <c r="C3719"/>
    </row>
    <row r="3720" spans="3:3">
      <c r="C3720"/>
    </row>
    <row r="3721" spans="3:3">
      <c r="C3721"/>
    </row>
    <row r="3722" spans="3:3">
      <c r="C3722"/>
    </row>
    <row r="3723" spans="3:3">
      <c r="C3723"/>
    </row>
    <row r="3724" spans="3:3">
      <c r="C3724"/>
    </row>
    <row r="3725" spans="3:3">
      <c r="C3725"/>
    </row>
    <row r="3726" spans="3:3">
      <c r="C3726"/>
    </row>
    <row r="3727" spans="3:3">
      <c r="C3727"/>
    </row>
    <row r="3728" spans="3:3">
      <c r="C3728"/>
    </row>
    <row r="3729" spans="3:3">
      <c r="C3729"/>
    </row>
    <row r="3730" spans="3:3">
      <c r="C3730"/>
    </row>
    <row r="3731" spans="3:3">
      <c r="C3731"/>
    </row>
    <row r="3732" spans="3:3">
      <c r="C3732"/>
    </row>
    <row r="3733" spans="3:3">
      <c r="C3733"/>
    </row>
    <row r="3734" spans="3:3">
      <c r="C3734"/>
    </row>
    <row r="3735" spans="3:3">
      <c r="C3735"/>
    </row>
    <row r="3736" spans="3:3">
      <c r="C3736"/>
    </row>
    <row r="3737" spans="3:3">
      <c r="C3737"/>
    </row>
    <row r="3738" spans="3:3">
      <c r="C3738"/>
    </row>
    <row r="3739" spans="3:3">
      <c r="C3739"/>
    </row>
    <row r="3740" spans="3:3">
      <c r="C3740"/>
    </row>
    <row r="3741" spans="3:3">
      <c r="C3741"/>
    </row>
    <row r="3742" spans="3:3">
      <c r="C3742"/>
    </row>
    <row r="3743" spans="3:3">
      <c r="C3743"/>
    </row>
    <row r="3744" spans="3:3">
      <c r="C3744"/>
    </row>
    <row r="3745" spans="3:3">
      <c r="C3745"/>
    </row>
    <row r="3746" spans="3:3">
      <c r="C3746"/>
    </row>
    <row r="3747" spans="3:3">
      <c r="C3747"/>
    </row>
    <row r="3748" spans="3:3">
      <c r="C3748"/>
    </row>
    <row r="3749" spans="3:3">
      <c r="C3749"/>
    </row>
    <row r="3750" spans="3:3">
      <c r="C3750"/>
    </row>
    <row r="3751" spans="3:3">
      <c r="C3751"/>
    </row>
    <row r="3752" spans="3:3">
      <c r="C3752"/>
    </row>
    <row r="3753" spans="3:3">
      <c r="C3753"/>
    </row>
    <row r="3754" spans="3:3">
      <c r="C3754"/>
    </row>
    <row r="3755" spans="3:3">
      <c r="C3755"/>
    </row>
    <row r="3756" spans="3:3">
      <c r="C3756"/>
    </row>
    <row r="3757" spans="3:3">
      <c r="C3757"/>
    </row>
    <row r="3758" spans="3:3">
      <c r="C3758"/>
    </row>
    <row r="3759" spans="3:3">
      <c r="C3759"/>
    </row>
    <row r="3760" spans="3:3">
      <c r="C3760"/>
    </row>
    <row r="3761" spans="3:3">
      <c r="C3761"/>
    </row>
    <row r="3762" spans="3:3">
      <c r="C3762"/>
    </row>
    <row r="3763" spans="3:3">
      <c r="C3763"/>
    </row>
    <row r="3764" spans="3:3">
      <c r="C3764"/>
    </row>
    <row r="3765" spans="3:3">
      <c r="C3765"/>
    </row>
    <row r="3766" spans="3:3">
      <c r="C3766"/>
    </row>
    <row r="3767" spans="3:3">
      <c r="C3767"/>
    </row>
    <row r="3768" spans="3:3">
      <c r="C3768"/>
    </row>
    <row r="3769" spans="3:3">
      <c r="C3769"/>
    </row>
    <row r="3770" spans="3:3">
      <c r="C3770"/>
    </row>
    <row r="3771" spans="3:3">
      <c r="C3771"/>
    </row>
    <row r="3772" spans="3:3">
      <c r="C3772"/>
    </row>
    <row r="3773" spans="3:3">
      <c r="C3773"/>
    </row>
    <row r="3774" spans="3:3">
      <c r="C3774"/>
    </row>
    <row r="3775" spans="3:3">
      <c r="C3775"/>
    </row>
    <row r="3776" spans="3:3">
      <c r="C3776"/>
    </row>
    <row r="3777" spans="3:3">
      <c r="C3777"/>
    </row>
    <row r="3778" spans="3:3">
      <c r="C3778"/>
    </row>
    <row r="3779" spans="3:3">
      <c r="C3779"/>
    </row>
    <row r="3780" spans="3:3">
      <c r="C3780"/>
    </row>
    <row r="3781" spans="3:3">
      <c r="C3781"/>
    </row>
    <row r="3782" spans="3:3">
      <c r="C3782"/>
    </row>
    <row r="3783" spans="3:3">
      <c r="C3783"/>
    </row>
    <row r="3784" spans="3:3">
      <c r="C3784"/>
    </row>
    <row r="3785" spans="3:3">
      <c r="C3785"/>
    </row>
    <row r="3786" spans="3:3">
      <c r="C3786"/>
    </row>
    <row r="3787" spans="3:3">
      <c r="C3787"/>
    </row>
    <row r="3788" spans="3:3">
      <c r="C3788"/>
    </row>
    <row r="3789" spans="3:3">
      <c r="C3789"/>
    </row>
    <row r="3790" spans="3:3">
      <c r="C3790"/>
    </row>
    <row r="3791" spans="3:3">
      <c r="C3791"/>
    </row>
    <row r="3792" spans="3:3">
      <c r="C3792"/>
    </row>
    <row r="3793" spans="3:3">
      <c r="C3793"/>
    </row>
    <row r="3794" spans="3:3">
      <c r="C3794"/>
    </row>
    <row r="3795" spans="3:3">
      <c r="C3795"/>
    </row>
    <row r="3796" spans="3:3">
      <c r="C3796"/>
    </row>
    <row r="3797" spans="3:3">
      <c r="C3797"/>
    </row>
    <row r="3798" spans="3:3">
      <c r="C3798"/>
    </row>
    <row r="3799" spans="3:3">
      <c r="C3799"/>
    </row>
    <row r="3800" spans="3:3">
      <c r="C3800"/>
    </row>
    <row r="3801" spans="3:3">
      <c r="C3801"/>
    </row>
    <row r="3802" spans="3:3">
      <c r="C3802"/>
    </row>
    <row r="3803" spans="3:3">
      <c r="C3803"/>
    </row>
    <row r="3804" spans="3:3">
      <c r="C3804"/>
    </row>
    <row r="3805" spans="3:3">
      <c r="C3805"/>
    </row>
    <row r="3806" spans="3:3">
      <c r="C3806"/>
    </row>
    <row r="3807" spans="3:3">
      <c r="C3807"/>
    </row>
    <row r="3808" spans="3:3">
      <c r="C3808"/>
    </row>
    <row r="3809" spans="3:3">
      <c r="C3809"/>
    </row>
    <row r="3810" spans="3:3">
      <c r="C3810"/>
    </row>
    <row r="3811" spans="3:3">
      <c r="C3811"/>
    </row>
    <row r="3812" spans="3:3">
      <c r="C3812"/>
    </row>
    <row r="3813" spans="3:3">
      <c r="C3813"/>
    </row>
    <row r="3814" spans="3:3">
      <c r="C3814"/>
    </row>
    <row r="3815" spans="3:3">
      <c r="C3815"/>
    </row>
    <row r="3816" spans="3:3">
      <c r="C3816"/>
    </row>
    <row r="3817" spans="3:3">
      <c r="C3817"/>
    </row>
    <row r="3818" spans="3:3">
      <c r="C3818"/>
    </row>
    <row r="3819" spans="3:3">
      <c r="C3819"/>
    </row>
    <row r="3820" spans="3:3">
      <c r="C3820"/>
    </row>
    <row r="3821" spans="3:3">
      <c r="C3821"/>
    </row>
    <row r="3822" spans="3:3">
      <c r="C3822"/>
    </row>
    <row r="3823" spans="3:3">
      <c r="C3823"/>
    </row>
    <row r="3824" spans="3:3">
      <c r="C3824"/>
    </row>
    <row r="3825" spans="3:3">
      <c r="C3825"/>
    </row>
    <row r="3826" spans="3:3">
      <c r="C3826"/>
    </row>
    <row r="3827" spans="3:3">
      <c r="C3827"/>
    </row>
    <row r="3828" spans="3:3">
      <c r="C3828"/>
    </row>
    <row r="3829" spans="3:3">
      <c r="C3829"/>
    </row>
    <row r="3830" spans="3:3">
      <c r="C3830"/>
    </row>
    <row r="3831" spans="3:3">
      <c r="C3831"/>
    </row>
    <row r="3832" spans="3:3">
      <c r="C3832"/>
    </row>
    <row r="3833" spans="3:3">
      <c r="C3833"/>
    </row>
    <row r="3834" spans="3:3">
      <c r="C3834"/>
    </row>
    <row r="3835" spans="3:3">
      <c r="C3835"/>
    </row>
    <row r="3836" spans="3:3">
      <c r="C3836"/>
    </row>
    <row r="3837" spans="3:3">
      <c r="C3837"/>
    </row>
    <row r="3838" spans="3:3">
      <c r="C3838"/>
    </row>
    <row r="3839" spans="3:3">
      <c r="C3839"/>
    </row>
    <row r="3840" spans="3:3">
      <c r="C3840"/>
    </row>
    <row r="3841" spans="3:3">
      <c r="C3841"/>
    </row>
    <row r="3842" spans="3:3">
      <c r="C3842"/>
    </row>
    <row r="3843" spans="3:3">
      <c r="C3843"/>
    </row>
    <row r="3844" spans="3:3">
      <c r="C3844"/>
    </row>
    <row r="3845" spans="3:3">
      <c r="C3845"/>
    </row>
    <row r="3846" spans="3:3">
      <c r="C3846"/>
    </row>
    <row r="3847" spans="3:3">
      <c r="C3847"/>
    </row>
    <row r="3848" spans="3:3">
      <c r="C3848"/>
    </row>
    <row r="3849" spans="3:3">
      <c r="C3849"/>
    </row>
    <row r="3850" spans="3:3">
      <c r="C3850"/>
    </row>
    <row r="3851" spans="3:3">
      <c r="C3851"/>
    </row>
    <row r="3852" spans="3:3">
      <c r="C3852"/>
    </row>
    <row r="3853" spans="3:3">
      <c r="C3853"/>
    </row>
    <row r="3854" spans="3:3">
      <c r="C3854"/>
    </row>
    <row r="3855" spans="3:3">
      <c r="C3855"/>
    </row>
    <row r="3856" spans="3:3">
      <c r="C3856"/>
    </row>
    <row r="3857" spans="3:3">
      <c r="C3857"/>
    </row>
    <row r="3858" spans="3:3">
      <c r="C3858"/>
    </row>
    <row r="3859" spans="3:3">
      <c r="C3859"/>
    </row>
    <row r="3860" spans="3:3">
      <c r="C3860"/>
    </row>
    <row r="3861" spans="3:3">
      <c r="C3861"/>
    </row>
    <row r="3862" spans="3:3">
      <c r="C3862"/>
    </row>
    <row r="3863" spans="3:3">
      <c r="C3863"/>
    </row>
    <row r="3864" spans="3:3">
      <c r="C3864"/>
    </row>
    <row r="3865" spans="3:3">
      <c r="C3865"/>
    </row>
    <row r="3866" spans="3:3">
      <c r="C3866"/>
    </row>
    <row r="3867" spans="3:3">
      <c r="C3867"/>
    </row>
    <row r="3868" spans="3:3">
      <c r="C3868"/>
    </row>
    <row r="3869" spans="3:3">
      <c r="C3869"/>
    </row>
    <row r="3870" spans="3:3">
      <c r="C3870"/>
    </row>
    <row r="3871" spans="3:3">
      <c r="C3871"/>
    </row>
    <row r="3872" spans="3:3">
      <c r="C3872"/>
    </row>
    <row r="3873" spans="3:3">
      <c r="C3873"/>
    </row>
    <row r="3874" spans="3:3">
      <c r="C3874"/>
    </row>
    <row r="3875" spans="3:3">
      <c r="C3875"/>
    </row>
    <row r="3876" spans="3:3">
      <c r="C3876"/>
    </row>
    <row r="3877" spans="3:3">
      <c r="C3877"/>
    </row>
    <row r="3878" spans="3:3">
      <c r="C3878"/>
    </row>
    <row r="3879" spans="3:3">
      <c r="C3879"/>
    </row>
    <row r="3880" spans="3:3">
      <c r="C3880"/>
    </row>
    <row r="3881" spans="3:3">
      <c r="C3881"/>
    </row>
    <row r="3882" spans="3:3">
      <c r="C3882"/>
    </row>
    <row r="3883" spans="3:3">
      <c r="C3883"/>
    </row>
    <row r="3884" spans="3:3">
      <c r="C3884"/>
    </row>
    <row r="3885" spans="3:3">
      <c r="C3885"/>
    </row>
    <row r="3886" spans="3:3">
      <c r="C3886"/>
    </row>
    <row r="3887" spans="3:3">
      <c r="C3887"/>
    </row>
    <row r="3888" spans="3:3">
      <c r="C3888"/>
    </row>
    <row r="3889" spans="3:3">
      <c r="C3889"/>
    </row>
    <row r="3890" spans="3:3">
      <c r="C3890"/>
    </row>
    <row r="3891" spans="3:3">
      <c r="C3891"/>
    </row>
    <row r="3892" spans="3:3">
      <c r="C3892"/>
    </row>
    <row r="3893" spans="3:3">
      <c r="C3893"/>
    </row>
    <row r="3894" spans="3:3">
      <c r="C3894"/>
    </row>
    <row r="3895" spans="3:3">
      <c r="C3895"/>
    </row>
    <row r="3896" spans="3:3">
      <c r="C3896"/>
    </row>
    <row r="3897" spans="3:3">
      <c r="C3897"/>
    </row>
    <row r="3898" spans="3:3">
      <c r="C3898"/>
    </row>
    <row r="3899" spans="3:3">
      <c r="C3899"/>
    </row>
    <row r="3900" spans="3:3">
      <c r="C3900"/>
    </row>
    <row r="3901" spans="3:3">
      <c r="C3901"/>
    </row>
    <row r="3902" spans="3:3">
      <c r="C3902"/>
    </row>
    <row r="3903" spans="3:3">
      <c r="C3903"/>
    </row>
    <row r="3904" spans="3:3">
      <c r="C3904"/>
    </row>
    <row r="3905" spans="3:3">
      <c r="C3905"/>
    </row>
    <row r="3906" spans="3:3">
      <c r="C3906"/>
    </row>
    <row r="3907" spans="3:3">
      <c r="C3907"/>
    </row>
    <row r="3908" spans="3:3">
      <c r="C3908"/>
    </row>
    <row r="3909" spans="3:3">
      <c r="C3909"/>
    </row>
    <row r="3910" spans="3:3">
      <c r="C3910"/>
    </row>
    <row r="3911" spans="3:3">
      <c r="C3911"/>
    </row>
    <row r="3912" spans="3:3">
      <c r="C3912"/>
    </row>
    <row r="3913" spans="3:3">
      <c r="C3913"/>
    </row>
    <row r="3914" spans="3:3">
      <c r="C3914"/>
    </row>
    <row r="3915" spans="3:3">
      <c r="C3915"/>
    </row>
    <row r="3916" spans="3:3">
      <c r="C3916"/>
    </row>
    <row r="3917" spans="3:3">
      <c r="C3917"/>
    </row>
    <row r="3918" spans="3:3">
      <c r="C3918"/>
    </row>
    <row r="3919" spans="3:3">
      <c r="C3919"/>
    </row>
    <row r="3920" spans="3:3">
      <c r="C3920"/>
    </row>
    <row r="3921" spans="3:3">
      <c r="C3921"/>
    </row>
    <row r="3922" spans="3:3">
      <c r="C3922"/>
    </row>
    <row r="3923" spans="3:3">
      <c r="C3923"/>
    </row>
    <row r="3924" spans="3:3">
      <c r="C3924"/>
    </row>
    <row r="3925" spans="3:3">
      <c r="C3925"/>
    </row>
    <row r="3926" spans="3:3">
      <c r="C3926"/>
    </row>
    <row r="3927" spans="3:3">
      <c r="C3927"/>
    </row>
    <row r="3928" spans="3:3">
      <c r="C3928"/>
    </row>
    <row r="3929" spans="3:3">
      <c r="C3929"/>
    </row>
    <row r="3930" spans="3:3">
      <c r="C3930"/>
    </row>
    <row r="3931" spans="3:3">
      <c r="C3931"/>
    </row>
    <row r="3932" spans="3:3">
      <c r="C3932"/>
    </row>
    <row r="3933" spans="3:3">
      <c r="C3933"/>
    </row>
    <row r="3934" spans="3:3">
      <c r="C3934"/>
    </row>
    <row r="3935" spans="3:3">
      <c r="C3935"/>
    </row>
    <row r="3936" spans="3:3">
      <c r="C3936"/>
    </row>
    <row r="3937" spans="3:3">
      <c r="C3937"/>
    </row>
    <row r="3938" spans="3:3">
      <c r="C3938"/>
    </row>
    <row r="3939" spans="3:3">
      <c r="C3939"/>
    </row>
    <row r="3940" spans="3:3">
      <c r="C3940"/>
    </row>
    <row r="3941" spans="3:3">
      <c r="C3941"/>
    </row>
    <row r="3942" spans="3:3">
      <c r="C3942"/>
    </row>
    <row r="3943" spans="3:3">
      <c r="C3943"/>
    </row>
    <row r="3944" spans="3:3">
      <c r="C3944"/>
    </row>
    <row r="3945" spans="3:3">
      <c r="C3945"/>
    </row>
    <row r="3946" spans="3:3">
      <c r="C3946"/>
    </row>
    <row r="3947" spans="3:3">
      <c r="C3947"/>
    </row>
    <row r="3948" spans="3:3">
      <c r="C3948"/>
    </row>
    <row r="3949" spans="3:3">
      <c r="C3949"/>
    </row>
    <row r="3950" spans="3:3">
      <c r="C3950"/>
    </row>
    <row r="3951" spans="3:3">
      <c r="C3951"/>
    </row>
    <row r="3952" spans="3:3">
      <c r="C3952"/>
    </row>
    <row r="3953" spans="3:3">
      <c r="C3953"/>
    </row>
    <row r="3954" spans="3:3">
      <c r="C3954"/>
    </row>
    <row r="3955" spans="3:3">
      <c r="C3955"/>
    </row>
    <row r="3956" spans="3:3">
      <c r="C3956"/>
    </row>
    <row r="3957" spans="3:3">
      <c r="C3957"/>
    </row>
    <row r="3958" spans="3:3">
      <c r="C3958"/>
    </row>
    <row r="3959" spans="3:3">
      <c r="C3959"/>
    </row>
    <row r="3960" spans="3:3">
      <c r="C3960"/>
    </row>
    <row r="3961" spans="3:3">
      <c r="C3961"/>
    </row>
    <row r="3962" spans="3:3">
      <c r="C3962"/>
    </row>
    <row r="3963" spans="3:3">
      <c r="C3963"/>
    </row>
    <row r="3964" spans="3:3">
      <c r="C3964"/>
    </row>
    <row r="3965" spans="3:3">
      <c r="C3965"/>
    </row>
    <row r="3966" spans="3:3">
      <c r="C3966"/>
    </row>
    <row r="3967" spans="3:3">
      <c r="C3967"/>
    </row>
    <row r="3968" spans="3:3">
      <c r="C3968"/>
    </row>
    <row r="3969" spans="3:3">
      <c r="C3969"/>
    </row>
    <row r="3970" spans="3:3">
      <c r="C3970"/>
    </row>
    <row r="3971" spans="3:3">
      <c r="C3971"/>
    </row>
    <row r="3972" spans="3:3">
      <c r="C3972"/>
    </row>
    <row r="3973" spans="3:3">
      <c r="C3973"/>
    </row>
    <row r="3974" spans="3:3">
      <c r="C3974"/>
    </row>
    <row r="3975" spans="3:3">
      <c r="C3975"/>
    </row>
    <row r="3976" spans="3:3">
      <c r="C3976"/>
    </row>
    <row r="3977" spans="3:3">
      <c r="C3977"/>
    </row>
    <row r="3978" spans="3:3">
      <c r="C3978"/>
    </row>
    <row r="3979" spans="3:3">
      <c r="C3979"/>
    </row>
    <row r="3980" spans="3:3">
      <c r="C3980"/>
    </row>
    <row r="3981" spans="3:3">
      <c r="C3981"/>
    </row>
    <row r="3982" spans="3:3">
      <c r="C3982"/>
    </row>
    <row r="3983" spans="3:3">
      <c r="C3983"/>
    </row>
    <row r="3984" spans="3:3">
      <c r="C3984"/>
    </row>
    <row r="3985" spans="3:3">
      <c r="C3985"/>
    </row>
    <row r="3986" spans="3:3">
      <c r="C3986"/>
    </row>
    <row r="3987" spans="3:3">
      <c r="C3987"/>
    </row>
    <row r="3988" spans="3:3">
      <c r="C3988"/>
    </row>
    <row r="3989" spans="3:3">
      <c r="C3989"/>
    </row>
    <row r="3990" spans="3:3">
      <c r="C3990"/>
    </row>
    <row r="3991" spans="3:3">
      <c r="C3991"/>
    </row>
    <row r="3992" spans="3:3">
      <c r="C3992"/>
    </row>
    <row r="3993" spans="3:3">
      <c r="C3993"/>
    </row>
    <row r="3994" spans="3:3">
      <c r="C3994"/>
    </row>
    <row r="3995" spans="3:3">
      <c r="C3995"/>
    </row>
    <row r="3996" spans="3:3">
      <c r="C3996"/>
    </row>
    <row r="3997" spans="3:3">
      <c r="C3997"/>
    </row>
    <row r="3998" spans="3:3">
      <c r="C3998"/>
    </row>
    <row r="3999" spans="3:3">
      <c r="C3999"/>
    </row>
    <row r="4000" spans="3:3">
      <c r="C4000"/>
    </row>
    <row r="4001" spans="3:3">
      <c r="C4001"/>
    </row>
    <row r="4002" spans="3:3">
      <c r="C4002"/>
    </row>
    <row r="4003" spans="3:3">
      <c r="C4003"/>
    </row>
    <row r="4004" spans="3:3">
      <c r="C4004"/>
    </row>
    <row r="4005" spans="3:3">
      <c r="C4005"/>
    </row>
    <row r="4006" spans="3:3">
      <c r="C4006"/>
    </row>
    <row r="4007" spans="3:3">
      <c r="C4007"/>
    </row>
    <row r="4008" spans="3:3">
      <c r="C4008"/>
    </row>
    <row r="4009" spans="3:3">
      <c r="C4009"/>
    </row>
    <row r="4010" spans="3:3">
      <c r="C4010"/>
    </row>
    <row r="4011" spans="3:3">
      <c r="C4011"/>
    </row>
    <row r="4012" spans="3:3">
      <c r="C4012"/>
    </row>
    <row r="4013" spans="3:3">
      <c r="C4013"/>
    </row>
    <row r="4014" spans="3:3">
      <c r="C4014"/>
    </row>
    <row r="4015" spans="3:3">
      <c r="C4015"/>
    </row>
    <row r="4016" spans="3:3">
      <c r="C4016"/>
    </row>
    <row r="4017" spans="3:3">
      <c r="C4017"/>
    </row>
    <row r="4018" spans="3:3">
      <c r="C4018"/>
    </row>
    <row r="4019" spans="3:3">
      <c r="C4019"/>
    </row>
    <row r="4020" spans="3:3">
      <c r="C4020"/>
    </row>
    <row r="4021" spans="3:3">
      <c r="C4021"/>
    </row>
    <row r="4022" spans="3:3">
      <c r="C4022"/>
    </row>
    <row r="4023" spans="3:3">
      <c r="C4023"/>
    </row>
    <row r="4024" spans="3:3">
      <c r="C4024"/>
    </row>
    <row r="4025" spans="3:3">
      <c r="C4025"/>
    </row>
    <row r="4026" spans="3:3">
      <c r="C4026"/>
    </row>
    <row r="4027" spans="3:3">
      <c r="C4027"/>
    </row>
    <row r="4028" spans="3:3">
      <c r="C4028"/>
    </row>
    <row r="4029" spans="3:3">
      <c r="C4029"/>
    </row>
    <row r="4030" spans="3:3">
      <c r="C4030"/>
    </row>
    <row r="4031" spans="3:3">
      <c r="C4031"/>
    </row>
    <row r="4032" spans="3:3">
      <c r="C4032"/>
    </row>
    <row r="4033" spans="3:3">
      <c r="C4033"/>
    </row>
    <row r="4034" spans="3:3">
      <c r="C4034"/>
    </row>
    <row r="4035" spans="3:3">
      <c r="C4035"/>
    </row>
    <row r="4036" spans="3:3">
      <c r="C4036"/>
    </row>
    <row r="4037" spans="3:3">
      <c r="C4037"/>
    </row>
    <row r="4038" spans="3:3">
      <c r="C4038"/>
    </row>
    <row r="4039" spans="3:3">
      <c r="C4039"/>
    </row>
    <row r="4040" spans="3:3">
      <c r="C4040"/>
    </row>
    <row r="4041" spans="3:3">
      <c r="C4041"/>
    </row>
    <row r="4042" spans="3:3">
      <c r="C4042"/>
    </row>
    <row r="4043" spans="3:3">
      <c r="C4043"/>
    </row>
    <row r="4044" spans="3:3">
      <c r="C4044"/>
    </row>
    <row r="4045" spans="3:3">
      <c r="C4045"/>
    </row>
    <row r="4046" spans="3:3">
      <c r="C4046"/>
    </row>
    <row r="4047" spans="3:3">
      <c r="C4047"/>
    </row>
    <row r="4048" spans="3:3">
      <c r="C4048"/>
    </row>
    <row r="4049" spans="3:3">
      <c r="C4049"/>
    </row>
    <row r="4050" spans="3:3">
      <c r="C4050"/>
    </row>
    <row r="4051" spans="3:3">
      <c r="C4051"/>
    </row>
    <row r="4052" spans="3:3">
      <c r="C4052"/>
    </row>
    <row r="4053" spans="3:3">
      <c r="C4053"/>
    </row>
    <row r="4054" spans="3:3">
      <c r="C4054"/>
    </row>
    <row r="4055" spans="3:3">
      <c r="C4055"/>
    </row>
    <row r="4056" spans="3:3">
      <c r="C4056"/>
    </row>
    <row r="4057" spans="3:3">
      <c r="C4057"/>
    </row>
    <row r="4058" spans="3:3">
      <c r="C4058"/>
    </row>
    <row r="4059" spans="3:3">
      <c r="C4059"/>
    </row>
    <row r="4060" spans="3:3">
      <c r="C4060"/>
    </row>
    <row r="4061" spans="3:3">
      <c r="C4061"/>
    </row>
    <row r="4062" spans="3:3">
      <c r="C4062"/>
    </row>
    <row r="4063" spans="3:3">
      <c r="C4063"/>
    </row>
    <row r="4064" spans="3:3">
      <c r="C4064"/>
    </row>
    <row r="4065" spans="3:3">
      <c r="C4065"/>
    </row>
    <row r="4066" spans="3:3">
      <c r="C4066"/>
    </row>
    <row r="4067" spans="3:3">
      <c r="C4067"/>
    </row>
    <row r="4068" spans="3:3">
      <c r="C4068"/>
    </row>
    <row r="4069" spans="3:3">
      <c r="C4069"/>
    </row>
    <row r="4070" spans="3:3">
      <c r="C4070"/>
    </row>
    <row r="4071" spans="3:3">
      <c r="C4071"/>
    </row>
    <row r="4072" spans="3:3">
      <c r="C4072"/>
    </row>
    <row r="4073" spans="3:3">
      <c r="C4073"/>
    </row>
    <row r="4074" spans="3:3">
      <c r="C4074"/>
    </row>
    <row r="4075" spans="3:3">
      <c r="C4075"/>
    </row>
    <row r="4076" spans="3:3">
      <c r="C4076"/>
    </row>
    <row r="4077" spans="3:3">
      <c r="C4077"/>
    </row>
    <row r="4078" spans="3:3">
      <c r="C4078"/>
    </row>
    <row r="4079" spans="3:3">
      <c r="C4079"/>
    </row>
    <row r="4080" spans="3:3">
      <c r="C4080"/>
    </row>
    <row r="4081" spans="3:3">
      <c r="C4081"/>
    </row>
    <row r="4082" spans="3:3">
      <c r="C4082"/>
    </row>
    <row r="4083" spans="3:3">
      <c r="C4083"/>
    </row>
    <row r="4084" spans="3:3">
      <c r="C4084"/>
    </row>
    <row r="4085" spans="3:3">
      <c r="C4085"/>
    </row>
    <row r="4086" spans="3:3">
      <c r="C4086"/>
    </row>
    <row r="4087" spans="3:3">
      <c r="C4087"/>
    </row>
    <row r="4088" spans="3:3">
      <c r="C4088"/>
    </row>
    <row r="4089" spans="3:3">
      <c r="C4089"/>
    </row>
    <row r="4090" spans="3:3">
      <c r="C4090"/>
    </row>
    <row r="4091" spans="3:3">
      <c r="C4091"/>
    </row>
    <row r="4092" spans="3:3">
      <c r="C4092"/>
    </row>
    <row r="4093" spans="3:3">
      <c r="C4093"/>
    </row>
    <row r="4094" spans="3:3">
      <c r="C4094"/>
    </row>
    <row r="4095" spans="3:3">
      <c r="C4095"/>
    </row>
    <row r="4096" spans="3:3">
      <c r="C4096"/>
    </row>
    <row r="4097" spans="3:3">
      <c r="C4097"/>
    </row>
    <row r="4098" spans="3:3">
      <c r="C4098"/>
    </row>
    <row r="4099" spans="3:3">
      <c r="C4099"/>
    </row>
    <row r="4100" spans="3:3">
      <c r="C4100"/>
    </row>
    <row r="4101" spans="3:3">
      <c r="C4101"/>
    </row>
    <row r="4102" spans="3:3">
      <c r="C4102"/>
    </row>
    <row r="4103" spans="3:3">
      <c r="C4103"/>
    </row>
    <row r="4104" spans="3:3">
      <c r="C4104"/>
    </row>
    <row r="4105" spans="3:3">
      <c r="C4105"/>
    </row>
    <row r="4106" spans="3:3">
      <c r="C4106"/>
    </row>
    <row r="4107" spans="3:3">
      <c r="C4107"/>
    </row>
    <row r="4108" spans="3:3">
      <c r="C4108"/>
    </row>
    <row r="4109" spans="3:3">
      <c r="C4109"/>
    </row>
    <row r="4110" spans="3:3">
      <c r="C4110"/>
    </row>
    <row r="4111" spans="3:3">
      <c r="C4111"/>
    </row>
    <row r="4112" spans="3:3">
      <c r="C4112"/>
    </row>
    <row r="4113" spans="3:3">
      <c r="C4113"/>
    </row>
    <row r="4114" spans="3:3">
      <c r="C4114"/>
    </row>
    <row r="4115" spans="3:3">
      <c r="C4115"/>
    </row>
    <row r="4116" spans="3:3">
      <c r="C4116"/>
    </row>
    <row r="4117" spans="3:3">
      <c r="C4117"/>
    </row>
    <row r="4118" spans="3:3">
      <c r="C4118"/>
    </row>
    <row r="4119" spans="3:3">
      <c r="C4119"/>
    </row>
    <row r="4120" spans="3:3">
      <c r="C4120"/>
    </row>
    <row r="4121" spans="3:3">
      <c r="C4121"/>
    </row>
    <row r="4122" spans="3:3">
      <c r="C4122"/>
    </row>
    <row r="4123" spans="3:3">
      <c r="C4123"/>
    </row>
    <row r="4124" spans="3:3">
      <c r="C4124"/>
    </row>
    <row r="4125" spans="3:3">
      <c r="C4125"/>
    </row>
    <row r="4126" spans="3:3">
      <c r="C4126"/>
    </row>
    <row r="4127" spans="3:3">
      <c r="C4127"/>
    </row>
    <row r="4128" spans="3:3">
      <c r="C4128"/>
    </row>
    <row r="4129" spans="3:3">
      <c r="C4129"/>
    </row>
    <row r="4130" spans="3:3">
      <c r="C4130"/>
    </row>
    <row r="4131" spans="3:3">
      <c r="C4131"/>
    </row>
    <row r="4132" spans="3:3">
      <c r="C4132"/>
    </row>
    <row r="4133" spans="3:3">
      <c r="C4133"/>
    </row>
    <row r="4134" spans="3:3">
      <c r="C4134"/>
    </row>
    <row r="4135" spans="3:3">
      <c r="C4135"/>
    </row>
    <row r="4136" spans="3:3">
      <c r="C4136"/>
    </row>
    <row r="4137" spans="3:3">
      <c r="C4137"/>
    </row>
    <row r="4138" spans="3:3">
      <c r="C4138"/>
    </row>
    <row r="4139" spans="3:3">
      <c r="C4139"/>
    </row>
    <row r="4140" spans="3:3">
      <c r="C4140"/>
    </row>
    <row r="4141" spans="3:3">
      <c r="C4141"/>
    </row>
    <row r="4142" spans="3:3">
      <c r="C4142"/>
    </row>
    <row r="4143" spans="3:3">
      <c r="C4143"/>
    </row>
    <row r="4144" spans="3:3">
      <c r="C4144"/>
    </row>
    <row r="4145" spans="3:3">
      <c r="C4145"/>
    </row>
    <row r="4146" spans="3:3">
      <c r="C4146"/>
    </row>
    <row r="4147" spans="3:3">
      <c r="C4147"/>
    </row>
    <row r="4148" spans="3:3">
      <c r="C4148"/>
    </row>
    <row r="4149" spans="3:3">
      <c r="C4149"/>
    </row>
    <row r="4150" spans="3:3">
      <c r="C4150"/>
    </row>
    <row r="4151" spans="3:3">
      <c r="C4151"/>
    </row>
    <row r="4152" spans="3:3">
      <c r="C4152"/>
    </row>
    <row r="4153" spans="3:3">
      <c r="C4153"/>
    </row>
    <row r="4154" spans="3:3">
      <c r="C4154"/>
    </row>
    <row r="4155" spans="3:3">
      <c r="C4155"/>
    </row>
    <row r="4156" spans="3:3">
      <c r="C4156"/>
    </row>
    <row r="4157" spans="3:3">
      <c r="C4157"/>
    </row>
    <row r="4158" spans="3:3">
      <c r="C4158"/>
    </row>
    <row r="4159" spans="3:3">
      <c r="C4159"/>
    </row>
    <row r="4160" spans="3:3">
      <c r="C4160"/>
    </row>
    <row r="4161" spans="3:3">
      <c r="C4161"/>
    </row>
    <row r="4162" spans="3:3">
      <c r="C4162"/>
    </row>
    <row r="4163" spans="3:3">
      <c r="C4163"/>
    </row>
    <row r="4164" spans="3:3">
      <c r="C4164"/>
    </row>
    <row r="4165" spans="3:3">
      <c r="C4165"/>
    </row>
    <row r="4166" spans="3:3">
      <c r="C4166"/>
    </row>
    <row r="4167" spans="3:3">
      <c r="C4167"/>
    </row>
    <row r="4168" spans="3:3">
      <c r="C4168"/>
    </row>
    <row r="4169" spans="3:3">
      <c r="C4169"/>
    </row>
    <row r="4170" spans="3:3">
      <c r="C4170"/>
    </row>
    <row r="4171" spans="3:3">
      <c r="C4171"/>
    </row>
    <row r="4172" spans="3:3">
      <c r="C4172"/>
    </row>
    <row r="4173" spans="3:3">
      <c r="C4173"/>
    </row>
    <row r="4174" spans="3:3">
      <c r="C4174"/>
    </row>
    <row r="4175" spans="3:3">
      <c r="C4175"/>
    </row>
    <row r="4176" spans="3:3">
      <c r="C4176"/>
    </row>
    <row r="4177" spans="3:3">
      <c r="C4177"/>
    </row>
    <row r="4178" spans="3:3">
      <c r="C4178"/>
    </row>
    <row r="4179" spans="3:3">
      <c r="C4179"/>
    </row>
    <row r="4180" spans="3:3">
      <c r="C4180"/>
    </row>
    <row r="4181" spans="3:3">
      <c r="C4181"/>
    </row>
    <row r="4182" spans="3:3">
      <c r="C4182"/>
    </row>
    <row r="4183" spans="3:3">
      <c r="C4183"/>
    </row>
    <row r="4184" spans="3:3">
      <c r="C4184"/>
    </row>
    <row r="4185" spans="3:3">
      <c r="C4185"/>
    </row>
    <row r="4186" spans="3:3">
      <c r="C4186"/>
    </row>
    <row r="4187" spans="3:3">
      <c r="C4187"/>
    </row>
    <row r="4188" spans="3:3">
      <c r="C4188"/>
    </row>
    <row r="4189" spans="3:3">
      <c r="C4189"/>
    </row>
    <row r="4190" spans="3:3">
      <c r="C4190"/>
    </row>
    <row r="4191" spans="3:3">
      <c r="C4191"/>
    </row>
    <row r="4192" spans="3:3">
      <c r="C4192"/>
    </row>
    <row r="4193" spans="3:3">
      <c r="C4193"/>
    </row>
    <row r="4194" spans="3:3">
      <c r="C4194"/>
    </row>
    <row r="4195" spans="3:3">
      <c r="C4195"/>
    </row>
    <row r="4196" spans="3:3">
      <c r="C4196"/>
    </row>
    <row r="4197" spans="3:3">
      <c r="C4197"/>
    </row>
    <row r="4198" spans="3:3">
      <c r="C4198"/>
    </row>
    <row r="4199" spans="3:3">
      <c r="C4199"/>
    </row>
    <row r="4200" spans="3:3">
      <c r="C4200"/>
    </row>
    <row r="4201" spans="3:3">
      <c r="C4201"/>
    </row>
    <row r="4202" spans="3:3">
      <c r="C4202"/>
    </row>
    <row r="4203" spans="3:3">
      <c r="C4203"/>
    </row>
    <row r="4204" spans="3:3">
      <c r="C4204"/>
    </row>
    <row r="4205" spans="3:3">
      <c r="C4205"/>
    </row>
    <row r="4206" spans="3:3">
      <c r="C4206"/>
    </row>
    <row r="4207" spans="3:3">
      <c r="C4207"/>
    </row>
    <row r="4208" spans="3:3">
      <c r="C4208"/>
    </row>
    <row r="4209" spans="3:3">
      <c r="C4209"/>
    </row>
    <row r="4210" spans="3:3">
      <c r="C4210"/>
    </row>
    <row r="4211" spans="3:3">
      <c r="C4211"/>
    </row>
    <row r="4212" spans="3:3">
      <c r="C4212"/>
    </row>
    <row r="4213" spans="3:3">
      <c r="C4213"/>
    </row>
    <row r="4214" spans="3:3">
      <c r="C4214"/>
    </row>
    <row r="4215" spans="3:3">
      <c r="C4215"/>
    </row>
    <row r="4216" spans="3:3">
      <c r="C4216"/>
    </row>
    <row r="4217" spans="3:3">
      <c r="C4217"/>
    </row>
    <row r="4218" spans="3:3">
      <c r="C4218"/>
    </row>
    <row r="4219" spans="3:3">
      <c r="C4219"/>
    </row>
    <row r="4220" spans="3:3">
      <c r="C4220"/>
    </row>
    <row r="4221" spans="3:3">
      <c r="C4221"/>
    </row>
    <row r="4222" spans="3:3">
      <c r="C4222"/>
    </row>
    <row r="4223" spans="3:3">
      <c r="C4223"/>
    </row>
    <row r="4224" spans="3:3">
      <c r="C4224"/>
    </row>
    <row r="4225" spans="3:3">
      <c r="C4225"/>
    </row>
    <row r="4226" spans="3:3">
      <c r="C4226"/>
    </row>
    <row r="4227" spans="3:3">
      <c r="C4227"/>
    </row>
    <row r="4228" spans="3:3">
      <c r="C4228"/>
    </row>
    <row r="4229" spans="3:3">
      <c r="C4229"/>
    </row>
    <row r="4230" spans="3:3">
      <c r="C4230"/>
    </row>
    <row r="4231" spans="3:3">
      <c r="C4231"/>
    </row>
    <row r="4232" spans="3:3">
      <c r="C4232"/>
    </row>
    <row r="4233" spans="3:3">
      <c r="C4233"/>
    </row>
    <row r="4234" spans="3:3">
      <c r="C4234"/>
    </row>
    <row r="4235" spans="3:3">
      <c r="C4235"/>
    </row>
    <row r="4236" spans="3:3">
      <c r="C4236"/>
    </row>
    <row r="4237" spans="3:3">
      <c r="C4237"/>
    </row>
    <row r="4238" spans="3:3">
      <c r="C4238"/>
    </row>
    <row r="4239" spans="3:3">
      <c r="C4239"/>
    </row>
    <row r="4240" spans="3:3">
      <c r="C4240"/>
    </row>
    <row r="4241" spans="3:3">
      <c r="C4241"/>
    </row>
    <row r="4242" spans="3:3">
      <c r="C4242"/>
    </row>
    <row r="4243" spans="3:3">
      <c r="C4243"/>
    </row>
    <row r="4244" spans="3:3">
      <c r="C4244"/>
    </row>
    <row r="4245" spans="3:3">
      <c r="C4245"/>
    </row>
    <row r="4246" spans="3:3">
      <c r="C4246"/>
    </row>
    <row r="4247" spans="3:3">
      <c r="C4247"/>
    </row>
    <row r="4248" spans="3:3">
      <c r="C4248"/>
    </row>
    <row r="4249" spans="3:3">
      <c r="C4249"/>
    </row>
    <row r="4250" spans="3:3">
      <c r="C4250"/>
    </row>
    <row r="4251" spans="3:3">
      <c r="C4251"/>
    </row>
    <row r="4252" spans="3:3">
      <c r="C4252"/>
    </row>
    <row r="4253" spans="3:3">
      <c r="C4253"/>
    </row>
    <row r="4254" spans="3:3">
      <c r="C4254"/>
    </row>
    <row r="4255" spans="3:3">
      <c r="C4255"/>
    </row>
    <row r="4256" spans="3:3">
      <c r="C4256"/>
    </row>
    <row r="4257" spans="3:3">
      <c r="C4257"/>
    </row>
    <row r="4258" spans="3:3">
      <c r="C4258"/>
    </row>
    <row r="4259" spans="3:3">
      <c r="C4259"/>
    </row>
    <row r="4260" spans="3:3">
      <c r="C4260"/>
    </row>
    <row r="4261" spans="3:3">
      <c r="C4261"/>
    </row>
    <row r="4262" spans="3:3">
      <c r="C4262"/>
    </row>
    <row r="4263" spans="3:3">
      <c r="C4263"/>
    </row>
    <row r="4264" spans="3:3">
      <c r="C4264"/>
    </row>
    <row r="4265" spans="3:3">
      <c r="C4265"/>
    </row>
    <row r="4266" spans="3:3">
      <c r="C4266"/>
    </row>
    <row r="4267" spans="3:3">
      <c r="C4267"/>
    </row>
    <row r="4268" spans="3:3">
      <c r="C4268"/>
    </row>
    <row r="4269" spans="3:3">
      <c r="C4269"/>
    </row>
    <row r="4270" spans="3:3">
      <c r="C4270"/>
    </row>
    <row r="4271" spans="3:3">
      <c r="C4271"/>
    </row>
    <row r="4272" spans="3:3">
      <c r="C4272"/>
    </row>
    <row r="4273" spans="3:3">
      <c r="C4273"/>
    </row>
    <row r="4274" spans="3:3">
      <c r="C4274"/>
    </row>
    <row r="4275" spans="3:3">
      <c r="C4275"/>
    </row>
    <row r="4276" spans="3:3">
      <c r="C4276"/>
    </row>
    <row r="4277" spans="3:3">
      <c r="C4277"/>
    </row>
    <row r="4278" spans="3:3">
      <c r="C4278"/>
    </row>
    <row r="4279" spans="3:3">
      <c r="C4279"/>
    </row>
    <row r="4280" spans="3:3">
      <c r="C4280"/>
    </row>
    <row r="4281" spans="3:3">
      <c r="C4281"/>
    </row>
    <row r="4282" spans="3:3">
      <c r="C4282"/>
    </row>
    <row r="4283" spans="3:3">
      <c r="C4283"/>
    </row>
    <row r="4284" spans="3:3">
      <c r="C4284"/>
    </row>
    <row r="4285" spans="3:3">
      <c r="C4285"/>
    </row>
    <row r="4286" spans="3:3">
      <c r="C4286"/>
    </row>
    <row r="4287" spans="3:3">
      <c r="C4287"/>
    </row>
    <row r="4288" spans="3:3">
      <c r="C4288"/>
    </row>
    <row r="4289" spans="3:3">
      <c r="C4289"/>
    </row>
    <row r="4290" spans="3:3">
      <c r="C4290"/>
    </row>
    <row r="4291" spans="3:3">
      <c r="C4291"/>
    </row>
    <row r="4292" spans="3:3">
      <c r="C4292"/>
    </row>
    <row r="4293" spans="3:3">
      <c r="C4293"/>
    </row>
    <row r="4294" spans="3:3">
      <c r="C4294"/>
    </row>
    <row r="4295" spans="3:3">
      <c r="C4295"/>
    </row>
    <row r="4296" spans="3:3">
      <c r="C4296"/>
    </row>
    <row r="4297" spans="3:3">
      <c r="C4297"/>
    </row>
    <row r="4298" spans="3:3">
      <c r="C4298"/>
    </row>
    <row r="4299" spans="3:3">
      <c r="C4299"/>
    </row>
    <row r="4300" spans="3:3">
      <c r="C4300"/>
    </row>
    <row r="4301" spans="3:3">
      <c r="C4301"/>
    </row>
    <row r="4302" spans="3:3">
      <c r="C4302"/>
    </row>
    <row r="4303" spans="3:3">
      <c r="C4303"/>
    </row>
    <row r="4304" spans="3:3">
      <c r="C4304"/>
    </row>
    <row r="4305" spans="3:3">
      <c r="C4305"/>
    </row>
    <row r="4306" spans="3:3">
      <c r="C4306"/>
    </row>
    <row r="4307" spans="3:3">
      <c r="C4307"/>
    </row>
    <row r="4308" spans="3:3">
      <c r="C4308"/>
    </row>
    <row r="4309" spans="3:3">
      <c r="C4309"/>
    </row>
    <row r="4310" spans="3:3">
      <c r="C4310"/>
    </row>
    <row r="4311" spans="3:3">
      <c r="C4311"/>
    </row>
    <row r="4312" spans="3:3">
      <c r="C4312"/>
    </row>
    <row r="4313" spans="3:3">
      <c r="C4313"/>
    </row>
    <row r="4314" spans="3:3">
      <c r="C4314"/>
    </row>
    <row r="4315" spans="3:3">
      <c r="C4315"/>
    </row>
    <row r="4316" spans="3:3">
      <c r="C4316"/>
    </row>
    <row r="4317" spans="3:3">
      <c r="C4317"/>
    </row>
    <row r="4318" spans="3:3">
      <c r="C4318"/>
    </row>
    <row r="4319" spans="3:3">
      <c r="C4319"/>
    </row>
    <row r="4320" spans="3:3">
      <c r="C4320"/>
    </row>
    <row r="4321" spans="3:3">
      <c r="C4321"/>
    </row>
    <row r="4322" spans="3:3">
      <c r="C4322"/>
    </row>
    <row r="4323" spans="3:3">
      <c r="C4323"/>
    </row>
    <row r="4324" spans="3:3">
      <c r="C4324"/>
    </row>
    <row r="4325" spans="3:3">
      <c r="C4325"/>
    </row>
    <row r="4326" spans="3:3">
      <c r="C4326"/>
    </row>
    <row r="4327" spans="3:3">
      <c r="C4327"/>
    </row>
    <row r="4328" spans="3:3">
      <c r="C4328"/>
    </row>
    <row r="4329" spans="3:3">
      <c r="C4329"/>
    </row>
    <row r="4330" spans="3:3">
      <c r="C4330"/>
    </row>
    <row r="4331" spans="3:3">
      <c r="C4331"/>
    </row>
    <row r="4332" spans="3:3">
      <c r="C4332"/>
    </row>
    <row r="4333" spans="3:3">
      <c r="C4333"/>
    </row>
    <row r="4334" spans="3:3">
      <c r="C4334"/>
    </row>
    <row r="4335" spans="3:3">
      <c r="C4335"/>
    </row>
    <row r="4336" spans="3:3">
      <c r="C4336"/>
    </row>
    <row r="4337" spans="3:3">
      <c r="C4337"/>
    </row>
    <row r="4338" spans="3:3">
      <c r="C4338"/>
    </row>
    <row r="4339" spans="3:3">
      <c r="C4339"/>
    </row>
    <row r="4340" spans="3:3">
      <c r="C4340"/>
    </row>
    <row r="4341" spans="3:3">
      <c r="C4341"/>
    </row>
    <row r="4342" spans="3:3">
      <c r="C4342"/>
    </row>
    <row r="4343" spans="3:3">
      <c r="C4343"/>
    </row>
    <row r="4344" spans="3:3">
      <c r="C4344"/>
    </row>
    <row r="4345" spans="3:3">
      <c r="C4345"/>
    </row>
    <row r="4346" spans="3:3">
      <c r="C4346"/>
    </row>
    <row r="4347" spans="3:3">
      <c r="C4347"/>
    </row>
    <row r="4348" spans="3:3">
      <c r="C4348"/>
    </row>
    <row r="4349" spans="3:3">
      <c r="C4349"/>
    </row>
    <row r="4350" spans="3:3">
      <c r="C4350"/>
    </row>
    <row r="4351" spans="3:3">
      <c r="C4351"/>
    </row>
    <row r="4352" spans="3:3">
      <c r="C4352"/>
    </row>
    <row r="4353" spans="3:3">
      <c r="C4353"/>
    </row>
    <row r="4354" spans="3:3">
      <c r="C4354"/>
    </row>
    <row r="4355" spans="3:3">
      <c r="C4355"/>
    </row>
    <row r="4356" spans="3:3">
      <c r="C4356"/>
    </row>
    <row r="4357" spans="3:3">
      <c r="C4357"/>
    </row>
    <row r="4358" spans="3:3">
      <c r="C4358"/>
    </row>
    <row r="4359" spans="3:3">
      <c r="C4359"/>
    </row>
    <row r="4360" spans="3:3">
      <c r="C4360"/>
    </row>
    <row r="4361" spans="3:3">
      <c r="C4361"/>
    </row>
    <row r="4362" spans="3:3">
      <c r="C4362"/>
    </row>
    <row r="4363" spans="3:3">
      <c r="C4363"/>
    </row>
    <row r="4364" spans="3:3">
      <c r="C4364"/>
    </row>
    <row r="4365" spans="3:3">
      <c r="C4365"/>
    </row>
    <row r="4366" spans="3:3">
      <c r="C4366"/>
    </row>
    <row r="4367" spans="3:3">
      <c r="C4367"/>
    </row>
    <row r="4368" spans="3:3">
      <c r="C4368"/>
    </row>
    <row r="4369" spans="3:3">
      <c r="C4369"/>
    </row>
    <row r="4370" spans="3:3">
      <c r="C4370"/>
    </row>
    <row r="4371" spans="3:3">
      <c r="C4371"/>
    </row>
    <row r="4372" spans="3:3">
      <c r="C4372"/>
    </row>
    <row r="4373" spans="3:3">
      <c r="C4373"/>
    </row>
    <row r="4374" spans="3:3">
      <c r="C4374"/>
    </row>
    <row r="4375" spans="3:3">
      <c r="C4375"/>
    </row>
    <row r="4376" spans="3:3">
      <c r="C4376"/>
    </row>
    <row r="4377" spans="3:3">
      <c r="C4377"/>
    </row>
    <row r="4378" spans="3:3">
      <c r="C4378"/>
    </row>
    <row r="4379" spans="3:3">
      <c r="C4379"/>
    </row>
    <row r="4380" spans="3:3">
      <c r="C4380"/>
    </row>
    <row r="4381" spans="3:3">
      <c r="C4381"/>
    </row>
    <row r="4382" spans="3:3">
      <c r="C4382"/>
    </row>
    <row r="4383" spans="3:3">
      <c r="C4383"/>
    </row>
    <row r="4384" spans="3:3">
      <c r="C4384"/>
    </row>
    <row r="4385" spans="3:3">
      <c r="C4385"/>
    </row>
    <row r="4386" spans="3:3">
      <c r="C4386"/>
    </row>
    <row r="4387" spans="3:3">
      <c r="C4387"/>
    </row>
    <row r="4388" spans="3:3">
      <c r="C4388"/>
    </row>
    <row r="4389" spans="3:3">
      <c r="C4389"/>
    </row>
    <row r="4390" spans="3:3">
      <c r="C4390"/>
    </row>
    <row r="4391" spans="3:3">
      <c r="C4391"/>
    </row>
    <row r="4392" spans="3:3">
      <c r="C4392"/>
    </row>
    <row r="4393" spans="3:3">
      <c r="C4393"/>
    </row>
    <row r="4394" spans="3:3">
      <c r="C4394"/>
    </row>
    <row r="4395" spans="3:3">
      <c r="C4395"/>
    </row>
    <row r="4396" spans="3:3">
      <c r="C4396"/>
    </row>
    <row r="4397" spans="3:3">
      <c r="C4397"/>
    </row>
    <row r="4398" spans="3:3">
      <c r="C4398"/>
    </row>
    <row r="4399" spans="3:3">
      <c r="C4399"/>
    </row>
    <row r="4400" spans="3:3">
      <c r="C4400"/>
    </row>
    <row r="4401" spans="3:3">
      <c r="C4401"/>
    </row>
    <row r="4402" spans="3:3">
      <c r="C4402"/>
    </row>
    <row r="4403" spans="3:3">
      <c r="C4403"/>
    </row>
    <row r="4404" spans="3:3">
      <c r="C4404"/>
    </row>
    <row r="4405" spans="3:3">
      <c r="C4405"/>
    </row>
    <row r="4406" spans="3:3">
      <c r="C4406"/>
    </row>
    <row r="4407" spans="3:3">
      <c r="C4407"/>
    </row>
    <row r="4408" spans="3:3">
      <c r="C4408"/>
    </row>
    <row r="4409" spans="3:3">
      <c r="C4409"/>
    </row>
    <row r="4410" spans="3:3">
      <c r="C4410"/>
    </row>
    <row r="4411" spans="3:3">
      <c r="C4411"/>
    </row>
    <row r="4412" spans="3:3">
      <c r="C4412"/>
    </row>
    <row r="4413" spans="3:3">
      <c r="C4413"/>
    </row>
    <row r="4414" spans="3:3">
      <c r="C4414"/>
    </row>
    <row r="4415" spans="3:3">
      <c r="C4415"/>
    </row>
    <row r="4416" spans="3:3">
      <c r="C4416"/>
    </row>
    <row r="4417" spans="3:3">
      <c r="C4417"/>
    </row>
    <row r="4418" spans="3:3">
      <c r="C4418"/>
    </row>
    <row r="4419" spans="3:3">
      <c r="C4419"/>
    </row>
    <row r="4420" spans="3:3">
      <c r="C4420"/>
    </row>
    <row r="4421" spans="3:3">
      <c r="C4421"/>
    </row>
    <row r="4422" spans="3:3">
      <c r="C4422"/>
    </row>
    <row r="4423" spans="3:3">
      <c r="C4423"/>
    </row>
    <row r="4424" spans="3:3">
      <c r="C4424"/>
    </row>
    <row r="4425" spans="3:3">
      <c r="C4425"/>
    </row>
    <row r="4426" spans="3:3">
      <c r="C4426"/>
    </row>
    <row r="4427" spans="3:3">
      <c r="C4427"/>
    </row>
    <row r="4428" spans="3:3">
      <c r="C4428"/>
    </row>
    <row r="4429" spans="3:3">
      <c r="C4429"/>
    </row>
    <row r="4430" spans="3:3">
      <c r="C4430"/>
    </row>
    <row r="4431" spans="3:3">
      <c r="C4431"/>
    </row>
    <row r="4432" spans="3:3">
      <c r="C4432"/>
    </row>
    <row r="4433" spans="3:3">
      <c r="C4433"/>
    </row>
    <row r="4434" spans="3:3">
      <c r="C4434"/>
    </row>
    <row r="4435" spans="3:3">
      <c r="C4435"/>
    </row>
    <row r="4436" spans="3:3">
      <c r="C4436"/>
    </row>
    <row r="4437" spans="3:3">
      <c r="C4437"/>
    </row>
    <row r="4438" spans="3:3">
      <c r="C4438"/>
    </row>
    <row r="4439" spans="3:3">
      <c r="C4439"/>
    </row>
    <row r="4440" spans="3:3">
      <c r="C4440"/>
    </row>
    <row r="4441" spans="3:3">
      <c r="C4441"/>
    </row>
    <row r="4442" spans="3:3">
      <c r="C4442"/>
    </row>
    <row r="4443" spans="3:3">
      <c r="C4443"/>
    </row>
    <row r="4444" spans="3:3">
      <c r="C4444"/>
    </row>
    <row r="4445" spans="3:3">
      <c r="C4445"/>
    </row>
    <row r="4446" spans="3:3">
      <c r="C4446"/>
    </row>
    <row r="4447" spans="3:3">
      <c r="C4447"/>
    </row>
    <row r="4448" spans="3:3">
      <c r="C4448"/>
    </row>
    <row r="4449" spans="3:3">
      <c r="C4449"/>
    </row>
    <row r="4450" spans="3:3">
      <c r="C4450"/>
    </row>
    <row r="4451" spans="3:3">
      <c r="C4451"/>
    </row>
    <row r="4452" spans="3:3">
      <c r="C4452"/>
    </row>
    <row r="4453" spans="3:3">
      <c r="C4453"/>
    </row>
    <row r="4454" spans="3:3">
      <c r="C4454"/>
    </row>
    <row r="4455" spans="3:3">
      <c r="C4455"/>
    </row>
    <row r="4456" spans="3:3">
      <c r="C4456"/>
    </row>
    <row r="4457" spans="3:3">
      <c r="C4457"/>
    </row>
    <row r="4458" spans="3:3">
      <c r="C4458"/>
    </row>
    <row r="4459" spans="3:3">
      <c r="C4459"/>
    </row>
    <row r="4460" spans="3:3">
      <c r="C4460"/>
    </row>
    <row r="4461" spans="3:3">
      <c r="C4461"/>
    </row>
    <row r="4462" spans="3:3">
      <c r="C4462"/>
    </row>
    <row r="4463" spans="3:3">
      <c r="C4463"/>
    </row>
    <row r="4464" spans="3:3">
      <c r="C4464"/>
    </row>
    <row r="4465" spans="3:3">
      <c r="C4465"/>
    </row>
    <row r="4466" spans="3:3">
      <c r="C4466"/>
    </row>
    <row r="4467" spans="3:3">
      <c r="C4467"/>
    </row>
    <row r="4468" spans="3:3">
      <c r="C4468"/>
    </row>
    <row r="4469" spans="3:3">
      <c r="C4469"/>
    </row>
    <row r="4470" spans="3:3">
      <c r="C4470"/>
    </row>
    <row r="4471" spans="3:3">
      <c r="C4471"/>
    </row>
    <row r="4472" spans="3:3">
      <c r="C4472"/>
    </row>
    <row r="4473" spans="3:3">
      <c r="C4473"/>
    </row>
    <row r="4474" spans="3:3">
      <c r="C4474"/>
    </row>
    <row r="4475" spans="3:3">
      <c r="C4475"/>
    </row>
    <row r="4476" spans="3:3">
      <c r="C4476"/>
    </row>
    <row r="4477" spans="3:3">
      <c r="C4477"/>
    </row>
    <row r="4478" spans="3:3">
      <c r="C4478"/>
    </row>
    <row r="4479" spans="3:3">
      <c r="C4479"/>
    </row>
    <row r="4480" spans="3:3">
      <c r="C4480"/>
    </row>
    <row r="4481" spans="3:3">
      <c r="C4481"/>
    </row>
    <row r="4482" spans="3:3">
      <c r="C4482"/>
    </row>
    <row r="4483" spans="3:3">
      <c r="C4483"/>
    </row>
    <row r="4484" spans="3:3">
      <c r="C4484"/>
    </row>
    <row r="4485" spans="3:3">
      <c r="C4485"/>
    </row>
    <row r="4486" spans="3:3">
      <c r="C4486"/>
    </row>
    <row r="4487" spans="3:3">
      <c r="C4487"/>
    </row>
    <row r="4488" spans="3:3">
      <c r="C4488"/>
    </row>
    <row r="4489" spans="3:3">
      <c r="C4489"/>
    </row>
    <row r="4490" spans="3:3">
      <c r="C4490"/>
    </row>
    <row r="4491" spans="3:3">
      <c r="C4491"/>
    </row>
    <row r="4492" spans="3:3">
      <c r="C4492"/>
    </row>
    <row r="4493" spans="3:3">
      <c r="C4493"/>
    </row>
    <row r="4494" spans="3:3">
      <c r="C4494"/>
    </row>
    <row r="4495" spans="3:3">
      <c r="C4495"/>
    </row>
    <row r="4496" spans="3:3">
      <c r="C4496"/>
    </row>
    <row r="4497" spans="3:3">
      <c r="C4497"/>
    </row>
    <row r="4498" spans="3:3">
      <c r="C4498"/>
    </row>
    <row r="4499" spans="3:3">
      <c r="C4499"/>
    </row>
    <row r="4500" spans="3:3">
      <c r="C4500"/>
    </row>
    <row r="4501" spans="3:3">
      <c r="C4501"/>
    </row>
    <row r="4502" spans="3:3">
      <c r="C4502"/>
    </row>
    <row r="4503" spans="3:3">
      <c r="C4503"/>
    </row>
    <row r="4504" spans="3:3">
      <c r="C4504"/>
    </row>
    <row r="4505" spans="3:3">
      <c r="C4505"/>
    </row>
    <row r="4506" spans="3:3">
      <c r="C4506"/>
    </row>
    <row r="4507" spans="3:3">
      <c r="C4507"/>
    </row>
    <row r="4508" spans="3:3">
      <c r="C4508"/>
    </row>
    <row r="4509" spans="3:3">
      <c r="C4509"/>
    </row>
    <row r="4510" spans="3:3">
      <c r="C4510"/>
    </row>
    <row r="4511" spans="3:3">
      <c r="C4511"/>
    </row>
    <row r="4512" spans="3:3">
      <c r="C4512"/>
    </row>
    <row r="4513" spans="3:3">
      <c r="C4513"/>
    </row>
    <row r="4514" spans="3:3">
      <c r="C4514"/>
    </row>
    <row r="4515" spans="3:3">
      <c r="C4515"/>
    </row>
    <row r="4516" spans="3:3">
      <c r="C4516"/>
    </row>
    <row r="4517" spans="3:3">
      <c r="C4517"/>
    </row>
    <row r="4518" spans="3:3">
      <c r="C4518"/>
    </row>
    <row r="4519" spans="3:3">
      <c r="C4519"/>
    </row>
    <row r="4520" spans="3:3">
      <c r="C4520"/>
    </row>
    <row r="4521" spans="3:3">
      <c r="C4521"/>
    </row>
    <row r="4522" spans="3:3">
      <c r="C4522"/>
    </row>
    <row r="4523" spans="3:3">
      <c r="C4523"/>
    </row>
    <row r="4524" spans="3:3">
      <c r="C4524"/>
    </row>
    <row r="4525" spans="3:3">
      <c r="C4525"/>
    </row>
    <row r="4526" spans="3:3">
      <c r="C4526"/>
    </row>
    <row r="4527" spans="3:3">
      <c r="C4527"/>
    </row>
    <row r="4528" spans="3:3">
      <c r="C4528"/>
    </row>
    <row r="4529" spans="3:3">
      <c r="C4529"/>
    </row>
    <row r="4530" spans="3:3">
      <c r="C4530"/>
    </row>
    <row r="4531" spans="3:3">
      <c r="C4531"/>
    </row>
    <row r="4532" spans="3:3">
      <c r="C4532"/>
    </row>
    <row r="4533" spans="3:3">
      <c r="C4533"/>
    </row>
    <row r="4534" spans="3:3">
      <c r="C4534"/>
    </row>
    <row r="4535" spans="3:3">
      <c r="C4535"/>
    </row>
    <row r="4536" spans="3:3">
      <c r="C4536"/>
    </row>
    <row r="4537" spans="3:3">
      <c r="C4537"/>
    </row>
    <row r="4538" spans="3:3">
      <c r="C4538"/>
    </row>
    <row r="4539" spans="3:3">
      <c r="C4539"/>
    </row>
    <row r="4540" spans="3:3">
      <c r="C4540"/>
    </row>
    <row r="4541" spans="3:3">
      <c r="C4541"/>
    </row>
    <row r="4542" spans="3:3">
      <c r="C4542"/>
    </row>
    <row r="4543" spans="3:3">
      <c r="C4543"/>
    </row>
    <row r="4544" spans="3:3">
      <c r="C4544"/>
    </row>
    <row r="4545" spans="3:3">
      <c r="C4545"/>
    </row>
    <row r="4546" spans="3:3">
      <c r="C4546"/>
    </row>
    <row r="4547" spans="3:3">
      <c r="C4547"/>
    </row>
    <row r="4548" spans="3:3">
      <c r="C4548"/>
    </row>
    <row r="4549" spans="3:3">
      <c r="C4549"/>
    </row>
    <row r="4550" spans="3:3">
      <c r="C4550"/>
    </row>
    <row r="4551" spans="3:3">
      <c r="C4551"/>
    </row>
    <row r="4552" spans="3:3">
      <c r="C4552"/>
    </row>
    <row r="4553" spans="3:3">
      <c r="C4553"/>
    </row>
    <row r="4554" spans="3:3">
      <c r="C4554"/>
    </row>
    <row r="4555" spans="3:3">
      <c r="C4555"/>
    </row>
    <row r="4556" spans="3:3">
      <c r="C4556"/>
    </row>
    <row r="4557" spans="3:3">
      <c r="C4557"/>
    </row>
    <row r="4558" spans="3:3">
      <c r="C4558"/>
    </row>
    <row r="4559" spans="3:3">
      <c r="C4559"/>
    </row>
    <row r="4560" spans="3:3">
      <c r="C4560"/>
    </row>
    <row r="4561" spans="3:3">
      <c r="C4561"/>
    </row>
    <row r="4562" spans="3:3">
      <c r="C4562"/>
    </row>
    <row r="4563" spans="3:3">
      <c r="C4563"/>
    </row>
    <row r="4564" spans="3:3">
      <c r="C4564"/>
    </row>
    <row r="4565" spans="3:3">
      <c r="C4565"/>
    </row>
    <row r="4566" spans="3:3">
      <c r="C4566"/>
    </row>
    <row r="4567" spans="3:3">
      <c r="C4567"/>
    </row>
    <row r="4568" spans="3:3">
      <c r="C4568"/>
    </row>
    <row r="4569" spans="3:3">
      <c r="C4569"/>
    </row>
    <row r="4570" spans="3:3">
      <c r="C4570"/>
    </row>
    <row r="4571" spans="3:3">
      <c r="C4571"/>
    </row>
    <row r="4572" spans="3:3">
      <c r="C4572"/>
    </row>
    <row r="4573" spans="3:3">
      <c r="C4573"/>
    </row>
    <row r="4574" spans="3:3">
      <c r="C4574"/>
    </row>
    <row r="4575" spans="3:3">
      <c r="C4575"/>
    </row>
    <row r="4576" spans="3:3">
      <c r="C4576"/>
    </row>
    <row r="4577" spans="3:3">
      <c r="C4577"/>
    </row>
    <row r="4578" spans="3:3">
      <c r="C4578"/>
    </row>
    <row r="4579" spans="3:3">
      <c r="C4579"/>
    </row>
    <row r="4580" spans="3:3">
      <c r="C4580"/>
    </row>
    <row r="4581" spans="3:3">
      <c r="C4581"/>
    </row>
    <row r="4582" spans="3:3">
      <c r="C4582"/>
    </row>
    <row r="4583" spans="3:3">
      <c r="C4583"/>
    </row>
    <row r="4584" spans="3:3">
      <c r="C4584"/>
    </row>
    <row r="4585" spans="3:3">
      <c r="C4585"/>
    </row>
    <row r="4586" spans="3:3">
      <c r="C4586"/>
    </row>
    <row r="4587" spans="3:3">
      <c r="C4587"/>
    </row>
    <row r="4588" spans="3:3">
      <c r="C4588"/>
    </row>
    <row r="4589" spans="3:3">
      <c r="C4589"/>
    </row>
    <row r="4590" spans="3:3">
      <c r="C4590"/>
    </row>
    <row r="4591" spans="3:3">
      <c r="C4591"/>
    </row>
    <row r="4592" spans="3:3">
      <c r="C4592"/>
    </row>
    <row r="4593" spans="3:3">
      <c r="C4593"/>
    </row>
    <row r="4594" spans="3:3">
      <c r="C4594"/>
    </row>
    <row r="4595" spans="3:3">
      <c r="C4595"/>
    </row>
    <row r="4596" spans="3:3">
      <c r="C4596"/>
    </row>
    <row r="4597" spans="3:3">
      <c r="C4597"/>
    </row>
    <row r="4598" spans="3:3">
      <c r="C4598"/>
    </row>
    <row r="4599" spans="3:3">
      <c r="C4599"/>
    </row>
    <row r="4600" spans="3:3">
      <c r="C4600"/>
    </row>
    <row r="4601" spans="3:3">
      <c r="C4601"/>
    </row>
    <row r="4602" spans="3:3">
      <c r="C4602"/>
    </row>
    <row r="4603" spans="3:3">
      <c r="C4603"/>
    </row>
    <row r="4604" spans="3:3">
      <c r="C4604"/>
    </row>
    <row r="4605" spans="3:3">
      <c r="C4605"/>
    </row>
    <row r="4606" spans="3:3">
      <c r="C4606"/>
    </row>
    <row r="4607" spans="3:3">
      <c r="C4607"/>
    </row>
    <row r="4608" spans="3:3">
      <c r="C4608"/>
    </row>
    <row r="4609" spans="3:3">
      <c r="C4609"/>
    </row>
    <row r="4610" spans="3:3">
      <c r="C4610"/>
    </row>
    <row r="4611" spans="3:3">
      <c r="C4611"/>
    </row>
    <row r="4612" spans="3:3">
      <c r="C4612"/>
    </row>
    <row r="4613" spans="3:3">
      <c r="C4613"/>
    </row>
    <row r="4614" spans="3:3">
      <c r="C4614"/>
    </row>
    <row r="4615" spans="3:3">
      <c r="C4615"/>
    </row>
    <row r="4616" spans="3:3">
      <c r="C4616"/>
    </row>
    <row r="4617" spans="3:3">
      <c r="C4617"/>
    </row>
    <row r="4618" spans="3:3">
      <c r="C4618"/>
    </row>
    <row r="4619" spans="3:3">
      <c r="C4619"/>
    </row>
    <row r="4620" spans="3:3">
      <c r="C4620"/>
    </row>
    <row r="4621" spans="3:3">
      <c r="C4621"/>
    </row>
    <row r="4622" spans="3:3">
      <c r="C4622"/>
    </row>
    <row r="4623" spans="3:3">
      <c r="C4623"/>
    </row>
    <row r="4624" spans="3:3">
      <c r="C4624"/>
    </row>
    <row r="4625" spans="3:3">
      <c r="C4625"/>
    </row>
    <row r="4626" spans="3:3">
      <c r="C4626"/>
    </row>
    <row r="4627" spans="3:3">
      <c r="C4627"/>
    </row>
    <row r="4628" spans="3:3">
      <c r="C4628"/>
    </row>
    <row r="4629" spans="3:3">
      <c r="C4629"/>
    </row>
    <row r="4630" spans="3:3">
      <c r="C4630"/>
    </row>
    <row r="4631" spans="3:3">
      <c r="C4631"/>
    </row>
    <row r="4632" spans="3:3">
      <c r="C4632"/>
    </row>
    <row r="4633" spans="3:3">
      <c r="C4633"/>
    </row>
    <row r="4634" spans="3:3">
      <c r="C4634"/>
    </row>
    <row r="4635" spans="3:3">
      <c r="C4635"/>
    </row>
    <row r="4636" spans="3:3">
      <c r="C4636"/>
    </row>
    <row r="4637" spans="3:3">
      <c r="C4637"/>
    </row>
    <row r="4638" spans="3:3">
      <c r="C4638"/>
    </row>
    <row r="4639" spans="3:3">
      <c r="C4639"/>
    </row>
    <row r="4640" spans="3:3">
      <c r="C4640"/>
    </row>
    <row r="4641" spans="3:3">
      <c r="C4641"/>
    </row>
    <row r="4642" spans="3:3">
      <c r="C4642"/>
    </row>
    <row r="4643" spans="3:3">
      <c r="C4643"/>
    </row>
    <row r="4644" spans="3:3">
      <c r="C4644"/>
    </row>
    <row r="4645" spans="3:3">
      <c r="C4645"/>
    </row>
    <row r="4646" spans="3:3">
      <c r="C4646"/>
    </row>
    <row r="4647" spans="3:3">
      <c r="C4647"/>
    </row>
    <row r="4648" spans="3:3">
      <c r="C4648"/>
    </row>
    <row r="4649" spans="3:3">
      <c r="C4649"/>
    </row>
    <row r="4650" spans="3:3">
      <c r="C4650"/>
    </row>
    <row r="4651" spans="3:3">
      <c r="C4651"/>
    </row>
    <row r="4652" spans="3:3">
      <c r="C4652"/>
    </row>
    <row r="4653" spans="3:3">
      <c r="C4653"/>
    </row>
    <row r="4654" spans="3:3">
      <c r="C4654"/>
    </row>
    <row r="4655" spans="3:3">
      <c r="C4655"/>
    </row>
    <row r="4656" spans="3:3">
      <c r="C4656"/>
    </row>
    <row r="4657" spans="3:3">
      <c r="C4657"/>
    </row>
    <row r="4658" spans="3:3">
      <c r="C4658"/>
    </row>
    <row r="4659" spans="3:3">
      <c r="C4659"/>
    </row>
    <row r="4660" spans="3:3">
      <c r="C4660"/>
    </row>
    <row r="4661" spans="3:3">
      <c r="C4661"/>
    </row>
    <row r="4662" spans="3:3">
      <c r="C4662"/>
    </row>
    <row r="4663" spans="3:3">
      <c r="C4663"/>
    </row>
    <row r="4664" spans="3:3">
      <c r="C4664"/>
    </row>
    <row r="4665" spans="3:3">
      <c r="C4665"/>
    </row>
    <row r="4666" spans="3:3">
      <c r="C4666"/>
    </row>
    <row r="4667" spans="3:3">
      <c r="C4667"/>
    </row>
    <row r="4668" spans="3:3">
      <c r="C4668"/>
    </row>
    <row r="4669" spans="3:3">
      <c r="C4669"/>
    </row>
    <row r="4670" spans="3:3">
      <c r="C4670"/>
    </row>
    <row r="4671" spans="3:3">
      <c r="C4671"/>
    </row>
    <row r="4672" spans="3:3">
      <c r="C4672"/>
    </row>
    <row r="4673" spans="3:3">
      <c r="C4673"/>
    </row>
    <row r="4674" spans="3:3">
      <c r="C4674"/>
    </row>
    <row r="4675" spans="3:3">
      <c r="C4675"/>
    </row>
    <row r="4676" spans="3:3">
      <c r="C4676"/>
    </row>
    <row r="4677" spans="3:3">
      <c r="C4677"/>
    </row>
    <row r="4678" spans="3:3">
      <c r="C4678"/>
    </row>
    <row r="4679" spans="3:3">
      <c r="C4679"/>
    </row>
    <row r="4680" spans="3:3">
      <c r="C4680"/>
    </row>
    <row r="4681" spans="3:3">
      <c r="C4681"/>
    </row>
    <row r="4682" spans="3:3">
      <c r="C4682"/>
    </row>
    <row r="4683" spans="3:3">
      <c r="C4683"/>
    </row>
    <row r="4684" spans="3:3">
      <c r="C4684"/>
    </row>
    <row r="4685" spans="3:3">
      <c r="C4685"/>
    </row>
    <row r="4686" spans="3:3">
      <c r="C4686"/>
    </row>
    <row r="4687" spans="3:3">
      <c r="C4687"/>
    </row>
    <row r="4688" spans="3:3">
      <c r="C4688"/>
    </row>
    <row r="4689" spans="3:3">
      <c r="C4689"/>
    </row>
    <row r="4690" spans="3:3">
      <c r="C4690"/>
    </row>
    <row r="4691" spans="3:3">
      <c r="C4691"/>
    </row>
    <row r="4692" spans="3:3">
      <c r="C4692"/>
    </row>
    <row r="4693" spans="3:3">
      <c r="C4693"/>
    </row>
    <row r="4694" spans="3:3">
      <c r="C4694"/>
    </row>
    <row r="4695" spans="3:3">
      <c r="C4695"/>
    </row>
    <row r="4696" spans="3:3">
      <c r="C4696"/>
    </row>
    <row r="4697" spans="3:3">
      <c r="C4697"/>
    </row>
    <row r="4698" spans="3:3">
      <c r="C4698"/>
    </row>
    <row r="4699" spans="3:3">
      <c r="C4699"/>
    </row>
    <row r="4700" spans="3:3">
      <c r="C4700"/>
    </row>
    <row r="4701" spans="3:3">
      <c r="C4701"/>
    </row>
    <row r="4702" spans="3:3">
      <c r="C4702"/>
    </row>
    <row r="4703" spans="3:3">
      <c r="C4703"/>
    </row>
    <row r="4704" spans="3:3">
      <c r="C4704"/>
    </row>
    <row r="4705" spans="3:3">
      <c r="C4705"/>
    </row>
    <row r="4706" spans="3:3">
      <c r="C4706"/>
    </row>
    <row r="4707" spans="3:3">
      <c r="C4707"/>
    </row>
    <row r="4708" spans="3:3">
      <c r="C4708"/>
    </row>
    <row r="4709" spans="3:3">
      <c r="C4709"/>
    </row>
    <row r="4710" spans="3:3">
      <c r="C4710"/>
    </row>
    <row r="4711" spans="3:3">
      <c r="C4711"/>
    </row>
    <row r="4712" spans="3:3">
      <c r="C4712"/>
    </row>
    <row r="4713" spans="3:3">
      <c r="C4713"/>
    </row>
    <row r="4714" spans="3:3">
      <c r="C4714"/>
    </row>
    <row r="4715" spans="3:3">
      <c r="C4715"/>
    </row>
    <row r="4716" spans="3:3">
      <c r="C4716"/>
    </row>
    <row r="4717" spans="3:3">
      <c r="C4717"/>
    </row>
    <row r="4718" spans="3:3">
      <c r="C4718"/>
    </row>
    <row r="4719" spans="3:3">
      <c r="C4719"/>
    </row>
    <row r="4720" spans="3:3">
      <c r="C4720"/>
    </row>
    <row r="4721" spans="3:3">
      <c r="C4721"/>
    </row>
    <row r="4722" spans="3:3">
      <c r="C4722"/>
    </row>
    <row r="4723" spans="3:3">
      <c r="C4723"/>
    </row>
    <row r="4724" spans="3:3">
      <c r="C4724"/>
    </row>
    <row r="4725" spans="3:3">
      <c r="C4725"/>
    </row>
    <row r="4726" spans="3:3">
      <c r="C4726"/>
    </row>
    <row r="4727" spans="3:3">
      <c r="C4727"/>
    </row>
    <row r="4728" spans="3:3">
      <c r="C4728"/>
    </row>
    <row r="4729" spans="3:3">
      <c r="C4729"/>
    </row>
    <row r="4730" spans="3:3">
      <c r="C4730"/>
    </row>
    <row r="4731" spans="3:3">
      <c r="C4731"/>
    </row>
    <row r="4732" spans="3:3">
      <c r="C4732"/>
    </row>
    <row r="4733" spans="3:3">
      <c r="C4733"/>
    </row>
    <row r="4734" spans="3:3">
      <c r="C4734"/>
    </row>
    <row r="4735" spans="3:3">
      <c r="C4735"/>
    </row>
    <row r="4736" spans="3:3">
      <c r="C4736"/>
    </row>
    <row r="4737" spans="3:3">
      <c r="C4737"/>
    </row>
    <row r="4738" spans="3:3">
      <c r="C4738"/>
    </row>
    <row r="4739" spans="3:3">
      <c r="C4739"/>
    </row>
    <row r="4740" spans="3:3">
      <c r="C4740"/>
    </row>
    <row r="4741" spans="3:3">
      <c r="C4741"/>
    </row>
    <row r="4742" spans="3:3">
      <c r="C4742"/>
    </row>
    <row r="4743" spans="3:3">
      <c r="C4743"/>
    </row>
    <row r="4744" spans="3:3">
      <c r="C4744"/>
    </row>
    <row r="4745" spans="3:3">
      <c r="C4745"/>
    </row>
    <row r="4746" spans="3:3">
      <c r="C4746"/>
    </row>
    <row r="4747" spans="3:3">
      <c r="C4747"/>
    </row>
    <row r="4748" spans="3:3">
      <c r="C4748"/>
    </row>
    <row r="4749" spans="3:3">
      <c r="C4749"/>
    </row>
    <row r="4750" spans="3:3">
      <c r="C4750"/>
    </row>
    <row r="4751" spans="3:3">
      <c r="C4751"/>
    </row>
    <row r="4752" spans="3:3">
      <c r="C4752"/>
    </row>
    <row r="4753" spans="3:3">
      <c r="C4753"/>
    </row>
    <row r="4754" spans="3:3">
      <c r="C4754"/>
    </row>
    <row r="4755" spans="3:3">
      <c r="C4755"/>
    </row>
    <row r="4756" spans="3:3">
      <c r="C4756"/>
    </row>
    <row r="4757" spans="3:3">
      <c r="C4757"/>
    </row>
    <row r="4758" spans="3:3">
      <c r="C4758"/>
    </row>
    <row r="4759" spans="3:3">
      <c r="C4759"/>
    </row>
    <row r="4760" spans="3:3">
      <c r="C4760"/>
    </row>
    <row r="4761" spans="3:3">
      <c r="C4761"/>
    </row>
    <row r="4762" spans="3:3">
      <c r="C4762"/>
    </row>
    <row r="4763" spans="3:3">
      <c r="C4763"/>
    </row>
    <row r="4764" spans="3:3">
      <c r="C4764"/>
    </row>
    <row r="4765" spans="3:3">
      <c r="C4765"/>
    </row>
    <row r="4766" spans="3:3">
      <c r="C4766"/>
    </row>
    <row r="4767" spans="3:3">
      <c r="C4767"/>
    </row>
    <row r="4768" spans="3:3">
      <c r="C4768"/>
    </row>
    <row r="4769" spans="3:3">
      <c r="C4769"/>
    </row>
    <row r="4770" spans="3:3">
      <c r="C4770"/>
    </row>
    <row r="4771" spans="3:3">
      <c r="C4771"/>
    </row>
    <row r="4772" spans="3:3">
      <c r="C4772"/>
    </row>
    <row r="4773" spans="3:3">
      <c r="C4773"/>
    </row>
    <row r="4774" spans="3:3">
      <c r="C4774"/>
    </row>
    <row r="4775" spans="3:3">
      <c r="C4775"/>
    </row>
    <row r="4776" spans="3:3">
      <c r="C4776"/>
    </row>
    <row r="4777" spans="3:3">
      <c r="C4777"/>
    </row>
    <row r="4778" spans="3:3">
      <c r="C4778"/>
    </row>
    <row r="4779" spans="3:3">
      <c r="C4779"/>
    </row>
    <row r="4780" spans="3:3">
      <c r="C4780"/>
    </row>
    <row r="4781" spans="3:3">
      <c r="C4781"/>
    </row>
    <row r="4782" spans="3:3">
      <c r="C4782"/>
    </row>
    <row r="4783" spans="3:3">
      <c r="C4783"/>
    </row>
    <row r="4784" spans="3:3">
      <c r="C4784"/>
    </row>
    <row r="4785" spans="3:3">
      <c r="C4785"/>
    </row>
    <row r="4786" spans="3:3">
      <c r="C4786"/>
    </row>
    <row r="4787" spans="3:3">
      <c r="C4787"/>
    </row>
    <row r="4788" spans="3:3">
      <c r="C4788"/>
    </row>
    <row r="4789" spans="3:3">
      <c r="C4789"/>
    </row>
    <row r="4790" spans="3:3">
      <c r="C4790"/>
    </row>
    <row r="4791" spans="3:3">
      <c r="C4791"/>
    </row>
    <row r="4792" spans="3:3">
      <c r="C4792"/>
    </row>
    <row r="4793" spans="3:3">
      <c r="C4793"/>
    </row>
    <row r="4794" spans="3:3">
      <c r="C4794"/>
    </row>
    <row r="4795" spans="3:3">
      <c r="C4795"/>
    </row>
    <row r="4796" spans="3:3">
      <c r="C4796"/>
    </row>
    <row r="4797" spans="3:3">
      <c r="C4797"/>
    </row>
    <row r="4798" spans="3:3">
      <c r="C4798"/>
    </row>
    <row r="4799" spans="3:3">
      <c r="C4799"/>
    </row>
    <row r="4800" spans="3:3">
      <c r="C4800"/>
    </row>
    <row r="4801" spans="3:3">
      <c r="C4801"/>
    </row>
    <row r="4802" spans="3:3">
      <c r="C4802"/>
    </row>
    <row r="4803" spans="3:3">
      <c r="C4803"/>
    </row>
    <row r="4804" spans="3:3">
      <c r="C4804"/>
    </row>
    <row r="4805" spans="3:3">
      <c r="C4805"/>
    </row>
    <row r="4806" spans="3:3">
      <c r="C4806"/>
    </row>
    <row r="4807" spans="3:3">
      <c r="C4807"/>
    </row>
    <row r="4808" spans="3:3">
      <c r="C4808"/>
    </row>
    <row r="4809" spans="3:3">
      <c r="C4809"/>
    </row>
    <row r="4810" spans="3:3">
      <c r="C4810"/>
    </row>
    <row r="4811" spans="3:3">
      <c r="C4811"/>
    </row>
    <row r="4812" spans="3:3">
      <c r="C4812"/>
    </row>
    <row r="4813" spans="3:3">
      <c r="C4813"/>
    </row>
    <row r="4814" spans="3:3">
      <c r="C4814"/>
    </row>
    <row r="4815" spans="3:3">
      <c r="C4815"/>
    </row>
    <row r="4816" spans="3:3">
      <c r="C4816"/>
    </row>
    <row r="4817" spans="3:3">
      <c r="C4817"/>
    </row>
    <row r="4818" spans="3:3">
      <c r="C4818"/>
    </row>
    <row r="4819" spans="3:3">
      <c r="C4819"/>
    </row>
    <row r="4820" spans="3:3">
      <c r="C4820"/>
    </row>
    <row r="4821" spans="3:3">
      <c r="C4821"/>
    </row>
    <row r="4822" spans="3:3">
      <c r="C4822"/>
    </row>
    <row r="4823" spans="3:3">
      <c r="C4823"/>
    </row>
    <row r="4824" spans="3:3">
      <c r="C4824"/>
    </row>
    <row r="4825" spans="3:3">
      <c r="C4825"/>
    </row>
    <row r="4826" spans="3:3">
      <c r="C4826"/>
    </row>
    <row r="4827" spans="3:3">
      <c r="C4827"/>
    </row>
    <row r="4828" spans="3:3">
      <c r="C4828"/>
    </row>
    <row r="4829" spans="3:3">
      <c r="C4829"/>
    </row>
    <row r="4830" spans="3:3">
      <c r="C4830"/>
    </row>
    <row r="4831" spans="3:3">
      <c r="C4831"/>
    </row>
    <row r="4832" spans="3:3">
      <c r="C4832"/>
    </row>
    <row r="4833" spans="3:3">
      <c r="C4833"/>
    </row>
    <row r="4834" spans="3:3">
      <c r="C4834"/>
    </row>
    <row r="4835" spans="3:3">
      <c r="C4835"/>
    </row>
    <row r="4836" spans="3:3">
      <c r="C4836"/>
    </row>
    <row r="4837" spans="3:3">
      <c r="C4837"/>
    </row>
    <row r="4838" spans="3:3">
      <c r="C4838"/>
    </row>
    <row r="4839" spans="3:3">
      <c r="C4839"/>
    </row>
    <row r="4840" spans="3:3">
      <c r="C4840"/>
    </row>
    <row r="4841" spans="3:3">
      <c r="C4841"/>
    </row>
    <row r="4842" spans="3:3">
      <c r="C4842"/>
    </row>
    <row r="4843" spans="3:3">
      <c r="C4843"/>
    </row>
    <row r="4844" spans="3:3">
      <c r="C4844"/>
    </row>
    <row r="4845" spans="3:3">
      <c r="C4845"/>
    </row>
    <row r="4846" spans="3:3">
      <c r="C4846"/>
    </row>
    <row r="4847" spans="3:3">
      <c r="C4847"/>
    </row>
    <row r="4848" spans="3:3">
      <c r="C4848"/>
    </row>
    <row r="4849" spans="3:3">
      <c r="C4849"/>
    </row>
    <row r="4850" spans="3:3">
      <c r="C4850"/>
    </row>
    <row r="4851" spans="3:3">
      <c r="C4851"/>
    </row>
    <row r="4852" spans="3:3">
      <c r="C4852"/>
    </row>
    <row r="4853" spans="3:3">
      <c r="C4853"/>
    </row>
    <row r="4854" spans="3:3">
      <c r="C4854"/>
    </row>
    <row r="4855" spans="3:3">
      <c r="C4855"/>
    </row>
    <row r="4856" spans="3:3">
      <c r="C4856"/>
    </row>
    <row r="4857" spans="3:3">
      <c r="C4857"/>
    </row>
    <row r="4858" spans="3:3">
      <c r="C4858"/>
    </row>
    <row r="4859" spans="3:3">
      <c r="C4859"/>
    </row>
    <row r="4860" spans="3:3">
      <c r="C4860"/>
    </row>
    <row r="4861" spans="3:3">
      <c r="C4861"/>
    </row>
    <row r="4862" spans="3:3">
      <c r="C4862"/>
    </row>
    <row r="4863" spans="3:3">
      <c r="C4863"/>
    </row>
    <row r="4864" spans="3:3">
      <c r="C4864"/>
    </row>
    <row r="4865" spans="3:3">
      <c r="C4865"/>
    </row>
    <row r="4866" spans="3:3">
      <c r="C4866"/>
    </row>
    <row r="4867" spans="3:3">
      <c r="C4867"/>
    </row>
    <row r="4868" spans="3:3">
      <c r="C4868"/>
    </row>
    <row r="4869" spans="3:3">
      <c r="C4869"/>
    </row>
    <row r="4870" spans="3:3">
      <c r="C4870"/>
    </row>
    <row r="4871" spans="3:3">
      <c r="C4871"/>
    </row>
    <row r="4872" spans="3:3">
      <c r="C4872"/>
    </row>
    <row r="4873" spans="3:3">
      <c r="C4873"/>
    </row>
    <row r="4874" spans="3:3">
      <c r="C4874"/>
    </row>
    <row r="4875" spans="3:3">
      <c r="C4875"/>
    </row>
    <row r="4876" spans="3:3">
      <c r="C4876"/>
    </row>
    <row r="4877" spans="3:3">
      <c r="C4877"/>
    </row>
    <row r="4878" spans="3:3">
      <c r="C4878"/>
    </row>
    <row r="4879" spans="3:3">
      <c r="C4879"/>
    </row>
    <row r="4880" spans="3:3">
      <c r="C4880"/>
    </row>
    <row r="4881" spans="3:3">
      <c r="C4881"/>
    </row>
    <row r="4882" spans="3:3">
      <c r="C4882"/>
    </row>
    <row r="4883" spans="3:3">
      <c r="C4883"/>
    </row>
    <row r="4884" spans="3:3">
      <c r="C4884"/>
    </row>
    <row r="4885" spans="3:3">
      <c r="C4885"/>
    </row>
    <row r="4886" spans="3:3">
      <c r="C4886"/>
    </row>
    <row r="4887" spans="3:3">
      <c r="C4887"/>
    </row>
    <row r="4888" spans="3:3">
      <c r="C4888"/>
    </row>
    <row r="4889" spans="3:3">
      <c r="C4889"/>
    </row>
    <row r="4890" spans="3:3">
      <c r="C4890"/>
    </row>
    <row r="4891" spans="3:3">
      <c r="C4891"/>
    </row>
    <row r="4892" spans="3:3">
      <c r="C4892"/>
    </row>
    <row r="4893" spans="3:3">
      <c r="C4893"/>
    </row>
    <row r="4894" spans="3:3">
      <c r="C4894"/>
    </row>
    <row r="4895" spans="3:3">
      <c r="C4895"/>
    </row>
    <row r="4896" spans="3:3">
      <c r="C4896"/>
    </row>
    <row r="4897" spans="3:3">
      <c r="C4897"/>
    </row>
    <row r="4898" spans="3:3">
      <c r="C4898"/>
    </row>
    <row r="4899" spans="3:3">
      <c r="C4899"/>
    </row>
    <row r="4900" spans="3:3">
      <c r="C4900"/>
    </row>
    <row r="4901" spans="3:3">
      <c r="C4901"/>
    </row>
    <row r="4902" spans="3:3">
      <c r="C4902"/>
    </row>
    <row r="4903" spans="3:3">
      <c r="C4903"/>
    </row>
    <row r="4904" spans="3:3">
      <c r="C4904"/>
    </row>
    <row r="4905" spans="3:3">
      <c r="C4905"/>
    </row>
    <row r="4906" spans="3:3">
      <c r="C4906"/>
    </row>
    <row r="4907" spans="3:3">
      <c r="C4907"/>
    </row>
    <row r="4908" spans="3:3">
      <c r="C4908"/>
    </row>
    <row r="4909" spans="3:3">
      <c r="C4909"/>
    </row>
    <row r="4910" spans="3:3">
      <c r="C4910"/>
    </row>
    <row r="4911" spans="3:3">
      <c r="C4911"/>
    </row>
    <row r="4912" spans="3:3">
      <c r="C4912"/>
    </row>
    <row r="4913" spans="3:3">
      <c r="C4913"/>
    </row>
    <row r="4914" spans="3:3">
      <c r="C4914"/>
    </row>
    <row r="4915" spans="3:3">
      <c r="C4915"/>
    </row>
    <row r="4916" spans="3:3">
      <c r="C4916"/>
    </row>
    <row r="4917" spans="3:3">
      <c r="C4917"/>
    </row>
    <row r="4918" spans="3:3">
      <c r="C4918"/>
    </row>
    <row r="4919" spans="3:3">
      <c r="C4919"/>
    </row>
    <row r="4920" spans="3:3">
      <c r="C4920"/>
    </row>
    <row r="4921" spans="3:3">
      <c r="C4921"/>
    </row>
    <row r="4922" spans="3:3">
      <c r="C4922"/>
    </row>
    <row r="4923" spans="3:3">
      <c r="C4923"/>
    </row>
    <row r="4924" spans="3:3">
      <c r="C4924"/>
    </row>
    <row r="4925" spans="3:3">
      <c r="C4925"/>
    </row>
    <row r="4926" spans="3:3">
      <c r="C4926"/>
    </row>
    <row r="4927" spans="3:3">
      <c r="C4927"/>
    </row>
    <row r="4928" spans="3:3">
      <c r="C4928"/>
    </row>
    <row r="4929" spans="3:3">
      <c r="C4929"/>
    </row>
    <row r="4930" spans="3:3">
      <c r="C4930"/>
    </row>
    <row r="4931" spans="3:3">
      <c r="C4931"/>
    </row>
    <row r="4932" spans="3:3">
      <c r="C4932"/>
    </row>
    <row r="4933" spans="3:3">
      <c r="C4933"/>
    </row>
    <row r="4934" spans="3:3">
      <c r="C4934"/>
    </row>
    <row r="4935" spans="3:3">
      <c r="C4935"/>
    </row>
    <row r="4936" spans="3:3">
      <c r="C4936"/>
    </row>
    <row r="4937" spans="3:3">
      <c r="C4937"/>
    </row>
    <row r="4938" spans="3:3">
      <c r="C4938"/>
    </row>
    <row r="4939" spans="3:3">
      <c r="C4939"/>
    </row>
    <row r="4940" spans="3:3">
      <c r="C4940"/>
    </row>
    <row r="4941" spans="3:3">
      <c r="C4941"/>
    </row>
    <row r="4942" spans="3:3">
      <c r="C4942"/>
    </row>
    <row r="4943" spans="3:3">
      <c r="C4943"/>
    </row>
    <row r="4944" spans="3:3">
      <c r="C4944"/>
    </row>
    <row r="4945" spans="3:3">
      <c r="C4945"/>
    </row>
    <row r="4946" spans="3:3">
      <c r="C4946"/>
    </row>
    <row r="4947" spans="3:3">
      <c r="C4947"/>
    </row>
    <row r="4948" spans="3:3">
      <c r="C4948"/>
    </row>
    <row r="4949" spans="3:3">
      <c r="C4949"/>
    </row>
    <row r="4950" spans="3:3">
      <c r="C4950"/>
    </row>
    <row r="4951" spans="3:3">
      <c r="C4951"/>
    </row>
    <row r="4952" spans="3:3">
      <c r="C4952"/>
    </row>
    <row r="4953" spans="3:3">
      <c r="C4953"/>
    </row>
    <row r="4954" spans="3:3">
      <c r="C4954"/>
    </row>
    <row r="4955" spans="3:3">
      <c r="C4955"/>
    </row>
    <row r="4956" spans="3:3">
      <c r="C4956"/>
    </row>
    <row r="4957" spans="3:3">
      <c r="C4957"/>
    </row>
    <row r="4958" spans="3:3">
      <c r="C4958"/>
    </row>
    <row r="4959" spans="3:3">
      <c r="C4959"/>
    </row>
    <row r="4960" spans="3:3">
      <c r="C4960"/>
    </row>
    <row r="4961" spans="3:3">
      <c r="C4961"/>
    </row>
    <row r="4962" spans="3:3">
      <c r="C4962"/>
    </row>
    <row r="4963" spans="3:3">
      <c r="C4963"/>
    </row>
    <row r="4964" spans="3:3">
      <c r="C4964"/>
    </row>
    <row r="4965" spans="3:3">
      <c r="C4965"/>
    </row>
    <row r="4966" spans="3:3">
      <c r="C4966"/>
    </row>
    <row r="4967" spans="3:3">
      <c r="C4967"/>
    </row>
    <row r="4968" spans="3:3">
      <c r="C4968"/>
    </row>
    <row r="4969" spans="3:3">
      <c r="C4969"/>
    </row>
    <row r="4970" spans="3:3">
      <c r="C4970"/>
    </row>
    <row r="4971" spans="3:3">
      <c r="C4971"/>
    </row>
    <row r="4972" spans="3:3">
      <c r="C4972"/>
    </row>
    <row r="4973" spans="3:3">
      <c r="C4973"/>
    </row>
    <row r="4974" spans="3:3">
      <c r="C4974"/>
    </row>
    <row r="4975" spans="3:3">
      <c r="C4975"/>
    </row>
    <row r="4976" spans="3:3">
      <c r="C4976"/>
    </row>
    <row r="4977" spans="3:3">
      <c r="C4977"/>
    </row>
    <row r="4978" spans="3:3">
      <c r="C4978"/>
    </row>
    <row r="4979" spans="3:3">
      <c r="C4979"/>
    </row>
    <row r="4980" spans="3:3">
      <c r="C4980"/>
    </row>
    <row r="4981" spans="3:3">
      <c r="C4981"/>
    </row>
    <row r="4982" spans="3:3">
      <c r="C4982"/>
    </row>
    <row r="4983" spans="3:3">
      <c r="C4983"/>
    </row>
    <row r="4984" spans="3:3">
      <c r="C4984"/>
    </row>
    <row r="4985" spans="3:3">
      <c r="C4985"/>
    </row>
    <row r="4986" spans="3:3">
      <c r="C4986"/>
    </row>
    <row r="4987" spans="3:3">
      <c r="C4987"/>
    </row>
    <row r="4988" spans="3:3">
      <c r="C4988"/>
    </row>
    <row r="4989" spans="3:3">
      <c r="C4989"/>
    </row>
    <row r="4990" spans="3:3">
      <c r="C4990"/>
    </row>
    <row r="4991" spans="3:3">
      <c r="C4991"/>
    </row>
    <row r="4992" spans="3:3">
      <c r="C4992"/>
    </row>
    <row r="4993" spans="3:3">
      <c r="C4993"/>
    </row>
    <row r="4994" spans="3:3">
      <c r="C4994"/>
    </row>
    <row r="4995" spans="3:3">
      <c r="C4995"/>
    </row>
    <row r="4996" spans="3:3">
      <c r="C4996"/>
    </row>
    <row r="4997" spans="3:3">
      <c r="C4997"/>
    </row>
    <row r="4998" spans="3:3">
      <c r="C4998"/>
    </row>
    <row r="4999" spans="3:3">
      <c r="C4999"/>
    </row>
    <row r="5000" spans="3:3">
      <c r="C5000"/>
    </row>
    <row r="5001" spans="3:3">
      <c r="C5001"/>
    </row>
    <row r="5002" spans="3:3">
      <c r="C5002"/>
    </row>
    <row r="5003" spans="3:3">
      <c r="C5003"/>
    </row>
    <row r="5004" spans="3:3">
      <c r="C5004"/>
    </row>
    <row r="5005" spans="3:3">
      <c r="C5005"/>
    </row>
    <row r="5006" spans="3:3">
      <c r="C5006"/>
    </row>
    <row r="5007" spans="3:3">
      <c r="C5007"/>
    </row>
    <row r="5008" spans="3:3">
      <c r="C5008"/>
    </row>
    <row r="5009" spans="3:3">
      <c r="C5009"/>
    </row>
    <row r="5010" spans="3:3">
      <c r="C5010"/>
    </row>
    <row r="5011" spans="3:3">
      <c r="C5011"/>
    </row>
    <row r="5012" spans="3:3">
      <c r="C5012"/>
    </row>
    <row r="5013" spans="3:3">
      <c r="C5013"/>
    </row>
    <row r="5014" spans="3:3">
      <c r="C5014"/>
    </row>
    <row r="5015" spans="3:3">
      <c r="C5015"/>
    </row>
    <row r="5016" spans="3:3">
      <c r="C5016"/>
    </row>
    <row r="5017" spans="3:3">
      <c r="C5017"/>
    </row>
    <row r="5018" spans="3:3">
      <c r="C5018"/>
    </row>
    <row r="5019" spans="3:3">
      <c r="C5019"/>
    </row>
    <row r="5020" spans="3:3">
      <c r="C5020"/>
    </row>
    <row r="5021" spans="3:3">
      <c r="C5021"/>
    </row>
    <row r="5022" spans="3:3">
      <c r="C5022"/>
    </row>
    <row r="5023" spans="3:3">
      <c r="C5023"/>
    </row>
    <row r="5024" spans="3:3">
      <c r="C5024"/>
    </row>
    <row r="5025" spans="3:3">
      <c r="C5025"/>
    </row>
    <row r="5026" spans="3:3">
      <c r="C5026"/>
    </row>
    <row r="5027" spans="3:3">
      <c r="C5027"/>
    </row>
    <row r="5028" spans="3:3">
      <c r="C5028"/>
    </row>
    <row r="5029" spans="3:3">
      <c r="C5029"/>
    </row>
    <row r="5030" spans="3:3">
      <c r="C5030"/>
    </row>
    <row r="5031" spans="3:3">
      <c r="C5031"/>
    </row>
    <row r="5032" spans="3:3">
      <c r="C5032"/>
    </row>
    <row r="5033" spans="3:3">
      <c r="C5033"/>
    </row>
    <row r="5034" spans="3:3">
      <c r="C5034"/>
    </row>
    <row r="5035" spans="3:3">
      <c r="C5035"/>
    </row>
    <row r="5036" spans="3:3">
      <c r="C5036"/>
    </row>
    <row r="5037" spans="3:3">
      <c r="C5037"/>
    </row>
    <row r="5038" spans="3:3">
      <c r="C5038"/>
    </row>
    <row r="5039" spans="3:3">
      <c r="C5039"/>
    </row>
    <row r="5040" spans="3:3">
      <c r="C5040"/>
    </row>
    <row r="5041" spans="3:3">
      <c r="C5041"/>
    </row>
    <row r="5042" spans="3:3">
      <c r="C5042"/>
    </row>
    <row r="5043" spans="3:3">
      <c r="C5043"/>
    </row>
    <row r="5044" spans="3:3">
      <c r="C5044"/>
    </row>
    <row r="5045" spans="3:3">
      <c r="C5045"/>
    </row>
    <row r="5046" spans="3:3">
      <c r="C5046"/>
    </row>
    <row r="5047" spans="3:3">
      <c r="C5047"/>
    </row>
    <row r="5048" spans="3:3">
      <c r="C5048"/>
    </row>
    <row r="5049" spans="3:3">
      <c r="C5049"/>
    </row>
    <row r="5050" spans="3:3">
      <c r="C5050"/>
    </row>
    <row r="5051" spans="3:3">
      <c r="C5051"/>
    </row>
    <row r="5052" spans="3:3">
      <c r="C5052"/>
    </row>
    <row r="5053" spans="3:3">
      <c r="C5053"/>
    </row>
    <row r="5054" spans="3:3">
      <c r="C5054"/>
    </row>
    <row r="5055" spans="3:3">
      <c r="C5055"/>
    </row>
    <row r="5056" spans="3:3">
      <c r="C5056"/>
    </row>
    <row r="5057" spans="3:3">
      <c r="C5057"/>
    </row>
    <row r="5058" spans="3:3">
      <c r="C5058"/>
    </row>
    <row r="5059" spans="3:3">
      <c r="C5059"/>
    </row>
    <row r="5060" spans="3:3">
      <c r="C5060"/>
    </row>
    <row r="5061" spans="3:3">
      <c r="C5061"/>
    </row>
    <row r="5062" spans="3:3">
      <c r="C5062"/>
    </row>
    <row r="5063" spans="3:3">
      <c r="C5063"/>
    </row>
    <row r="5064" spans="3:3">
      <c r="C5064"/>
    </row>
    <row r="5065" spans="3:3">
      <c r="C5065"/>
    </row>
    <row r="5066" spans="3:3">
      <c r="C5066"/>
    </row>
    <row r="5067" spans="3:3">
      <c r="C5067"/>
    </row>
    <row r="5068" spans="3:3">
      <c r="C5068"/>
    </row>
    <row r="5069" spans="3:3">
      <c r="C5069"/>
    </row>
    <row r="5070" spans="3:3">
      <c r="C5070"/>
    </row>
    <row r="5071" spans="3:3">
      <c r="C5071"/>
    </row>
    <row r="5072" spans="3:3">
      <c r="C5072"/>
    </row>
    <row r="5073" spans="3:3">
      <c r="C5073"/>
    </row>
    <row r="5074" spans="3:3">
      <c r="C5074"/>
    </row>
    <row r="5075" spans="3:3">
      <c r="C5075"/>
    </row>
    <row r="5076" spans="3:3">
      <c r="C5076"/>
    </row>
    <row r="5077" spans="3:3">
      <c r="C5077"/>
    </row>
    <row r="5078" spans="3:3">
      <c r="C5078"/>
    </row>
    <row r="5079" spans="3:3">
      <c r="C5079"/>
    </row>
    <row r="5080" spans="3:3">
      <c r="C5080"/>
    </row>
    <row r="5081" spans="3:3">
      <c r="C5081"/>
    </row>
    <row r="5082" spans="3:3">
      <c r="C5082"/>
    </row>
    <row r="5083" spans="3:3">
      <c r="C5083"/>
    </row>
    <row r="5084" spans="3:3">
      <c r="C5084"/>
    </row>
    <row r="5085" spans="3:3">
      <c r="C5085"/>
    </row>
    <row r="5086" spans="3:3">
      <c r="C5086"/>
    </row>
    <row r="5087" spans="3:3">
      <c r="C5087"/>
    </row>
    <row r="5088" spans="3:3">
      <c r="C5088"/>
    </row>
    <row r="5089" spans="3:3">
      <c r="C5089"/>
    </row>
    <row r="5090" spans="3:3">
      <c r="C5090"/>
    </row>
    <row r="5091" spans="3:3">
      <c r="C5091"/>
    </row>
    <row r="5092" spans="3:3">
      <c r="C5092"/>
    </row>
    <row r="5093" spans="3:3">
      <c r="C5093"/>
    </row>
    <row r="5094" spans="3:3">
      <c r="C5094"/>
    </row>
    <row r="5095" spans="3:3">
      <c r="C5095"/>
    </row>
    <row r="5096" spans="3:3">
      <c r="C5096"/>
    </row>
    <row r="5097" spans="3:3">
      <c r="C5097"/>
    </row>
    <row r="5098" spans="3:3">
      <c r="C5098"/>
    </row>
    <row r="5099" spans="3:3">
      <c r="C5099"/>
    </row>
    <row r="5100" spans="3:3">
      <c r="C5100"/>
    </row>
    <row r="5101" spans="3:3">
      <c r="C5101"/>
    </row>
    <row r="5102" spans="3:3">
      <c r="C5102"/>
    </row>
    <row r="5103" spans="3:3">
      <c r="C5103"/>
    </row>
    <row r="5104" spans="3:3">
      <c r="C5104"/>
    </row>
    <row r="5105" spans="3:3">
      <c r="C5105"/>
    </row>
    <row r="5106" spans="3:3">
      <c r="C5106"/>
    </row>
    <row r="5107" spans="3:3">
      <c r="C5107"/>
    </row>
    <row r="5108" spans="3:3">
      <c r="C5108"/>
    </row>
    <row r="5109" spans="3:3">
      <c r="C5109"/>
    </row>
    <row r="5110" spans="3:3">
      <c r="C5110"/>
    </row>
    <row r="5111" spans="3:3">
      <c r="C5111"/>
    </row>
    <row r="5112" spans="3:3">
      <c r="C5112"/>
    </row>
    <row r="5113" spans="3:3">
      <c r="C5113"/>
    </row>
    <row r="5114" spans="3:3">
      <c r="C5114"/>
    </row>
    <row r="5115" spans="3:3">
      <c r="C5115"/>
    </row>
    <row r="5116" spans="3:3">
      <c r="C5116"/>
    </row>
    <row r="5117" spans="3:3">
      <c r="C5117"/>
    </row>
    <row r="5118" spans="3:3">
      <c r="C5118"/>
    </row>
    <row r="5119" spans="3:3">
      <c r="C5119"/>
    </row>
    <row r="5120" spans="3:3">
      <c r="C5120"/>
    </row>
    <row r="5121" spans="3:3">
      <c r="C5121"/>
    </row>
    <row r="5122" spans="3:3">
      <c r="C5122"/>
    </row>
    <row r="5123" spans="3:3">
      <c r="C5123"/>
    </row>
    <row r="5124" spans="3:3">
      <c r="C5124"/>
    </row>
    <row r="5125" spans="3:3">
      <c r="C5125"/>
    </row>
    <row r="5126" spans="3:3">
      <c r="C5126"/>
    </row>
    <row r="5127" spans="3:3">
      <c r="C5127"/>
    </row>
    <row r="5128" spans="3:3">
      <c r="C5128"/>
    </row>
    <row r="5129" spans="3:3">
      <c r="C5129"/>
    </row>
    <row r="5130" spans="3:3">
      <c r="C5130"/>
    </row>
    <row r="5131" spans="3:3">
      <c r="C5131"/>
    </row>
    <row r="5132" spans="3:3">
      <c r="C5132"/>
    </row>
    <row r="5133" spans="3:3">
      <c r="C5133"/>
    </row>
    <row r="5134" spans="3:3">
      <c r="C5134"/>
    </row>
    <row r="5135" spans="3:3">
      <c r="C5135"/>
    </row>
    <row r="5136" spans="3:3">
      <c r="C5136"/>
    </row>
    <row r="5137" spans="3:3">
      <c r="C5137"/>
    </row>
    <row r="5138" spans="3:3">
      <c r="C5138"/>
    </row>
    <row r="5139" spans="3:3">
      <c r="C5139"/>
    </row>
    <row r="5140" spans="3:3">
      <c r="C5140"/>
    </row>
    <row r="5141" spans="3:3">
      <c r="C5141"/>
    </row>
    <row r="5142" spans="3:3">
      <c r="C5142"/>
    </row>
    <row r="5143" spans="3:3">
      <c r="C5143"/>
    </row>
    <row r="5144" spans="3:3">
      <c r="C5144"/>
    </row>
    <row r="5145" spans="3:3">
      <c r="C5145"/>
    </row>
    <row r="5146" spans="3:3">
      <c r="C5146"/>
    </row>
    <row r="5147" spans="3:3">
      <c r="C5147"/>
    </row>
    <row r="5148" spans="3:3">
      <c r="C5148"/>
    </row>
    <row r="5149" spans="3:3">
      <c r="C5149"/>
    </row>
    <row r="5150" spans="3:3">
      <c r="C5150"/>
    </row>
    <row r="5151" spans="3:3">
      <c r="C5151"/>
    </row>
    <row r="5152" spans="3:3">
      <c r="C5152"/>
    </row>
    <row r="5153" spans="3:3">
      <c r="C5153"/>
    </row>
    <row r="5154" spans="3:3">
      <c r="C5154"/>
    </row>
    <row r="5155" spans="3:3">
      <c r="C5155"/>
    </row>
    <row r="5156" spans="3:3">
      <c r="C5156"/>
    </row>
    <row r="5157" spans="3:3">
      <c r="C5157"/>
    </row>
    <row r="5158" spans="3:3">
      <c r="C5158"/>
    </row>
    <row r="5159" spans="3:3">
      <c r="C5159"/>
    </row>
    <row r="5160" spans="3:3">
      <c r="C5160"/>
    </row>
    <row r="5161" spans="3:3">
      <c r="C5161"/>
    </row>
    <row r="5162" spans="3:3">
      <c r="C5162"/>
    </row>
    <row r="5163" spans="3:3">
      <c r="C5163"/>
    </row>
    <row r="5164" spans="3:3">
      <c r="C5164"/>
    </row>
    <row r="5165" spans="3:3">
      <c r="C5165"/>
    </row>
    <row r="5166" spans="3:3">
      <c r="C5166"/>
    </row>
    <row r="5167" spans="3:3">
      <c r="C5167"/>
    </row>
    <row r="5168" spans="3:3">
      <c r="C5168"/>
    </row>
    <row r="5169" spans="3:3">
      <c r="C5169"/>
    </row>
    <row r="5170" spans="3:3">
      <c r="C5170"/>
    </row>
    <row r="5171" spans="3:3">
      <c r="C5171"/>
    </row>
    <row r="5172" spans="3:3">
      <c r="C5172"/>
    </row>
    <row r="5173" spans="3:3">
      <c r="C5173"/>
    </row>
    <row r="5174" spans="3:3">
      <c r="C5174"/>
    </row>
    <row r="5175" spans="3:3">
      <c r="C5175"/>
    </row>
    <row r="5176" spans="3:3">
      <c r="C5176"/>
    </row>
    <row r="5177" spans="3:3">
      <c r="C5177"/>
    </row>
    <row r="5178" spans="3:3">
      <c r="C5178"/>
    </row>
    <row r="5179" spans="3:3">
      <c r="C5179"/>
    </row>
    <row r="5180" spans="3:3">
      <c r="C5180"/>
    </row>
    <row r="5181" spans="3:3">
      <c r="C5181"/>
    </row>
    <row r="5182" spans="3:3">
      <c r="C5182"/>
    </row>
    <row r="5183" spans="3:3">
      <c r="C5183"/>
    </row>
    <row r="5184" spans="3:3">
      <c r="C5184"/>
    </row>
    <row r="5185" spans="3:3">
      <c r="C5185"/>
    </row>
    <row r="5186" spans="3:3">
      <c r="C5186"/>
    </row>
    <row r="5187" spans="3:3">
      <c r="C5187"/>
    </row>
    <row r="5188" spans="3:3">
      <c r="C5188"/>
    </row>
    <row r="5189" spans="3:3">
      <c r="C5189"/>
    </row>
    <row r="5190" spans="3:3">
      <c r="C5190"/>
    </row>
    <row r="5191" spans="3:3">
      <c r="C5191"/>
    </row>
    <row r="5192" spans="3:3">
      <c r="C5192"/>
    </row>
    <row r="5193" spans="3:3">
      <c r="C5193"/>
    </row>
    <row r="5194" spans="3:3">
      <c r="C5194"/>
    </row>
    <row r="5195" spans="3:3">
      <c r="C5195"/>
    </row>
    <row r="5196" spans="3:3">
      <c r="C5196"/>
    </row>
    <row r="5197" spans="3:3">
      <c r="C5197"/>
    </row>
    <row r="5198" spans="3:3">
      <c r="C5198"/>
    </row>
    <row r="5199" spans="3:3">
      <c r="C5199"/>
    </row>
    <row r="5200" spans="3:3">
      <c r="C5200"/>
    </row>
    <row r="5201" spans="3:3">
      <c r="C5201"/>
    </row>
    <row r="5202" spans="3:3">
      <c r="C5202"/>
    </row>
    <row r="5203" spans="3:3">
      <c r="C5203"/>
    </row>
    <row r="5204" spans="3:3">
      <c r="C5204"/>
    </row>
    <row r="5205" spans="3:3">
      <c r="C5205"/>
    </row>
    <row r="5206" spans="3:3">
      <c r="C5206"/>
    </row>
    <row r="5207" spans="3:3">
      <c r="C5207"/>
    </row>
    <row r="5208" spans="3:3">
      <c r="C5208"/>
    </row>
    <row r="5209" spans="3:3">
      <c r="C5209"/>
    </row>
    <row r="5210" spans="3:3">
      <c r="C5210"/>
    </row>
    <row r="5211" spans="3:3">
      <c r="C5211"/>
    </row>
    <row r="5212" spans="3:3">
      <c r="C5212"/>
    </row>
    <row r="5213" spans="3:3">
      <c r="C5213"/>
    </row>
    <row r="5214" spans="3:3">
      <c r="C5214"/>
    </row>
    <row r="5215" spans="3:3">
      <c r="C5215"/>
    </row>
    <row r="5216" spans="3:3">
      <c r="C5216"/>
    </row>
    <row r="5217" spans="3:3">
      <c r="C5217"/>
    </row>
    <row r="5218" spans="3:3">
      <c r="C5218"/>
    </row>
    <row r="5219" spans="3:3">
      <c r="C5219"/>
    </row>
    <row r="5220" spans="3:3">
      <c r="C5220"/>
    </row>
    <row r="5221" spans="3:3">
      <c r="C5221"/>
    </row>
    <row r="5222" spans="3:3">
      <c r="C5222"/>
    </row>
    <row r="5223" spans="3:3">
      <c r="C5223"/>
    </row>
    <row r="5224" spans="3:3">
      <c r="C5224"/>
    </row>
    <row r="5225" spans="3:3">
      <c r="C5225"/>
    </row>
    <row r="5226" spans="3:3">
      <c r="C5226"/>
    </row>
    <row r="5227" spans="3:3">
      <c r="C5227"/>
    </row>
    <row r="5228" spans="3:3">
      <c r="C5228"/>
    </row>
    <row r="5229" spans="3:3">
      <c r="C5229"/>
    </row>
    <row r="5230" spans="3:3">
      <c r="C5230"/>
    </row>
    <row r="5231" spans="3:3">
      <c r="C5231"/>
    </row>
    <row r="5232" spans="3:3">
      <c r="C5232"/>
    </row>
    <row r="5233" spans="3:3">
      <c r="C5233"/>
    </row>
    <row r="5234" spans="3:3">
      <c r="C5234"/>
    </row>
    <row r="5235" spans="3:3">
      <c r="C5235"/>
    </row>
    <row r="5236" spans="3:3">
      <c r="C5236"/>
    </row>
    <row r="5237" spans="3:3">
      <c r="C5237"/>
    </row>
    <row r="5238" spans="3:3">
      <c r="C5238"/>
    </row>
    <row r="5239" spans="3:3">
      <c r="C5239"/>
    </row>
    <row r="5240" spans="3:3">
      <c r="C5240"/>
    </row>
    <row r="5241" spans="3:3">
      <c r="C5241"/>
    </row>
    <row r="5242" spans="3:3">
      <c r="C5242"/>
    </row>
    <row r="5243" spans="3:3">
      <c r="C5243"/>
    </row>
    <row r="5244" spans="3:3">
      <c r="C5244"/>
    </row>
    <row r="5245" spans="3:3">
      <c r="C5245"/>
    </row>
    <row r="5246" spans="3:3">
      <c r="C5246"/>
    </row>
    <row r="5247" spans="3:3">
      <c r="C5247"/>
    </row>
    <row r="5248" spans="3:3">
      <c r="C5248"/>
    </row>
    <row r="5249" spans="3:3">
      <c r="C5249"/>
    </row>
    <row r="5250" spans="3:3">
      <c r="C5250"/>
    </row>
    <row r="5251" spans="3:3">
      <c r="C5251"/>
    </row>
    <row r="5252" spans="3:3">
      <c r="C5252"/>
    </row>
    <row r="5253" spans="3:3">
      <c r="C5253"/>
    </row>
    <row r="5254" spans="3:3">
      <c r="C5254"/>
    </row>
    <row r="5255" spans="3:3">
      <c r="C5255"/>
    </row>
    <row r="5256" spans="3:3">
      <c r="C5256"/>
    </row>
    <row r="5257" spans="3:3">
      <c r="C5257"/>
    </row>
    <row r="5258" spans="3:3">
      <c r="C5258"/>
    </row>
    <row r="5259" spans="3:3">
      <c r="C5259"/>
    </row>
    <row r="5260" spans="3:3">
      <c r="C5260"/>
    </row>
    <row r="5261" spans="3:3">
      <c r="C5261"/>
    </row>
    <row r="5262" spans="3:3">
      <c r="C5262"/>
    </row>
    <row r="5263" spans="3:3">
      <c r="C5263"/>
    </row>
    <row r="5264" spans="3:3">
      <c r="C5264"/>
    </row>
    <row r="5265" spans="3:3">
      <c r="C5265"/>
    </row>
    <row r="5266" spans="3:3">
      <c r="C5266"/>
    </row>
    <row r="5267" spans="3:3">
      <c r="C5267"/>
    </row>
    <row r="5268" spans="3:3">
      <c r="C5268"/>
    </row>
    <row r="5269" spans="3:3">
      <c r="C5269"/>
    </row>
    <row r="5270" spans="3:3">
      <c r="C5270"/>
    </row>
    <row r="5271" spans="3:3">
      <c r="C5271"/>
    </row>
    <row r="5272" spans="3:3">
      <c r="C5272"/>
    </row>
    <row r="5273" spans="3:3">
      <c r="C5273"/>
    </row>
    <row r="5274" spans="3:3">
      <c r="C5274"/>
    </row>
    <row r="5275" spans="3:3">
      <c r="C5275"/>
    </row>
    <row r="5276" spans="3:3">
      <c r="C5276"/>
    </row>
    <row r="5277" spans="3:3">
      <c r="C5277"/>
    </row>
    <row r="5278" spans="3:3">
      <c r="C5278"/>
    </row>
    <row r="5279" spans="3:3">
      <c r="C5279"/>
    </row>
    <row r="5280" spans="3:3">
      <c r="C5280"/>
    </row>
    <row r="5281" spans="3:3">
      <c r="C5281"/>
    </row>
    <row r="5282" spans="3:3">
      <c r="C5282"/>
    </row>
    <row r="5283" spans="3:3">
      <c r="C5283"/>
    </row>
    <row r="5284" spans="3:3">
      <c r="C5284"/>
    </row>
    <row r="5285" spans="3:3">
      <c r="C5285"/>
    </row>
    <row r="5286" spans="3:3">
      <c r="C5286"/>
    </row>
    <row r="5287" spans="3:3">
      <c r="C5287"/>
    </row>
    <row r="5288" spans="3:3">
      <c r="C5288"/>
    </row>
    <row r="5289" spans="3:3">
      <c r="C5289"/>
    </row>
    <row r="5290" spans="3:3">
      <c r="C5290"/>
    </row>
    <row r="5291" spans="3:3">
      <c r="C5291"/>
    </row>
    <row r="5292" spans="3:3">
      <c r="C5292"/>
    </row>
    <row r="5293" spans="3:3">
      <c r="C5293"/>
    </row>
    <row r="5294" spans="3:3">
      <c r="C5294"/>
    </row>
    <row r="5295" spans="3:3">
      <c r="C5295"/>
    </row>
    <row r="5296" spans="3:3">
      <c r="C5296"/>
    </row>
    <row r="5297" spans="3:3">
      <c r="C5297"/>
    </row>
    <row r="5298" spans="3:3">
      <c r="C5298"/>
    </row>
    <row r="5299" spans="3:3">
      <c r="C5299"/>
    </row>
    <row r="5300" spans="3:3">
      <c r="C5300"/>
    </row>
    <row r="5301" spans="3:3">
      <c r="C5301"/>
    </row>
    <row r="5302" spans="3:3">
      <c r="C5302"/>
    </row>
    <row r="5303" spans="3:3">
      <c r="C5303"/>
    </row>
    <row r="5304" spans="3:3">
      <c r="C5304"/>
    </row>
    <row r="5305" spans="3:3">
      <c r="C5305"/>
    </row>
    <row r="5306" spans="3:3">
      <c r="C5306"/>
    </row>
    <row r="5307" spans="3:3">
      <c r="C5307"/>
    </row>
    <row r="5308" spans="3:3">
      <c r="C5308"/>
    </row>
    <row r="5309" spans="3:3">
      <c r="C5309"/>
    </row>
    <row r="5310" spans="3:3">
      <c r="C5310"/>
    </row>
    <row r="5311" spans="3:3">
      <c r="C5311"/>
    </row>
    <row r="5312" spans="3:3">
      <c r="C5312"/>
    </row>
    <row r="5313" spans="3:3">
      <c r="C5313"/>
    </row>
    <row r="5314" spans="3:3">
      <c r="C5314"/>
    </row>
    <row r="5315" spans="3:3">
      <c r="C5315"/>
    </row>
    <row r="5316" spans="3:3">
      <c r="C5316"/>
    </row>
    <row r="5317" spans="3:3">
      <c r="C5317"/>
    </row>
    <row r="5318" spans="3:3">
      <c r="C5318"/>
    </row>
    <row r="5319" spans="3:3">
      <c r="C5319"/>
    </row>
    <row r="5320" spans="3:3">
      <c r="C5320"/>
    </row>
    <row r="5321" spans="3:3">
      <c r="C5321"/>
    </row>
    <row r="5322" spans="3:3">
      <c r="C5322"/>
    </row>
    <row r="5323" spans="3:3">
      <c r="C5323"/>
    </row>
    <row r="5324" spans="3:3">
      <c r="C5324"/>
    </row>
    <row r="5325" spans="3:3">
      <c r="C5325"/>
    </row>
    <row r="5326" spans="3:3">
      <c r="C5326"/>
    </row>
    <row r="5327" spans="3:3">
      <c r="C5327"/>
    </row>
    <row r="5328" spans="3:3">
      <c r="C5328"/>
    </row>
    <row r="5329" spans="3:3">
      <c r="C5329"/>
    </row>
    <row r="5330" spans="3:3">
      <c r="C5330"/>
    </row>
    <row r="5331" spans="3:3">
      <c r="C5331"/>
    </row>
    <row r="5332" spans="3:3">
      <c r="C5332"/>
    </row>
    <row r="5333" spans="3:3">
      <c r="C5333"/>
    </row>
    <row r="5334" spans="3:3">
      <c r="C5334"/>
    </row>
    <row r="5335" spans="3:3">
      <c r="C5335"/>
    </row>
    <row r="5336" spans="3:3">
      <c r="C5336"/>
    </row>
    <row r="5337" spans="3:3">
      <c r="C5337"/>
    </row>
    <row r="5338" spans="3:3">
      <c r="C5338"/>
    </row>
    <row r="5339" spans="3:3">
      <c r="C5339"/>
    </row>
    <row r="5340" spans="3:3">
      <c r="C5340"/>
    </row>
    <row r="5341" spans="3:3">
      <c r="C5341"/>
    </row>
    <row r="5342" spans="3:3">
      <c r="C5342"/>
    </row>
    <row r="5343" spans="3:3">
      <c r="C5343"/>
    </row>
    <row r="5344" spans="3:3">
      <c r="C5344"/>
    </row>
    <row r="5345" spans="3:3">
      <c r="C5345"/>
    </row>
    <row r="5346" spans="3:3">
      <c r="C5346"/>
    </row>
    <row r="5347" spans="3:3">
      <c r="C5347"/>
    </row>
    <row r="5348" spans="3:3">
      <c r="C5348"/>
    </row>
    <row r="5349" spans="3:3">
      <c r="C5349"/>
    </row>
    <row r="5350" spans="3:3">
      <c r="C5350"/>
    </row>
    <row r="5351" spans="3:3">
      <c r="C5351"/>
    </row>
    <row r="5352" spans="3:3">
      <c r="C5352"/>
    </row>
    <row r="5353" spans="3:3">
      <c r="C5353"/>
    </row>
    <row r="5354" spans="3:3">
      <c r="C5354"/>
    </row>
    <row r="5355" spans="3:3">
      <c r="C5355"/>
    </row>
    <row r="5356" spans="3:3">
      <c r="C5356"/>
    </row>
    <row r="5357" spans="3:3">
      <c r="C5357"/>
    </row>
    <row r="5358" spans="3:3">
      <c r="C5358"/>
    </row>
    <row r="5359" spans="3:3">
      <c r="C5359"/>
    </row>
    <row r="5360" spans="3:3">
      <c r="C5360"/>
    </row>
    <row r="5361" spans="3:3">
      <c r="C5361"/>
    </row>
    <row r="5362" spans="3:3">
      <c r="C5362"/>
    </row>
    <row r="5363" spans="3:3">
      <c r="C5363"/>
    </row>
    <row r="5364" spans="3:3">
      <c r="C5364"/>
    </row>
    <row r="5365" spans="3:3">
      <c r="C5365"/>
    </row>
    <row r="5366" spans="3:3">
      <c r="C5366"/>
    </row>
    <row r="5367" spans="3:3">
      <c r="C5367"/>
    </row>
    <row r="5368" spans="3:3">
      <c r="C5368"/>
    </row>
    <row r="5369" spans="3:3">
      <c r="C5369"/>
    </row>
    <row r="5370" spans="3:3">
      <c r="C5370"/>
    </row>
    <row r="5371" spans="3:3">
      <c r="C5371"/>
    </row>
    <row r="5372" spans="3:3">
      <c r="C5372"/>
    </row>
    <row r="5373" spans="3:3">
      <c r="C5373"/>
    </row>
    <row r="5374" spans="3:3">
      <c r="C5374"/>
    </row>
    <row r="5375" spans="3:3">
      <c r="C5375"/>
    </row>
    <row r="5376" spans="3:3">
      <c r="C5376"/>
    </row>
    <row r="5377" spans="3:3">
      <c r="C5377"/>
    </row>
    <row r="5378" spans="3:3">
      <c r="C5378"/>
    </row>
    <row r="5379" spans="3:3">
      <c r="C5379"/>
    </row>
    <row r="5380" spans="3:3">
      <c r="C5380"/>
    </row>
    <row r="5381" spans="3:3">
      <c r="C5381"/>
    </row>
    <row r="5382" spans="3:3">
      <c r="C5382"/>
    </row>
    <row r="5383" spans="3:3">
      <c r="C5383"/>
    </row>
    <row r="5384" spans="3:3">
      <c r="C5384"/>
    </row>
    <row r="5385" spans="3:3">
      <c r="C5385"/>
    </row>
    <row r="5386" spans="3:3">
      <c r="C5386"/>
    </row>
    <row r="5387" spans="3:3">
      <c r="C5387"/>
    </row>
    <row r="5388" spans="3:3">
      <c r="C5388"/>
    </row>
    <row r="5389" spans="3:3">
      <c r="C5389"/>
    </row>
    <row r="5390" spans="3:3">
      <c r="C5390"/>
    </row>
    <row r="5391" spans="3:3">
      <c r="C5391"/>
    </row>
    <row r="5392" spans="3:3">
      <c r="C5392"/>
    </row>
    <row r="5393" spans="3:3">
      <c r="C5393"/>
    </row>
    <row r="5394" spans="3:3">
      <c r="C5394"/>
    </row>
    <row r="5395" spans="3:3">
      <c r="C5395"/>
    </row>
    <row r="5396" spans="3:3">
      <c r="C5396"/>
    </row>
    <row r="5397" spans="3:3">
      <c r="C5397"/>
    </row>
    <row r="5398" spans="3:3">
      <c r="C5398"/>
    </row>
    <row r="5399" spans="3:3">
      <c r="C5399"/>
    </row>
    <row r="5400" spans="3:3">
      <c r="C5400"/>
    </row>
    <row r="5401" spans="3:3">
      <c r="C5401"/>
    </row>
    <row r="5402" spans="3:3">
      <c r="C5402"/>
    </row>
    <row r="5403" spans="3:3">
      <c r="C5403"/>
    </row>
    <row r="5404" spans="3:3">
      <c r="C5404"/>
    </row>
    <row r="5405" spans="3:3">
      <c r="C5405"/>
    </row>
    <row r="5406" spans="3:3">
      <c r="C5406"/>
    </row>
    <row r="5407" spans="3:3">
      <c r="C5407"/>
    </row>
    <row r="5408" spans="3:3">
      <c r="C5408"/>
    </row>
    <row r="5409" spans="3:3">
      <c r="C5409"/>
    </row>
    <row r="5410" spans="3:3">
      <c r="C5410"/>
    </row>
    <row r="5411" spans="3:3">
      <c r="C5411"/>
    </row>
    <row r="5412" spans="3:3">
      <c r="C5412"/>
    </row>
    <row r="5413" spans="3:3">
      <c r="C5413"/>
    </row>
    <row r="5414" spans="3:3">
      <c r="C5414"/>
    </row>
    <row r="5415" spans="3:3">
      <c r="C5415"/>
    </row>
    <row r="5416" spans="3:3">
      <c r="C5416"/>
    </row>
    <row r="5417" spans="3:3">
      <c r="C5417"/>
    </row>
    <row r="5418" spans="3:3">
      <c r="C5418"/>
    </row>
    <row r="5419" spans="3:3">
      <c r="C5419"/>
    </row>
    <row r="5420" spans="3:3">
      <c r="C5420"/>
    </row>
    <row r="5421" spans="3:3">
      <c r="C5421"/>
    </row>
    <row r="5422" spans="3:3">
      <c r="C5422"/>
    </row>
    <row r="5423" spans="3:3">
      <c r="C5423"/>
    </row>
    <row r="5424" spans="3:3">
      <c r="C5424"/>
    </row>
    <row r="5425" spans="3:3">
      <c r="C5425"/>
    </row>
    <row r="5426" spans="3:3">
      <c r="C5426"/>
    </row>
    <row r="5427" spans="3:3">
      <c r="C5427"/>
    </row>
    <row r="5428" spans="3:3">
      <c r="C5428"/>
    </row>
    <row r="5429" spans="3:3">
      <c r="C5429"/>
    </row>
    <row r="5430" spans="3:3">
      <c r="C5430"/>
    </row>
    <row r="5431" spans="3:3">
      <c r="C5431"/>
    </row>
    <row r="5432" spans="3:3">
      <c r="C5432"/>
    </row>
    <row r="5433" spans="3:3">
      <c r="C5433"/>
    </row>
    <row r="5434" spans="3:3">
      <c r="C5434"/>
    </row>
    <row r="5435" spans="3:3">
      <c r="C5435"/>
    </row>
    <row r="5436" spans="3:3">
      <c r="C5436"/>
    </row>
    <row r="5437" spans="3:3">
      <c r="C5437"/>
    </row>
    <row r="5438" spans="3:3">
      <c r="C5438"/>
    </row>
    <row r="5439" spans="3:3">
      <c r="C5439"/>
    </row>
    <row r="5440" spans="3:3">
      <c r="C5440"/>
    </row>
    <row r="5441" spans="3:3">
      <c r="C5441"/>
    </row>
    <row r="5442" spans="3:3">
      <c r="C5442"/>
    </row>
    <row r="5443" spans="3:3">
      <c r="C5443"/>
    </row>
    <row r="5444" spans="3:3">
      <c r="C5444"/>
    </row>
    <row r="5445" spans="3:3">
      <c r="C5445"/>
    </row>
    <row r="5446" spans="3:3">
      <c r="C5446"/>
    </row>
    <row r="5447" spans="3:3">
      <c r="C5447"/>
    </row>
    <row r="5448" spans="3:3">
      <c r="C5448"/>
    </row>
    <row r="5449" spans="3:3">
      <c r="C5449"/>
    </row>
    <row r="5450" spans="3:3">
      <c r="C5450"/>
    </row>
    <row r="5451" spans="3:3">
      <c r="C5451"/>
    </row>
    <row r="5452" spans="3:3">
      <c r="C5452"/>
    </row>
    <row r="5453" spans="3:3">
      <c r="C5453"/>
    </row>
    <row r="5454" spans="3:3">
      <c r="C5454"/>
    </row>
    <row r="5455" spans="3:3">
      <c r="C5455"/>
    </row>
    <row r="5456" spans="3:3">
      <c r="C5456"/>
    </row>
    <row r="5457" spans="3:3">
      <c r="C5457"/>
    </row>
    <row r="5458" spans="3:3">
      <c r="C5458"/>
    </row>
    <row r="5459" spans="3:3">
      <c r="C5459"/>
    </row>
    <row r="5460" spans="3:3">
      <c r="C5460"/>
    </row>
    <row r="5461" spans="3:3">
      <c r="C5461"/>
    </row>
    <row r="5462" spans="3:3">
      <c r="C5462"/>
    </row>
    <row r="5463" spans="3:3">
      <c r="C5463"/>
    </row>
    <row r="5464" spans="3:3">
      <c r="C5464"/>
    </row>
    <row r="5465" spans="3:3">
      <c r="C5465"/>
    </row>
    <row r="5466" spans="3:3">
      <c r="C5466"/>
    </row>
    <row r="5467" spans="3:3">
      <c r="C5467"/>
    </row>
    <row r="5468" spans="3:3">
      <c r="C5468"/>
    </row>
    <row r="5469" spans="3:3">
      <c r="C5469"/>
    </row>
    <row r="5470" spans="3:3">
      <c r="C5470"/>
    </row>
    <row r="5471" spans="3:3">
      <c r="C5471"/>
    </row>
    <row r="5472" spans="3:3">
      <c r="C5472"/>
    </row>
    <row r="5473" spans="3:3">
      <c r="C5473"/>
    </row>
    <row r="5474" spans="3:3">
      <c r="C5474"/>
    </row>
    <row r="5475" spans="3:3">
      <c r="C5475"/>
    </row>
    <row r="5476" spans="3:3">
      <c r="C5476"/>
    </row>
    <row r="5477" spans="3:3">
      <c r="C5477"/>
    </row>
    <row r="5478" spans="3:3">
      <c r="C5478"/>
    </row>
    <row r="5479" spans="3:3">
      <c r="C5479"/>
    </row>
    <row r="5480" spans="3:3">
      <c r="C5480"/>
    </row>
    <row r="5481" spans="3:3">
      <c r="C5481"/>
    </row>
    <row r="5482" spans="3:3">
      <c r="C5482"/>
    </row>
    <row r="5483" spans="3:3">
      <c r="C5483"/>
    </row>
    <row r="5484" spans="3:3">
      <c r="C5484"/>
    </row>
    <row r="5485" spans="3:3">
      <c r="C5485"/>
    </row>
    <row r="5486" spans="3:3">
      <c r="C5486"/>
    </row>
    <row r="5487" spans="3:3">
      <c r="C5487"/>
    </row>
    <row r="5488" spans="3:3">
      <c r="C5488"/>
    </row>
    <row r="5489" spans="3:3">
      <c r="C5489"/>
    </row>
    <row r="5490" spans="3:3">
      <c r="C5490"/>
    </row>
    <row r="5491" spans="3:3">
      <c r="C5491"/>
    </row>
    <row r="5492" spans="3:3">
      <c r="C5492"/>
    </row>
    <row r="5493" spans="3:3">
      <c r="C5493"/>
    </row>
    <row r="5494" spans="3:3">
      <c r="C5494"/>
    </row>
    <row r="5495" spans="3:3">
      <c r="C5495"/>
    </row>
    <row r="5496" spans="3:3">
      <c r="C5496"/>
    </row>
    <row r="5497" spans="3:3">
      <c r="C5497"/>
    </row>
    <row r="5498" spans="3:3">
      <c r="C5498"/>
    </row>
    <row r="5499" spans="3:3">
      <c r="C5499"/>
    </row>
    <row r="5500" spans="3:3">
      <c r="C5500"/>
    </row>
    <row r="5501" spans="3:3">
      <c r="C5501"/>
    </row>
    <row r="5502" spans="3:3">
      <c r="C5502"/>
    </row>
    <row r="5503" spans="3:3">
      <c r="C5503"/>
    </row>
    <row r="5504" spans="3:3">
      <c r="C5504"/>
    </row>
    <row r="5505" spans="3:3">
      <c r="C5505"/>
    </row>
    <row r="5506" spans="3:3">
      <c r="C5506"/>
    </row>
    <row r="5507" spans="3:3">
      <c r="C5507"/>
    </row>
    <row r="5508" spans="3:3">
      <c r="C5508"/>
    </row>
    <row r="5509" spans="3:3">
      <c r="C5509"/>
    </row>
    <row r="5510" spans="3:3">
      <c r="C5510"/>
    </row>
    <row r="5511" spans="3:3">
      <c r="C5511"/>
    </row>
    <row r="5512" spans="3:3">
      <c r="C5512"/>
    </row>
    <row r="5513" spans="3:3">
      <c r="C5513"/>
    </row>
    <row r="5514" spans="3:3">
      <c r="C5514"/>
    </row>
    <row r="5515" spans="3:3">
      <c r="C5515"/>
    </row>
    <row r="5516" spans="3:3">
      <c r="C5516"/>
    </row>
    <row r="5517" spans="3:3">
      <c r="C5517"/>
    </row>
    <row r="5518" spans="3:3">
      <c r="C5518"/>
    </row>
    <row r="5519" spans="3:3">
      <c r="C5519"/>
    </row>
    <row r="5520" spans="3:3">
      <c r="C5520"/>
    </row>
    <row r="5521" spans="3:3">
      <c r="C5521"/>
    </row>
    <row r="5522" spans="3:3">
      <c r="C5522"/>
    </row>
    <row r="5523" spans="3:3">
      <c r="C5523"/>
    </row>
    <row r="5524" spans="3:3">
      <c r="C5524"/>
    </row>
    <row r="5525" spans="3:3">
      <c r="C5525"/>
    </row>
    <row r="5526" spans="3:3">
      <c r="C5526"/>
    </row>
    <row r="5527" spans="3:3">
      <c r="C5527"/>
    </row>
    <row r="5528" spans="3:3">
      <c r="C5528"/>
    </row>
    <row r="5529" spans="3:3">
      <c r="C5529"/>
    </row>
    <row r="5530" spans="3:3">
      <c r="C5530"/>
    </row>
    <row r="5531" spans="3:3">
      <c r="C5531"/>
    </row>
    <row r="5532" spans="3:3">
      <c r="C5532"/>
    </row>
    <row r="5533" spans="3:3">
      <c r="C5533"/>
    </row>
    <row r="5534" spans="3:3">
      <c r="C5534"/>
    </row>
    <row r="5535" spans="3:3">
      <c r="C5535"/>
    </row>
    <row r="5536" spans="3:3">
      <c r="C5536"/>
    </row>
    <row r="5537" spans="3:3">
      <c r="C5537"/>
    </row>
    <row r="5538" spans="3:3">
      <c r="C5538"/>
    </row>
    <row r="5539" spans="3:3">
      <c r="C5539"/>
    </row>
    <row r="5540" spans="3:3">
      <c r="C5540"/>
    </row>
    <row r="5541" spans="3:3">
      <c r="C5541"/>
    </row>
    <row r="5542" spans="3:3">
      <c r="C5542"/>
    </row>
    <row r="5543" spans="3:3">
      <c r="C5543"/>
    </row>
    <row r="5544" spans="3:3">
      <c r="C5544"/>
    </row>
    <row r="5545" spans="3:3">
      <c r="C5545"/>
    </row>
    <row r="5546" spans="3:3">
      <c r="C5546"/>
    </row>
    <row r="5547" spans="3:3">
      <c r="C5547"/>
    </row>
    <row r="5548" spans="3:3">
      <c r="C5548"/>
    </row>
    <row r="5549" spans="3:3">
      <c r="C5549"/>
    </row>
    <row r="5550" spans="3:3">
      <c r="C5550"/>
    </row>
    <row r="5551" spans="3:3">
      <c r="C5551"/>
    </row>
    <row r="5552" spans="3:3">
      <c r="C5552"/>
    </row>
    <row r="5553" spans="3:3">
      <c r="C5553"/>
    </row>
    <row r="5554" spans="3:3">
      <c r="C5554"/>
    </row>
    <row r="5555" spans="3:3">
      <c r="C5555"/>
    </row>
    <row r="5556" spans="3:3">
      <c r="C5556"/>
    </row>
    <row r="5557" spans="3:3">
      <c r="C5557"/>
    </row>
    <row r="5558" spans="3:3">
      <c r="C5558"/>
    </row>
    <row r="5559" spans="3:3">
      <c r="C5559"/>
    </row>
    <row r="5560" spans="3:3">
      <c r="C5560"/>
    </row>
    <row r="5561" spans="3:3">
      <c r="C5561"/>
    </row>
    <row r="5562" spans="3:3">
      <c r="C5562"/>
    </row>
    <row r="5563" spans="3:3">
      <c r="C5563"/>
    </row>
    <row r="5564" spans="3:3">
      <c r="C5564"/>
    </row>
    <row r="5565" spans="3:3">
      <c r="C5565"/>
    </row>
    <row r="5566" spans="3:3">
      <c r="C5566"/>
    </row>
    <row r="5567" spans="3:3">
      <c r="C5567"/>
    </row>
    <row r="5568" spans="3:3">
      <c r="C5568"/>
    </row>
    <row r="5569" spans="3:3">
      <c r="C5569"/>
    </row>
    <row r="5570" spans="3:3">
      <c r="C5570"/>
    </row>
    <row r="5571" spans="3:3">
      <c r="C5571"/>
    </row>
    <row r="5572" spans="3:3">
      <c r="C5572"/>
    </row>
    <row r="5573" spans="3:3">
      <c r="C5573"/>
    </row>
    <row r="5574" spans="3:3">
      <c r="C5574"/>
    </row>
    <row r="5575" spans="3:3">
      <c r="C5575"/>
    </row>
    <row r="5576" spans="3:3">
      <c r="C5576"/>
    </row>
    <row r="5577" spans="3:3">
      <c r="C5577"/>
    </row>
    <row r="5578" spans="3:3">
      <c r="C5578"/>
    </row>
    <row r="5579" spans="3:3">
      <c r="C5579"/>
    </row>
    <row r="5580" spans="3:3">
      <c r="C5580"/>
    </row>
    <row r="5581" spans="3:3">
      <c r="C5581"/>
    </row>
    <row r="5582" spans="3:3">
      <c r="C5582"/>
    </row>
    <row r="5583" spans="3:3">
      <c r="C5583"/>
    </row>
    <row r="5584" spans="3:3">
      <c r="C5584"/>
    </row>
    <row r="5585" spans="3:3">
      <c r="C5585"/>
    </row>
    <row r="5586" spans="3:3">
      <c r="C5586"/>
    </row>
    <row r="5587" spans="3:3">
      <c r="C5587"/>
    </row>
    <row r="5588" spans="3:3">
      <c r="C5588"/>
    </row>
    <row r="5589" spans="3:3">
      <c r="C5589"/>
    </row>
    <row r="5590" spans="3:3">
      <c r="C5590"/>
    </row>
    <row r="5591" spans="3:3">
      <c r="C5591"/>
    </row>
    <row r="5592" spans="3:3">
      <c r="C5592"/>
    </row>
    <row r="5593" spans="3:3">
      <c r="C5593"/>
    </row>
    <row r="5594" spans="3:3">
      <c r="C5594"/>
    </row>
    <row r="5595" spans="3:3">
      <c r="C5595"/>
    </row>
    <row r="5596" spans="3:3">
      <c r="C5596"/>
    </row>
    <row r="5597" spans="3:3">
      <c r="C5597"/>
    </row>
    <row r="5598" spans="3:3">
      <c r="C5598"/>
    </row>
    <row r="5599" spans="3:3">
      <c r="C5599"/>
    </row>
    <row r="5600" spans="3:3">
      <c r="C5600"/>
    </row>
    <row r="5601" spans="3:3">
      <c r="C5601"/>
    </row>
    <row r="5602" spans="3:3">
      <c r="C5602"/>
    </row>
    <row r="5603" spans="3:3">
      <c r="C5603"/>
    </row>
    <row r="5604" spans="3:3">
      <c r="C5604"/>
    </row>
    <row r="5605" spans="3:3">
      <c r="C5605"/>
    </row>
    <row r="5606" spans="3:3">
      <c r="C5606"/>
    </row>
    <row r="5607" spans="3:3">
      <c r="C5607"/>
    </row>
    <row r="5608" spans="3:3">
      <c r="C5608"/>
    </row>
    <row r="5609" spans="3:3">
      <c r="C5609"/>
    </row>
    <row r="5610" spans="3:3">
      <c r="C5610"/>
    </row>
    <row r="5611" spans="3:3">
      <c r="C5611"/>
    </row>
    <row r="5612" spans="3:3">
      <c r="C5612"/>
    </row>
    <row r="5613" spans="3:3">
      <c r="C5613"/>
    </row>
    <row r="5614" spans="3:3">
      <c r="C5614"/>
    </row>
    <row r="5615" spans="3:3">
      <c r="C5615"/>
    </row>
    <row r="5616" spans="3:3">
      <c r="C5616"/>
    </row>
    <row r="5617" spans="3:3">
      <c r="C5617"/>
    </row>
    <row r="5618" spans="3:3">
      <c r="C5618"/>
    </row>
    <row r="5619" spans="3:3">
      <c r="C5619"/>
    </row>
    <row r="5620" spans="3:3">
      <c r="C5620"/>
    </row>
    <row r="5621" spans="3:3">
      <c r="C5621"/>
    </row>
    <row r="5622" spans="3:3">
      <c r="C5622"/>
    </row>
    <row r="5623" spans="3:3">
      <c r="C5623"/>
    </row>
    <row r="5624" spans="3:3">
      <c r="C5624"/>
    </row>
    <row r="5625" spans="3:3">
      <c r="C5625"/>
    </row>
    <row r="5626" spans="3:3">
      <c r="C5626"/>
    </row>
    <row r="5627" spans="3:3">
      <c r="C5627"/>
    </row>
    <row r="5628" spans="3:3">
      <c r="C5628"/>
    </row>
    <row r="5629" spans="3:3">
      <c r="C5629"/>
    </row>
    <row r="5630" spans="3:3">
      <c r="C5630"/>
    </row>
    <row r="5631" spans="3:3">
      <c r="C5631"/>
    </row>
    <row r="5632" spans="3:3">
      <c r="C5632"/>
    </row>
    <row r="5633" spans="3:3">
      <c r="C5633"/>
    </row>
    <row r="5634" spans="3:3">
      <c r="C5634"/>
    </row>
    <row r="5635" spans="3:3">
      <c r="C5635"/>
    </row>
    <row r="5636" spans="3:3">
      <c r="C5636"/>
    </row>
    <row r="5637" spans="3:3">
      <c r="C5637"/>
    </row>
    <row r="5638" spans="3:3">
      <c r="C5638"/>
    </row>
    <row r="5639" spans="3:3">
      <c r="C5639"/>
    </row>
    <row r="5640" spans="3:3">
      <c r="C5640"/>
    </row>
    <row r="5641" spans="3:3">
      <c r="C5641"/>
    </row>
    <row r="5642" spans="3:3">
      <c r="C5642"/>
    </row>
    <row r="5643" spans="3:3">
      <c r="C5643"/>
    </row>
    <row r="5644" spans="3:3">
      <c r="C5644"/>
    </row>
    <row r="5645" spans="3:3">
      <c r="C5645"/>
    </row>
    <row r="5646" spans="3:3">
      <c r="C5646"/>
    </row>
    <row r="5647" spans="3:3">
      <c r="C5647"/>
    </row>
    <row r="5648" spans="3:3">
      <c r="C5648"/>
    </row>
    <row r="5649" spans="3:3">
      <c r="C5649"/>
    </row>
    <row r="5650" spans="3:3">
      <c r="C5650"/>
    </row>
    <row r="5651" spans="3:3">
      <c r="C5651"/>
    </row>
    <row r="5652" spans="3:3">
      <c r="C5652"/>
    </row>
    <row r="5653" spans="3:3">
      <c r="C5653"/>
    </row>
    <row r="5654" spans="3:3">
      <c r="C5654"/>
    </row>
    <row r="5655" spans="3:3">
      <c r="C5655"/>
    </row>
    <row r="5656" spans="3:3">
      <c r="C5656"/>
    </row>
    <row r="5657" spans="3:3">
      <c r="C5657"/>
    </row>
    <row r="5658" spans="3:3">
      <c r="C5658"/>
    </row>
    <row r="5659" spans="3:3">
      <c r="C5659"/>
    </row>
    <row r="5660" spans="3:3">
      <c r="C5660"/>
    </row>
    <row r="5661" spans="3:3">
      <c r="C5661"/>
    </row>
    <row r="5662" spans="3:3">
      <c r="C5662"/>
    </row>
    <row r="5663" spans="3:3">
      <c r="C5663"/>
    </row>
    <row r="5664" spans="3:3">
      <c r="C5664"/>
    </row>
    <row r="5665" spans="3:3">
      <c r="C5665"/>
    </row>
    <row r="5666" spans="3:3">
      <c r="C5666"/>
    </row>
    <row r="5667" spans="3:3">
      <c r="C5667"/>
    </row>
    <row r="5668" spans="3:3">
      <c r="C5668"/>
    </row>
    <row r="5669" spans="3:3">
      <c r="C5669"/>
    </row>
    <row r="5670" spans="3:3">
      <c r="C5670"/>
    </row>
    <row r="5671" spans="3:3">
      <c r="C5671"/>
    </row>
    <row r="5672" spans="3:3">
      <c r="C5672"/>
    </row>
    <row r="5673" spans="3:3">
      <c r="C5673"/>
    </row>
    <row r="5674" spans="3:3">
      <c r="C5674"/>
    </row>
    <row r="5675" spans="3:3">
      <c r="C5675"/>
    </row>
    <row r="5676" spans="3:3">
      <c r="C5676"/>
    </row>
    <row r="5677" spans="3:3">
      <c r="C5677"/>
    </row>
    <row r="5678" spans="3:3">
      <c r="C5678"/>
    </row>
    <row r="5679" spans="3:3">
      <c r="C5679"/>
    </row>
    <row r="5680" spans="3:3">
      <c r="C5680"/>
    </row>
    <row r="5681" spans="3:3">
      <c r="C5681"/>
    </row>
    <row r="5682" spans="3:3">
      <c r="C5682"/>
    </row>
    <row r="5683" spans="3:3">
      <c r="C5683"/>
    </row>
    <row r="5684" spans="3:3">
      <c r="C5684"/>
    </row>
    <row r="5685" spans="3:3">
      <c r="C5685"/>
    </row>
    <row r="5686" spans="3:3">
      <c r="C5686"/>
    </row>
    <row r="5687" spans="3:3">
      <c r="C5687"/>
    </row>
    <row r="5688" spans="3:3">
      <c r="C5688"/>
    </row>
    <row r="5689" spans="3:3">
      <c r="C5689"/>
    </row>
    <row r="5690" spans="3:3">
      <c r="C5690"/>
    </row>
    <row r="5691" spans="3:3">
      <c r="C5691"/>
    </row>
    <row r="5692" spans="3:3">
      <c r="C5692"/>
    </row>
    <row r="5693" spans="3:3">
      <c r="C5693"/>
    </row>
    <row r="5694" spans="3:3">
      <c r="C5694"/>
    </row>
    <row r="5695" spans="3:3">
      <c r="C5695"/>
    </row>
    <row r="5696" spans="3:3">
      <c r="C5696"/>
    </row>
    <row r="5697" spans="3:3">
      <c r="C5697"/>
    </row>
    <row r="5698" spans="3:3">
      <c r="C5698"/>
    </row>
    <row r="5699" spans="3:3">
      <c r="C5699"/>
    </row>
    <row r="5700" spans="3:3">
      <c r="C5700"/>
    </row>
    <row r="5701" spans="3:3">
      <c r="C5701"/>
    </row>
    <row r="5702" spans="3:3">
      <c r="C5702"/>
    </row>
    <row r="5703" spans="3:3">
      <c r="C5703"/>
    </row>
    <row r="5704" spans="3:3">
      <c r="C5704"/>
    </row>
    <row r="5705" spans="3:3">
      <c r="C5705"/>
    </row>
    <row r="5706" spans="3:3">
      <c r="C5706"/>
    </row>
    <row r="5707" spans="3:3">
      <c r="C5707"/>
    </row>
    <row r="5708" spans="3:3">
      <c r="C5708"/>
    </row>
    <row r="5709" spans="3:3">
      <c r="C5709"/>
    </row>
    <row r="5710" spans="3:3">
      <c r="C5710"/>
    </row>
    <row r="5711" spans="3:3">
      <c r="C5711"/>
    </row>
    <row r="5712" spans="3:3">
      <c r="C5712"/>
    </row>
    <row r="5713" spans="3:3">
      <c r="C5713"/>
    </row>
    <row r="5714" spans="3:3">
      <c r="C5714"/>
    </row>
    <row r="5715" spans="3:3">
      <c r="C5715"/>
    </row>
    <row r="5716" spans="3:3">
      <c r="C5716"/>
    </row>
    <row r="5717" spans="3:3">
      <c r="C5717"/>
    </row>
    <row r="5718" spans="3:3">
      <c r="C5718"/>
    </row>
    <row r="5719" spans="3:3">
      <c r="C5719"/>
    </row>
    <row r="5720" spans="3:3">
      <c r="C5720"/>
    </row>
    <row r="5721" spans="3:3">
      <c r="C5721"/>
    </row>
    <row r="5722" spans="3:3">
      <c r="C5722"/>
    </row>
    <row r="5723" spans="3:3">
      <c r="C5723"/>
    </row>
    <row r="5724" spans="3:3">
      <c r="C5724"/>
    </row>
    <row r="5725" spans="3:3">
      <c r="C5725"/>
    </row>
    <row r="5726" spans="3:3">
      <c r="C5726"/>
    </row>
    <row r="5727" spans="3:3">
      <c r="C5727"/>
    </row>
    <row r="5728" spans="3:3">
      <c r="C5728"/>
    </row>
    <row r="5729" spans="3:3">
      <c r="C5729"/>
    </row>
    <row r="5730" spans="3:3">
      <c r="C5730"/>
    </row>
    <row r="5731" spans="3:3">
      <c r="C5731"/>
    </row>
    <row r="5732" spans="3:3">
      <c r="C5732"/>
    </row>
    <row r="5733" spans="3:3">
      <c r="C5733"/>
    </row>
    <row r="5734" spans="3:3">
      <c r="C5734"/>
    </row>
    <row r="5735" spans="3:3">
      <c r="C5735"/>
    </row>
    <row r="5736" spans="3:3">
      <c r="C5736"/>
    </row>
    <row r="5737" spans="3:3">
      <c r="C5737"/>
    </row>
    <row r="5738" spans="3:3">
      <c r="C5738"/>
    </row>
    <row r="5739" spans="3:3">
      <c r="C5739"/>
    </row>
    <row r="5740" spans="3:3">
      <c r="C5740"/>
    </row>
    <row r="5741" spans="3:3">
      <c r="C5741"/>
    </row>
    <row r="5742" spans="3:3">
      <c r="C5742"/>
    </row>
    <row r="5743" spans="3:3">
      <c r="C5743"/>
    </row>
    <row r="5744" spans="3:3">
      <c r="C5744"/>
    </row>
    <row r="5745" spans="3:3">
      <c r="C5745"/>
    </row>
    <row r="5746" spans="3:3">
      <c r="C5746"/>
    </row>
    <row r="5747" spans="3:3">
      <c r="C5747"/>
    </row>
    <row r="5748" spans="3:3">
      <c r="C5748"/>
    </row>
    <row r="5749" spans="3:3">
      <c r="C5749"/>
    </row>
    <row r="5750" spans="3:3">
      <c r="C5750"/>
    </row>
    <row r="5751" spans="3:3">
      <c r="C5751"/>
    </row>
    <row r="5752" spans="3:3">
      <c r="C5752"/>
    </row>
    <row r="5753" spans="3:3">
      <c r="C5753"/>
    </row>
    <row r="5754" spans="3:3">
      <c r="C5754"/>
    </row>
    <row r="5755" spans="3:3">
      <c r="C5755"/>
    </row>
    <row r="5756" spans="3:3">
      <c r="C5756"/>
    </row>
    <row r="5757" spans="3:3">
      <c r="C5757"/>
    </row>
    <row r="5758" spans="3:3">
      <c r="C5758"/>
    </row>
    <row r="5759" spans="3:3">
      <c r="C5759"/>
    </row>
    <row r="5760" spans="3:3">
      <c r="C5760"/>
    </row>
    <row r="5761" spans="3:3">
      <c r="C5761"/>
    </row>
    <row r="5762" spans="3:3">
      <c r="C5762"/>
    </row>
    <row r="5763" spans="3:3">
      <c r="C5763"/>
    </row>
    <row r="5764" spans="3:3">
      <c r="C5764"/>
    </row>
    <row r="5765" spans="3:3">
      <c r="C5765"/>
    </row>
    <row r="5766" spans="3:3">
      <c r="C5766"/>
    </row>
    <row r="5767" spans="3:3">
      <c r="C5767"/>
    </row>
    <row r="5768" spans="3:3">
      <c r="C5768"/>
    </row>
    <row r="5769" spans="3:3">
      <c r="C5769"/>
    </row>
    <row r="5770" spans="3:3">
      <c r="C5770"/>
    </row>
    <row r="5771" spans="3:3">
      <c r="C5771"/>
    </row>
    <row r="5772" spans="3:3">
      <c r="C5772"/>
    </row>
    <row r="5773" spans="3:3">
      <c r="C5773"/>
    </row>
    <row r="5774" spans="3:3">
      <c r="C5774"/>
    </row>
    <row r="5775" spans="3:3">
      <c r="C5775"/>
    </row>
    <row r="5776" spans="3:3">
      <c r="C5776"/>
    </row>
    <row r="5777" spans="3:3">
      <c r="C5777"/>
    </row>
    <row r="5778" spans="3:3">
      <c r="C5778"/>
    </row>
    <row r="5779" spans="3:3">
      <c r="C5779"/>
    </row>
    <row r="5780" spans="3:3">
      <c r="C5780"/>
    </row>
    <row r="5781" spans="3:3">
      <c r="C5781"/>
    </row>
    <row r="5782" spans="3:3">
      <c r="C5782"/>
    </row>
    <row r="5783" spans="3:3">
      <c r="C5783"/>
    </row>
    <row r="5784" spans="3:3">
      <c r="C5784"/>
    </row>
    <row r="5785" spans="3:3">
      <c r="C5785"/>
    </row>
    <row r="5786" spans="3:3">
      <c r="C5786"/>
    </row>
    <row r="5787" spans="3:3">
      <c r="C5787"/>
    </row>
    <row r="5788" spans="3:3">
      <c r="C5788"/>
    </row>
    <row r="5789" spans="3:3">
      <c r="C5789"/>
    </row>
    <row r="5790" spans="3:3">
      <c r="C5790"/>
    </row>
    <row r="5791" spans="3:3">
      <c r="C5791"/>
    </row>
    <row r="5792" spans="3:3">
      <c r="C5792"/>
    </row>
    <row r="5793" spans="3:3">
      <c r="C5793"/>
    </row>
    <row r="5794" spans="3:3">
      <c r="C5794"/>
    </row>
    <row r="5795" spans="3:3">
      <c r="C5795"/>
    </row>
    <row r="5796" spans="3:3">
      <c r="C5796"/>
    </row>
    <row r="5797" spans="3:3">
      <c r="C5797"/>
    </row>
    <row r="5798" spans="3:3">
      <c r="C5798"/>
    </row>
    <row r="5799" spans="3:3">
      <c r="C5799"/>
    </row>
    <row r="5800" spans="3:3">
      <c r="C5800"/>
    </row>
    <row r="5801" spans="3:3">
      <c r="C5801"/>
    </row>
    <row r="5802" spans="3:3">
      <c r="C5802"/>
    </row>
    <row r="5803" spans="3:3">
      <c r="C5803"/>
    </row>
    <row r="5804" spans="3:3">
      <c r="C5804"/>
    </row>
    <row r="5805" spans="3:3">
      <c r="C5805"/>
    </row>
    <row r="5806" spans="3:3">
      <c r="C5806"/>
    </row>
    <row r="5807" spans="3:3">
      <c r="C5807"/>
    </row>
    <row r="5808" spans="3:3">
      <c r="C5808"/>
    </row>
    <row r="5809" spans="3:3">
      <c r="C5809"/>
    </row>
    <row r="5810" spans="3:3">
      <c r="C5810"/>
    </row>
    <row r="5811" spans="3:3">
      <c r="C5811"/>
    </row>
    <row r="5812" spans="3:3">
      <c r="C5812"/>
    </row>
    <row r="5813" spans="3:3">
      <c r="C5813"/>
    </row>
    <row r="5814" spans="3:3">
      <c r="C5814"/>
    </row>
    <row r="5815" spans="3:3">
      <c r="C5815"/>
    </row>
    <row r="5816" spans="3:3">
      <c r="C5816"/>
    </row>
    <row r="5817" spans="3:3">
      <c r="C5817"/>
    </row>
    <row r="5818" spans="3:3">
      <c r="C5818"/>
    </row>
    <row r="5819" spans="3:3">
      <c r="C5819"/>
    </row>
    <row r="5820" spans="3:3">
      <c r="C5820"/>
    </row>
    <row r="5821" spans="3:3">
      <c r="C5821"/>
    </row>
    <row r="5822" spans="3:3">
      <c r="C5822"/>
    </row>
    <row r="5823" spans="3:3">
      <c r="C5823"/>
    </row>
    <row r="5824" spans="3:3">
      <c r="C5824"/>
    </row>
    <row r="5825" spans="3:3">
      <c r="C5825"/>
    </row>
    <row r="5826" spans="3:3">
      <c r="C5826"/>
    </row>
    <row r="5827" spans="3:3">
      <c r="C5827"/>
    </row>
    <row r="5828" spans="3:3">
      <c r="C5828"/>
    </row>
    <row r="5829" spans="3:3">
      <c r="C5829"/>
    </row>
    <row r="5830" spans="3:3">
      <c r="C5830"/>
    </row>
    <row r="5831" spans="3:3">
      <c r="C5831"/>
    </row>
    <row r="5832" spans="3:3">
      <c r="C5832"/>
    </row>
    <row r="5833" spans="3:3">
      <c r="C5833"/>
    </row>
    <row r="5834" spans="3:3">
      <c r="C5834"/>
    </row>
    <row r="5835" spans="3:3">
      <c r="C5835"/>
    </row>
    <row r="5836" spans="3:3">
      <c r="C5836"/>
    </row>
    <row r="5837" spans="3:3">
      <c r="C5837"/>
    </row>
    <row r="5838" spans="3:3">
      <c r="C5838"/>
    </row>
    <row r="5839" spans="3:3">
      <c r="C5839"/>
    </row>
    <row r="5840" spans="3:3">
      <c r="C5840"/>
    </row>
    <row r="5841" spans="3:3">
      <c r="C5841"/>
    </row>
    <row r="5842" spans="3:3">
      <c r="C5842"/>
    </row>
    <row r="5843" spans="3:3">
      <c r="C5843"/>
    </row>
    <row r="5844" spans="3:3">
      <c r="C5844"/>
    </row>
    <row r="5845" spans="3:3">
      <c r="C5845"/>
    </row>
    <row r="5846" spans="3:3">
      <c r="C5846"/>
    </row>
    <row r="5847" spans="3:3">
      <c r="C5847"/>
    </row>
    <row r="5848" spans="3:3">
      <c r="C5848"/>
    </row>
    <row r="5849" spans="3:3">
      <c r="C5849"/>
    </row>
    <row r="5850" spans="3:3">
      <c r="C5850"/>
    </row>
    <row r="5851" spans="3:3">
      <c r="C5851"/>
    </row>
    <row r="5852" spans="3:3">
      <c r="C5852"/>
    </row>
    <row r="5853" spans="3:3">
      <c r="C5853"/>
    </row>
    <row r="5854" spans="3:3">
      <c r="C5854"/>
    </row>
    <row r="5855" spans="3:3">
      <c r="C5855"/>
    </row>
    <row r="5856" spans="3:3">
      <c r="C5856"/>
    </row>
    <row r="5857" spans="3:3">
      <c r="C5857"/>
    </row>
    <row r="5858" spans="3:3">
      <c r="C5858"/>
    </row>
    <row r="5859" spans="3:3">
      <c r="C5859"/>
    </row>
    <row r="5860" spans="3:3">
      <c r="C5860"/>
    </row>
    <row r="5861" spans="3:3">
      <c r="C5861"/>
    </row>
    <row r="5862" spans="3:3">
      <c r="C5862"/>
    </row>
    <row r="5863" spans="3:3">
      <c r="C5863"/>
    </row>
    <row r="5864" spans="3:3">
      <c r="C5864"/>
    </row>
    <row r="5865" spans="3:3">
      <c r="C5865"/>
    </row>
    <row r="5866" spans="3:3">
      <c r="C5866"/>
    </row>
    <row r="5867" spans="3:3">
      <c r="C5867"/>
    </row>
    <row r="5868" spans="3:3">
      <c r="C5868"/>
    </row>
    <row r="5869" spans="3:3">
      <c r="C5869"/>
    </row>
    <row r="5870" spans="3:3">
      <c r="C5870"/>
    </row>
    <row r="5871" spans="3:3">
      <c r="C5871"/>
    </row>
    <row r="5872" spans="3:3">
      <c r="C5872"/>
    </row>
    <row r="5873" spans="3:3">
      <c r="C5873"/>
    </row>
    <row r="5874" spans="3:3">
      <c r="C5874"/>
    </row>
    <row r="5875" spans="3:3">
      <c r="C5875"/>
    </row>
    <row r="5876" spans="3:3">
      <c r="C5876"/>
    </row>
    <row r="5877" spans="3:3">
      <c r="C5877"/>
    </row>
    <row r="5878" spans="3:3">
      <c r="C5878"/>
    </row>
    <row r="5879" spans="3:3">
      <c r="C5879"/>
    </row>
    <row r="5880" spans="3:3">
      <c r="C5880"/>
    </row>
    <row r="5881" spans="3:3">
      <c r="C5881"/>
    </row>
    <row r="5882" spans="3:3">
      <c r="C5882"/>
    </row>
    <row r="5883" spans="3:3">
      <c r="C5883"/>
    </row>
    <row r="5884" spans="3:3">
      <c r="C5884"/>
    </row>
    <row r="5885" spans="3:3">
      <c r="C5885"/>
    </row>
    <row r="5886" spans="3:3">
      <c r="C5886"/>
    </row>
    <row r="5887" spans="3:3">
      <c r="C5887"/>
    </row>
    <row r="5888" spans="3:3">
      <c r="C5888"/>
    </row>
    <row r="5889" spans="3:3">
      <c r="C5889"/>
    </row>
    <row r="5890" spans="3:3">
      <c r="C5890"/>
    </row>
    <row r="5891" spans="3:3">
      <c r="C5891"/>
    </row>
    <row r="5892" spans="3:3">
      <c r="C5892"/>
    </row>
    <row r="5893" spans="3:3">
      <c r="C5893"/>
    </row>
    <row r="5894" spans="3:3">
      <c r="C5894"/>
    </row>
    <row r="5895" spans="3:3">
      <c r="C5895"/>
    </row>
    <row r="5896" spans="3:3">
      <c r="C5896"/>
    </row>
    <row r="5897" spans="3:3">
      <c r="C5897"/>
    </row>
    <row r="5898" spans="3:3">
      <c r="C5898"/>
    </row>
    <row r="5899" spans="3:3">
      <c r="C5899"/>
    </row>
    <row r="5900" spans="3:3">
      <c r="C5900"/>
    </row>
    <row r="5901" spans="3:3">
      <c r="C5901"/>
    </row>
    <row r="5902" spans="3:3">
      <c r="C5902"/>
    </row>
    <row r="5903" spans="3:3">
      <c r="C5903"/>
    </row>
    <row r="5904" spans="3:3">
      <c r="C5904"/>
    </row>
    <row r="5905" spans="3:3">
      <c r="C5905"/>
    </row>
    <row r="5906" spans="3:3">
      <c r="C5906"/>
    </row>
    <row r="5907" spans="3:3">
      <c r="C5907"/>
    </row>
    <row r="5908" spans="3:3">
      <c r="C5908"/>
    </row>
    <row r="5909" spans="3:3">
      <c r="C5909"/>
    </row>
    <row r="5910" spans="3:3">
      <c r="C5910"/>
    </row>
    <row r="5911" spans="3:3">
      <c r="C5911"/>
    </row>
    <row r="5912" spans="3:3">
      <c r="C5912"/>
    </row>
    <row r="5913" spans="3:3">
      <c r="C5913"/>
    </row>
    <row r="5914" spans="3:3">
      <c r="C5914"/>
    </row>
    <row r="5915" spans="3:3">
      <c r="C5915"/>
    </row>
    <row r="5916" spans="3:3">
      <c r="C5916"/>
    </row>
    <row r="5917" spans="3:3">
      <c r="C5917"/>
    </row>
    <row r="5918" spans="3:3">
      <c r="C5918"/>
    </row>
    <row r="5919" spans="3:3">
      <c r="C5919"/>
    </row>
    <row r="5920" spans="3:3">
      <c r="C5920"/>
    </row>
    <row r="5921" spans="3:3">
      <c r="C5921"/>
    </row>
    <row r="5922" spans="3:3">
      <c r="C5922"/>
    </row>
    <row r="5923" spans="3:3">
      <c r="C5923"/>
    </row>
    <row r="5924" spans="3:3">
      <c r="C5924"/>
    </row>
    <row r="5925" spans="3:3">
      <c r="C5925"/>
    </row>
    <row r="5926" spans="3:3">
      <c r="C5926"/>
    </row>
    <row r="5927" spans="3:3">
      <c r="C5927"/>
    </row>
    <row r="5928" spans="3:3">
      <c r="C5928"/>
    </row>
    <row r="5929" spans="3:3">
      <c r="C5929"/>
    </row>
    <row r="5930" spans="3:3">
      <c r="C5930"/>
    </row>
    <row r="5931" spans="3:3">
      <c r="C5931"/>
    </row>
    <row r="5932" spans="3:3">
      <c r="C5932"/>
    </row>
    <row r="5933" spans="3:3">
      <c r="C5933"/>
    </row>
    <row r="5934" spans="3:3">
      <c r="C5934"/>
    </row>
    <row r="5935" spans="3:3">
      <c r="C5935"/>
    </row>
    <row r="5936" spans="3:3">
      <c r="C5936"/>
    </row>
    <row r="5937" spans="3:3">
      <c r="C5937"/>
    </row>
    <row r="5938" spans="3:3">
      <c r="C5938"/>
    </row>
    <row r="5939" spans="3:3">
      <c r="C5939"/>
    </row>
    <row r="5940" spans="3:3">
      <c r="C5940"/>
    </row>
    <row r="5941" spans="3:3">
      <c r="C5941"/>
    </row>
    <row r="5942" spans="3:3">
      <c r="C5942"/>
    </row>
    <row r="5943" spans="3:3">
      <c r="C5943"/>
    </row>
    <row r="5944" spans="3:3">
      <c r="C5944"/>
    </row>
    <row r="5945" spans="3:3">
      <c r="C5945"/>
    </row>
    <row r="5946" spans="3:3">
      <c r="C5946"/>
    </row>
    <row r="5947" spans="3:3">
      <c r="C5947"/>
    </row>
    <row r="5948" spans="3:3">
      <c r="C5948"/>
    </row>
    <row r="5949" spans="3:3">
      <c r="C5949"/>
    </row>
    <row r="5950" spans="3:3">
      <c r="C5950"/>
    </row>
    <row r="5951" spans="3:3">
      <c r="C5951"/>
    </row>
    <row r="5952" spans="3:3">
      <c r="C5952"/>
    </row>
    <row r="5953" spans="3:3">
      <c r="C5953"/>
    </row>
    <row r="5954" spans="3:3">
      <c r="C5954"/>
    </row>
    <row r="5955" spans="3:3">
      <c r="C5955"/>
    </row>
    <row r="5956" spans="3:3">
      <c r="C5956"/>
    </row>
    <row r="5957" spans="3:3">
      <c r="C5957"/>
    </row>
    <row r="5958" spans="3:3">
      <c r="C5958"/>
    </row>
    <row r="5959" spans="3:3">
      <c r="C5959"/>
    </row>
    <row r="5960" spans="3:3">
      <c r="C5960"/>
    </row>
    <row r="5961" spans="3:3">
      <c r="C5961"/>
    </row>
    <row r="5962" spans="3:3">
      <c r="C5962"/>
    </row>
    <row r="5963" spans="3:3">
      <c r="C5963"/>
    </row>
    <row r="5964" spans="3:3">
      <c r="C5964"/>
    </row>
    <row r="5965" spans="3:3">
      <c r="C5965"/>
    </row>
    <row r="5966" spans="3:3">
      <c r="C5966"/>
    </row>
    <row r="5967" spans="3:3">
      <c r="C5967"/>
    </row>
    <row r="5968" spans="3:3">
      <c r="C5968"/>
    </row>
    <row r="5969" spans="3:3">
      <c r="C5969"/>
    </row>
    <row r="5970" spans="3:3">
      <c r="C5970"/>
    </row>
    <row r="5971" spans="3:3">
      <c r="C5971"/>
    </row>
    <row r="5972" spans="3:3">
      <c r="C5972"/>
    </row>
    <row r="5973" spans="3:3">
      <c r="C5973"/>
    </row>
    <row r="5974" spans="3:3">
      <c r="C5974"/>
    </row>
    <row r="5975" spans="3:3">
      <c r="C5975"/>
    </row>
    <row r="5976" spans="3:3">
      <c r="C5976"/>
    </row>
    <row r="5977" spans="3:3">
      <c r="C5977"/>
    </row>
    <row r="5978" spans="3:3">
      <c r="C5978"/>
    </row>
    <row r="5979" spans="3:3">
      <c r="C5979"/>
    </row>
    <row r="5980" spans="3:3">
      <c r="C5980"/>
    </row>
    <row r="5981" spans="3:3">
      <c r="C5981"/>
    </row>
    <row r="5982" spans="3:3">
      <c r="C5982"/>
    </row>
    <row r="5983" spans="3:3">
      <c r="C5983"/>
    </row>
    <row r="5984" spans="3:3">
      <c r="C5984"/>
    </row>
    <row r="5985" spans="3:3">
      <c r="C5985"/>
    </row>
    <row r="5986" spans="3:3">
      <c r="C5986"/>
    </row>
    <row r="5987" spans="3:3">
      <c r="C5987"/>
    </row>
    <row r="5988" spans="3:3">
      <c r="C5988"/>
    </row>
    <row r="5989" spans="3:3">
      <c r="C5989"/>
    </row>
    <row r="5990" spans="3:3">
      <c r="C5990"/>
    </row>
    <row r="5991" spans="3:3">
      <c r="C5991"/>
    </row>
    <row r="5992" spans="3:3">
      <c r="C5992"/>
    </row>
    <row r="5993" spans="3:3">
      <c r="C5993"/>
    </row>
    <row r="5994" spans="3:3">
      <c r="C5994"/>
    </row>
    <row r="5995" spans="3:3">
      <c r="C5995"/>
    </row>
    <row r="5996" spans="3:3">
      <c r="C5996"/>
    </row>
    <row r="5997" spans="3:3">
      <c r="C5997"/>
    </row>
    <row r="5998" spans="3:3">
      <c r="C5998"/>
    </row>
    <row r="5999" spans="3:3">
      <c r="C5999"/>
    </row>
    <row r="6000" spans="3:3">
      <c r="C6000"/>
    </row>
    <row r="6001" spans="3:3">
      <c r="C6001"/>
    </row>
    <row r="6002" spans="3:3">
      <c r="C6002"/>
    </row>
    <row r="6003" spans="3:3">
      <c r="C6003"/>
    </row>
    <row r="6004" spans="3:3">
      <c r="C6004"/>
    </row>
    <row r="6005" spans="3:3">
      <c r="C6005"/>
    </row>
    <row r="6006" spans="3:3">
      <c r="C6006"/>
    </row>
    <row r="6007" spans="3:3">
      <c r="C6007"/>
    </row>
    <row r="6008" spans="3:3">
      <c r="C6008"/>
    </row>
    <row r="6009" spans="3:3">
      <c r="C6009"/>
    </row>
    <row r="6010" spans="3:3">
      <c r="C6010"/>
    </row>
    <row r="6011" spans="3:3">
      <c r="C6011"/>
    </row>
    <row r="6012" spans="3:3">
      <c r="C6012"/>
    </row>
    <row r="6013" spans="3:3">
      <c r="C6013"/>
    </row>
    <row r="6014" spans="3:3">
      <c r="C6014"/>
    </row>
    <row r="6015" spans="3:3">
      <c r="C6015"/>
    </row>
    <row r="6016" spans="3:3">
      <c r="C6016"/>
    </row>
    <row r="6017" spans="3:3">
      <c r="C6017"/>
    </row>
    <row r="6018" spans="3:3">
      <c r="C6018"/>
    </row>
    <row r="6019" spans="3:3">
      <c r="C6019"/>
    </row>
    <row r="6020" spans="3:3">
      <c r="C6020"/>
    </row>
    <row r="6021" spans="3:3">
      <c r="C6021"/>
    </row>
    <row r="6022" spans="3:3">
      <c r="C6022"/>
    </row>
    <row r="6023" spans="3:3">
      <c r="C6023"/>
    </row>
    <row r="6024" spans="3:3">
      <c r="C6024"/>
    </row>
    <row r="6025" spans="3:3">
      <c r="C6025"/>
    </row>
    <row r="6026" spans="3:3">
      <c r="C6026"/>
    </row>
    <row r="6027" spans="3:3">
      <c r="C6027"/>
    </row>
    <row r="6028" spans="3:3">
      <c r="C6028"/>
    </row>
    <row r="6029" spans="3:3">
      <c r="C6029"/>
    </row>
    <row r="6030" spans="3:3">
      <c r="C6030"/>
    </row>
    <row r="6031" spans="3:3">
      <c r="C6031"/>
    </row>
    <row r="6032" spans="3:3">
      <c r="C6032"/>
    </row>
    <row r="6033" spans="3:3">
      <c r="C6033"/>
    </row>
    <row r="6034" spans="3:3">
      <c r="C6034"/>
    </row>
    <row r="6035" spans="3:3">
      <c r="C6035"/>
    </row>
    <row r="6036" spans="3:3">
      <c r="C6036"/>
    </row>
    <row r="6037" spans="3:3">
      <c r="C6037"/>
    </row>
    <row r="6038" spans="3:3">
      <c r="C6038"/>
    </row>
    <row r="6039" spans="3:3">
      <c r="C6039"/>
    </row>
    <row r="6040" spans="3:3">
      <c r="C6040"/>
    </row>
    <row r="6041" spans="3:3">
      <c r="C6041"/>
    </row>
    <row r="6042" spans="3:3">
      <c r="C6042"/>
    </row>
    <row r="6043" spans="3:3">
      <c r="C6043"/>
    </row>
    <row r="6044" spans="3:3">
      <c r="C6044"/>
    </row>
    <row r="6045" spans="3:3">
      <c r="C6045"/>
    </row>
    <row r="6046" spans="3:3">
      <c r="C6046"/>
    </row>
    <row r="6047" spans="3:3">
      <c r="C6047"/>
    </row>
    <row r="6048" spans="3:3">
      <c r="C6048"/>
    </row>
    <row r="6049" spans="3:3">
      <c r="C6049"/>
    </row>
    <row r="6050" spans="3:3">
      <c r="C6050"/>
    </row>
    <row r="6051" spans="3:3">
      <c r="C6051"/>
    </row>
    <row r="6052" spans="3:3">
      <c r="C6052"/>
    </row>
    <row r="6053" spans="3:3">
      <c r="C6053"/>
    </row>
    <row r="6054" spans="3:3">
      <c r="C6054"/>
    </row>
    <row r="6055" spans="3:3">
      <c r="C6055"/>
    </row>
    <row r="6056" spans="3:3">
      <c r="C6056"/>
    </row>
    <row r="6057" spans="3:3">
      <c r="C6057"/>
    </row>
    <row r="6058" spans="3:3">
      <c r="C6058"/>
    </row>
    <row r="6059" spans="3:3">
      <c r="C6059"/>
    </row>
    <row r="6060" spans="3:3">
      <c r="C6060"/>
    </row>
    <row r="6061" spans="3:3">
      <c r="C6061"/>
    </row>
    <row r="6062" spans="3:3">
      <c r="C6062"/>
    </row>
    <row r="6063" spans="3:3">
      <c r="C6063"/>
    </row>
    <row r="6064" spans="3:3">
      <c r="C6064"/>
    </row>
    <row r="6065" spans="3:3">
      <c r="C6065"/>
    </row>
    <row r="6066" spans="3:3">
      <c r="C6066"/>
    </row>
    <row r="6067" spans="3:3">
      <c r="C6067"/>
    </row>
    <row r="6068" spans="3:3">
      <c r="C6068"/>
    </row>
    <row r="6069" spans="3:3">
      <c r="C6069"/>
    </row>
    <row r="6070" spans="3:3">
      <c r="C6070"/>
    </row>
    <row r="6071" spans="3:3">
      <c r="C6071"/>
    </row>
    <row r="6072" spans="3:3">
      <c r="C6072"/>
    </row>
    <row r="6073" spans="3:3">
      <c r="C6073"/>
    </row>
    <row r="6074" spans="3:3">
      <c r="C6074"/>
    </row>
    <row r="6075" spans="3:3">
      <c r="C6075"/>
    </row>
    <row r="6076" spans="3:3">
      <c r="C6076"/>
    </row>
    <row r="6077" spans="3:3">
      <c r="C6077"/>
    </row>
    <row r="6078" spans="3:3">
      <c r="C6078"/>
    </row>
    <row r="6079" spans="3:3">
      <c r="C6079"/>
    </row>
    <row r="6080" spans="3:3">
      <c r="C6080"/>
    </row>
    <row r="6081" spans="3:3">
      <c r="C6081"/>
    </row>
    <row r="6082" spans="3:3">
      <c r="C6082"/>
    </row>
    <row r="6083" spans="3:3">
      <c r="C6083"/>
    </row>
    <row r="6084" spans="3:3">
      <c r="C6084"/>
    </row>
    <row r="6085" spans="3:3">
      <c r="C6085"/>
    </row>
    <row r="6086" spans="3:3">
      <c r="C6086"/>
    </row>
    <row r="6087" spans="3:3">
      <c r="C6087"/>
    </row>
    <row r="6088" spans="3:3">
      <c r="C6088"/>
    </row>
    <row r="6089" spans="3:3">
      <c r="C6089"/>
    </row>
    <row r="6090" spans="3:3">
      <c r="C6090"/>
    </row>
    <row r="6091" spans="3:3">
      <c r="C6091"/>
    </row>
    <row r="6092" spans="3:3">
      <c r="C6092"/>
    </row>
    <row r="6093" spans="3:3">
      <c r="C6093"/>
    </row>
    <row r="6094" spans="3:3">
      <c r="C6094"/>
    </row>
    <row r="6095" spans="3:3">
      <c r="C6095"/>
    </row>
    <row r="6096" spans="3:3">
      <c r="C6096"/>
    </row>
    <row r="6097" spans="3:3">
      <c r="C6097"/>
    </row>
    <row r="6098" spans="3:3">
      <c r="C6098"/>
    </row>
    <row r="6099" spans="3:3">
      <c r="C6099"/>
    </row>
    <row r="6100" spans="3:3">
      <c r="C6100"/>
    </row>
    <row r="6101" spans="3:3">
      <c r="C6101"/>
    </row>
    <row r="6102" spans="3:3">
      <c r="C6102"/>
    </row>
    <row r="6103" spans="3:3">
      <c r="C6103"/>
    </row>
    <row r="6104" spans="3:3">
      <c r="C6104"/>
    </row>
    <row r="6105" spans="3:3">
      <c r="C6105"/>
    </row>
    <row r="6106" spans="3:3">
      <c r="C6106"/>
    </row>
    <row r="6107" spans="3:3">
      <c r="C6107"/>
    </row>
    <row r="6108" spans="3:3">
      <c r="C6108"/>
    </row>
    <row r="6109" spans="3:3">
      <c r="C6109"/>
    </row>
    <row r="6110" spans="3:3">
      <c r="C6110"/>
    </row>
    <row r="6111" spans="3:3">
      <c r="C6111"/>
    </row>
    <row r="6112" spans="3:3">
      <c r="C6112"/>
    </row>
    <row r="6113" spans="3:3">
      <c r="C6113"/>
    </row>
    <row r="6114" spans="3:3">
      <c r="C6114"/>
    </row>
    <row r="6115" spans="3:3">
      <c r="C6115"/>
    </row>
    <row r="6116" spans="3:3">
      <c r="C6116"/>
    </row>
    <row r="6117" spans="3:3">
      <c r="C6117"/>
    </row>
    <row r="6118" spans="3:3">
      <c r="C6118"/>
    </row>
    <row r="6119" spans="3:3">
      <c r="C6119"/>
    </row>
    <row r="6120" spans="3:3">
      <c r="C6120"/>
    </row>
    <row r="6121" spans="3:3">
      <c r="C6121"/>
    </row>
    <row r="6122" spans="3:3">
      <c r="C6122"/>
    </row>
    <row r="6123" spans="3:3">
      <c r="C6123"/>
    </row>
    <row r="6124" spans="3:3">
      <c r="C6124"/>
    </row>
    <row r="6125" spans="3:3">
      <c r="C6125"/>
    </row>
    <row r="6126" spans="3:3">
      <c r="C6126"/>
    </row>
    <row r="6127" spans="3:3">
      <c r="C6127"/>
    </row>
    <row r="6128" spans="3:3">
      <c r="C6128"/>
    </row>
    <row r="6129" spans="3:3">
      <c r="C6129"/>
    </row>
    <row r="6130" spans="3:3">
      <c r="C6130"/>
    </row>
    <row r="6131" spans="3:3">
      <c r="C6131"/>
    </row>
    <row r="6132" spans="3:3">
      <c r="C6132"/>
    </row>
    <row r="6133" spans="3:3">
      <c r="C6133"/>
    </row>
    <row r="6134" spans="3:3">
      <c r="C6134"/>
    </row>
    <row r="6135" spans="3:3">
      <c r="C6135"/>
    </row>
    <row r="6136" spans="3:3">
      <c r="C6136"/>
    </row>
    <row r="6137" spans="3:3">
      <c r="C6137"/>
    </row>
    <row r="6138" spans="3:3">
      <c r="C6138"/>
    </row>
    <row r="6139" spans="3:3">
      <c r="C6139"/>
    </row>
    <row r="6140" spans="3:3">
      <c r="C6140"/>
    </row>
    <row r="6141" spans="3:3">
      <c r="C6141"/>
    </row>
    <row r="6142" spans="3:3">
      <c r="C6142"/>
    </row>
    <row r="6143" spans="3:3">
      <c r="C6143"/>
    </row>
    <row r="6144" spans="3:3">
      <c r="C6144"/>
    </row>
    <row r="6145" spans="3:3">
      <c r="C6145"/>
    </row>
    <row r="6146" spans="3:3">
      <c r="C6146"/>
    </row>
    <row r="6147" spans="3:3">
      <c r="C6147"/>
    </row>
    <row r="6148" spans="3:3">
      <c r="C6148"/>
    </row>
    <row r="6149" spans="3:3">
      <c r="C6149"/>
    </row>
    <row r="6150" spans="3:3">
      <c r="C6150"/>
    </row>
    <row r="6151" spans="3:3">
      <c r="C6151"/>
    </row>
    <row r="6152" spans="3:3">
      <c r="C6152"/>
    </row>
    <row r="6153" spans="3:3">
      <c r="C6153"/>
    </row>
    <row r="6154" spans="3:3">
      <c r="C6154"/>
    </row>
    <row r="6155" spans="3:3">
      <c r="C6155"/>
    </row>
    <row r="6156" spans="3:3">
      <c r="C6156"/>
    </row>
    <row r="6157" spans="3:3">
      <c r="C6157"/>
    </row>
    <row r="6158" spans="3:3">
      <c r="C6158"/>
    </row>
    <row r="6159" spans="3:3">
      <c r="C6159"/>
    </row>
    <row r="6160" spans="3:3">
      <c r="C6160"/>
    </row>
    <row r="6161" spans="3:3">
      <c r="C6161"/>
    </row>
    <row r="6162" spans="3:3">
      <c r="C6162"/>
    </row>
    <row r="6163" spans="3:3">
      <c r="C6163"/>
    </row>
    <row r="6164" spans="3:3">
      <c r="C6164"/>
    </row>
    <row r="6165" spans="3:3">
      <c r="C6165"/>
    </row>
    <row r="6166" spans="3:3">
      <c r="C6166"/>
    </row>
    <row r="6167" spans="3:3">
      <c r="C6167"/>
    </row>
    <row r="6168" spans="3:3">
      <c r="C6168"/>
    </row>
    <row r="6169" spans="3:3">
      <c r="C6169"/>
    </row>
    <row r="6170" spans="3:3">
      <c r="C6170"/>
    </row>
    <row r="6171" spans="3:3">
      <c r="C6171"/>
    </row>
    <row r="6172" spans="3:3">
      <c r="C6172"/>
    </row>
    <row r="6173" spans="3:3">
      <c r="C6173"/>
    </row>
    <row r="6174" spans="3:3">
      <c r="C6174"/>
    </row>
    <row r="6175" spans="3:3">
      <c r="C6175"/>
    </row>
    <row r="6176" spans="3:3">
      <c r="C6176"/>
    </row>
    <row r="6177" spans="3:3">
      <c r="C6177"/>
    </row>
    <row r="6178" spans="3:3">
      <c r="C6178"/>
    </row>
    <row r="6179" spans="3:3">
      <c r="C6179"/>
    </row>
    <row r="6180" spans="3:3">
      <c r="C6180"/>
    </row>
    <row r="6181" spans="3:3">
      <c r="C6181"/>
    </row>
    <row r="6182" spans="3:3">
      <c r="C6182"/>
    </row>
    <row r="6183" spans="3:3">
      <c r="C6183"/>
    </row>
    <row r="6184" spans="3:3">
      <c r="C6184"/>
    </row>
    <row r="6185" spans="3:3">
      <c r="C6185"/>
    </row>
    <row r="6186" spans="3:3">
      <c r="C6186"/>
    </row>
    <row r="6187" spans="3:3">
      <c r="C6187"/>
    </row>
    <row r="6188" spans="3:3">
      <c r="C6188"/>
    </row>
    <row r="6189" spans="3:3">
      <c r="C6189"/>
    </row>
    <row r="6190" spans="3:3">
      <c r="C6190"/>
    </row>
    <row r="6191" spans="3:3">
      <c r="C6191"/>
    </row>
    <row r="6192" spans="3:3">
      <c r="C6192"/>
    </row>
    <row r="6193" spans="3:3">
      <c r="C6193"/>
    </row>
    <row r="6194" spans="3:3">
      <c r="C6194"/>
    </row>
    <row r="6195" spans="3:3">
      <c r="C6195"/>
    </row>
    <row r="6196" spans="3:3">
      <c r="C6196"/>
    </row>
    <row r="6197" spans="3:3">
      <c r="C6197"/>
    </row>
    <row r="6198" spans="3:3">
      <c r="C6198"/>
    </row>
    <row r="6199" spans="3:3">
      <c r="C6199"/>
    </row>
    <row r="6200" spans="3:3">
      <c r="C6200"/>
    </row>
    <row r="6201" spans="3:3">
      <c r="C6201"/>
    </row>
    <row r="6202" spans="3:3">
      <c r="C6202"/>
    </row>
    <row r="6203" spans="3:3">
      <c r="C6203"/>
    </row>
    <row r="6204" spans="3:3">
      <c r="C6204"/>
    </row>
    <row r="6205" spans="3:3">
      <c r="C6205"/>
    </row>
    <row r="6206" spans="3:3">
      <c r="C6206"/>
    </row>
    <row r="6207" spans="3:3">
      <c r="C6207"/>
    </row>
    <row r="6208" spans="3:3">
      <c r="C6208"/>
    </row>
    <row r="6209" spans="3:3">
      <c r="C6209"/>
    </row>
    <row r="6210" spans="3:3">
      <c r="C6210"/>
    </row>
    <row r="6211" spans="3:3">
      <c r="C6211"/>
    </row>
    <row r="6212" spans="3:3">
      <c r="C6212"/>
    </row>
    <row r="6213" spans="3:3">
      <c r="C6213"/>
    </row>
    <row r="6214" spans="3:3">
      <c r="C6214"/>
    </row>
    <row r="6215" spans="3:3">
      <c r="C6215"/>
    </row>
    <row r="6216" spans="3:3">
      <c r="C6216"/>
    </row>
    <row r="6217" spans="3:3">
      <c r="C6217"/>
    </row>
    <row r="6218" spans="3:3">
      <c r="C6218"/>
    </row>
    <row r="6219" spans="3:3">
      <c r="C6219"/>
    </row>
    <row r="6220" spans="3:3">
      <c r="C6220"/>
    </row>
    <row r="6221" spans="3:3">
      <c r="C6221"/>
    </row>
    <row r="6222" spans="3:3">
      <c r="C6222"/>
    </row>
    <row r="6223" spans="3:3">
      <c r="C6223"/>
    </row>
    <row r="6224" spans="3:3">
      <c r="C6224"/>
    </row>
    <row r="6225" spans="3:3">
      <c r="C6225"/>
    </row>
    <row r="6226" spans="3:3">
      <c r="C6226"/>
    </row>
    <row r="6227" spans="3:3">
      <c r="C6227"/>
    </row>
    <row r="6228" spans="3:3">
      <c r="C6228"/>
    </row>
    <row r="6229" spans="3:3">
      <c r="C6229"/>
    </row>
    <row r="6230" spans="3:3">
      <c r="C6230"/>
    </row>
    <row r="6231" spans="3:3">
      <c r="C6231"/>
    </row>
    <row r="6232" spans="3:3">
      <c r="C6232"/>
    </row>
    <row r="6233" spans="3:3">
      <c r="C6233"/>
    </row>
    <row r="6234" spans="3:3">
      <c r="C6234"/>
    </row>
    <row r="6235" spans="3:3">
      <c r="C6235"/>
    </row>
    <row r="6236" spans="3:3">
      <c r="C6236"/>
    </row>
    <row r="6237" spans="3:3">
      <c r="C6237"/>
    </row>
    <row r="6238" spans="3:3">
      <c r="C6238"/>
    </row>
    <row r="6239" spans="3:3">
      <c r="C6239"/>
    </row>
    <row r="6240" spans="3:3">
      <c r="C6240"/>
    </row>
    <row r="6241" spans="3:3">
      <c r="C6241"/>
    </row>
    <row r="6242" spans="3:3">
      <c r="C6242"/>
    </row>
    <row r="6243" spans="3:3">
      <c r="C6243"/>
    </row>
    <row r="6244" spans="3:3">
      <c r="C6244"/>
    </row>
    <row r="6245" spans="3:3">
      <c r="C6245"/>
    </row>
    <row r="6246" spans="3:3">
      <c r="C6246"/>
    </row>
    <row r="6247" spans="3:3">
      <c r="C6247"/>
    </row>
    <row r="6248" spans="3:3">
      <c r="C6248"/>
    </row>
    <row r="6249" spans="3:3">
      <c r="C6249"/>
    </row>
    <row r="6250" spans="3:3">
      <c r="C6250"/>
    </row>
    <row r="6251" spans="3:3">
      <c r="C6251"/>
    </row>
    <row r="6252" spans="3:3">
      <c r="C6252"/>
    </row>
    <row r="6253" spans="3:3">
      <c r="C6253"/>
    </row>
    <row r="6254" spans="3:3">
      <c r="C6254"/>
    </row>
    <row r="6255" spans="3:3">
      <c r="C6255"/>
    </row>
    <row r="6256" spans="3:3">
      <c r="C6256"/>
    </row>
    <row r="6257" spans="3:3">
      <c r="C6257"/>
    </row>
    <row r="6258" spans="3:3">
      <c r="C6258"/>
    </row>
    <row r="6259" spans="3:3">
      <c r="C6259"/>
    </row>
    <row r="6260" spans="3:3">
      <c r="C6260"/>
    </row>
    <row r="6261" spans="3:3">
      <c r="C6261"/>
    </row>
    <row r="6262" spans="3:3">
      <c r="C6262"/>
    </row>
    <row r="6263" spans="3:3">
      <c r="C6263"/>
    </row>
    <row r="6264" spans="3:3">
      <c r="C6264"/>
    </row>
    <row r="6265" spans="3:3">
      <c r="C6265"/>
    </row>
    <row r="6266" spans="3:3">
      <c r="C6266"/>
    </row>
    <row r="6267" spans="3:3">
      <c r="C6267"/>
    </row>
    <row r="6268" spans="3:3">
      <c r="C6268"/>
    </row>
    <row r="6269" spans="3:3">
      <c r="C6269"/>
    </row>
    <row r="6270" spans="3:3">
      <c r="C6270"/>
    </row>
    <row r="6271" spans="3:3">
      <c r="C6271"/>
    </row>
    <row r="6272" spans="3:3">
      <c r="C6272"/>
    </row>
    <row r="6273" spans="3:3">
      <c r="C6273"/>
    </row>
    <row r="6274" spans="3:3">
      <c r="C6274"/>
    </row>
    <row r="6275" spans="3:3">
      <c r="C6275"/>
    </row>
    <row r="6276" spans="3:3">
      <c r="C6276"/>
    </row>
    <row r="6277" spans="3:3">
      <c r="C6277"/>
    </row>
    <row r="6278" spans="3:3">
      <c r="C6278"/>
    </row>
    <row r="6279" spans="3:3">
      <c r="C6279"/>
    </row>
    <row r="6280" spans="3:3">
      <c r="C6280"/>
    </row>
    <row r="6281" spans="3:3">
      <c r="C6281"/>
    </row>
    <row r="6282" spans="3:3">
      <c r="C6282"/>
    </row>
    <row r="6283" spans="3:3">
      <c r="C6283"/>
    </row>
    <row r="6284" spans="3:3">
      <c r="C6284"/>
    </row>
    <row r="6285" spans="3:3">
      <c r="C6285"/>
    </row>
    <row r="6286" spans="3:3">
      <c r="C6286"/>
    </row>
    <row r="6287" spans="3:3">
      <c r="C6287"/>
    </row>
    <row r="6288" spans="3:3">
      <c r="C6288"/>
    </row>
    <row r="6289" spans="3:3">
      <c r="C6289"/>
    </row>
    <row r="6290" spans="3:3">
      <c r="C6290"/>
    </row>
    <row r="6291" spans="3:3">
      <c r="C6291"/>
    </row>
    <row r="6292" spans="3:3">
      <c r="C6292"/>
    </row>
    <row r="6293" spans="3:3">
      <c r="C6293"/>
    </row>
    <row r="6294" spans="3:3">
      <c r="C6294"/>
    </row>
    <row r="6295" spans="3:3">
      <c r="C6295"/>
    </row>
    <row r="6296" spans="3:3">
      <c r="C6296"/>
    </row>
    <row r="6297" spans="3:3">
      <c r="C6297"/>
    </row>
    <row r="6298" spans="3:3">
      <c r="C6298"/>
    </row>
    <row r="6299" spans="3:3">
      <c r="C6299"/>
    </row>
    <row r="6300" spans="3:3">
      <c r="C6300"/>
    </row>
    <row r="6301" spans="3:3">
      <c r="C6301"/>
    </row>
    <row r="6302" spans="3:3">
      <c r="C6302"/>
    </row>
    <row r="6303" spans="3:3">
      <c r="C6303"/>
    </row>
    <row r="6304" spans="3:3">
      <c r="C6304"/>
    </row>
    <row r="6305" spans="3:3">
      <c r="C6305"/>
    </row>
    <row r="6306" spans="3:3">
      <c r="C6306"/>
    </row>
    <row r="6307" spans="3:3">
      <c r="C6307"/>
    </row>
    <row r="6308" spans="3:3">
      <c r="C6308"/>
    </row>
    <row r="6309" spans="3:3">
      <c r="C6309"/>
    </row>
    <row r="6310" spans="3:3">
      <c r="C6310"/>
    </row>
    <row r="6311" spans="3:3">
      <c r="C6311"/>
    </row>
    <row r="6312" spans="3:3">
      <c r="C6312"/>
    </row>
    <row r="6313" spans="3:3">
      <c r="C6313"/>
    </row>
    <row r="6314" spans="3:3">
      <c r="C6314"/>
    </row>
    <row r="6315" spans="3:3">
      <c r="C6315"/>
    </row>
    <row r="6316" spans="3:3">
      <c r="C6316"/>
    </row>
    <row r="6317" spans="3:3">
      <c r="C6317"/>
    </row>
    <row r="6318" spans="3:3">
      <c r="C6318"/>
    </row>
    <row r="6319" spans="3:3">
      <c r="C6319"/>
    </row>
    <row r="6320" spans="3:3">
      <c r="C6320"/>
    </row>
    <row r="6321" spans="3:3">
      <c r="C6321"/>
    </row>
    <row r="6322" spans="3:3">
      <c r="C6322"/>
    </row>
    <row r="6323" spans="3:3">
      <c r="C6323"/>
    </row>
    <row r="6324" spans="3:3">
      <c r="C6324"/>
    </row>
    <row r="6325" spans="3:3">
      <c r="C6325"/>
    </row>
    <row r="6326" spans="3:3">
      <c r="C6326"/>
    </row>
    <row r="6327" spans="3:3">
      <c r="C6327"/>
    </row>
    <row r="6328" spans="3:3">
      <c r="C6328"/>
    </row>
    <row r="6329" spans="3:3">
      <c r="C6329"/>
    </row>
    <row r="6330" spans="3:3">
      <c r="C6330"/>
    </row>
    <row r="6331" spans="3:3">
      <c r="C6331"/>
    </row>
    <row r="6332" spans="3:3">
      <c r="C6332"/>
    </row>
    <row r="6333" spans="3:3">
      <c r="C6333"/>
    </row>
    <row r="6334" spans="3:3">
      <c r="C6334"/>
    </row>
    <row r="6335" spans="3:3">
      <c r="C6335"/>
    </row>
    <row r="6336" spans="3:3">
      <c r="C6336"/>
    </row>
    <row r="6337" spans="3:3">
      <c r="C6337"/>
    </row>
    <row r="6338" spans="3:3">
      <c r="C6338"/>
    </row>
    <row r="6339" spans="3:3">
      <c r="C6339"/>
    </row>
    <row r="6340" spans="3:3">
      <c r="C6340"/>
    </row>
    <row r="6341" spans="3:3">
      <c r="C6341"/>
    </row>
    <row r="6342" spans="3:3">
      <c r="C6342"/>
    </row>
    <row r="6343" spans="3:3">
      <c r="C6343"/>
    </row>
    <row r="6344" spans="3:3">
      <c r="C6344"/>
    </row>
    <row r="6345" spans="3:3">
      <c r="C6345"/>
    </row>
    <row r="6346" spans="3:3">
      <c r="C6346"/>
    </row>
    <row r="6347" spans="3:3">
      <c r="C6347"/>
    </row>
    <row r="6348" spans="3:3">
      <c r="C6348"/>
    </row>
    <row r="6349" spans="3:3">
      <c r="C6349"/>
    </row>
    <row r="6350" spans="3:3">
      <c r="C6350"/>
    </row>
    <row r="6351" spans="3:3">
      <c r="C6351"/>
    </row>
    <row r="6352" spans="3:3">
      <c r="C6352"/>
    </row>
    <row r="6353" spans="3:3">
      <c r="C6353"/>
    </row>
    <row r="6354" spans="3:3">
      <c r="C6354"/>
    </row>
    <row r="6355" spans="3:3">
      <c r="C6355"/>
    </row>
    <row r="6356" spans="3:3">
      <c r="C6356"/>
    </row>
    <row r="6357" spans="3:3">
      <c r="C6357"/>
    </row>
    <row r="6358" spans="3:3">
      <c r="C6358"/>
    </row>
    <row r="6359" spans="3:3">
      <c r="C6359"/>
    </row>
    <row r="6360" spans="3:3">
      <c r="C6360"/>
    </row>
    <row r="6361" spans="3:3">
      <c r="C6361"/>
    </row>
    <row r="6362" spans="3:3">
      <c r="C6362"/>
    </row>
    <row r="6363" spans="3:3">
      <c r="C6363"/>
    </row>
    <row r="6364" spans="3:3">
      <c r="C6364"/>
    </row>
    <row r="6365" spans="3:3">
      <c r="C6365"/>
    </row>
    <row r="6366" spans="3:3">
      <c r="C6366"/>
    </row>
    <row r="6367" spans="3:3">
      <c r="C6367"/>
    </row>
    <row r="6368" spans="3:3">
      <c r="C6368"/>
    </row>
    <row r="6369" spans="3:3">
      <c r="C6369"/>
    </row>
    <row r="6370" spans="3:3">
      <c r="C6370"/>
    </row>
    <row r="6371" spans="3:3">
      <c r="C6371"/>
    </row>
    <row r="6372" spans="3:3">
      <c r="C6372"/>
    </row>
    <row r="6373" spans="3:3">
      <c r="C6373"/>
    </row>
    <row r="6374" spans="3:3">
      <c r="C6374"/>
    </row>
    <row r="6375" spans="3:3">
      <c r="C6375"/>
    </row>
    <row r="6376" spans="3:3">
      <c r="C6376"/>
    </row>
    <row r="6377" spans="3:3">
      <c r="C6377"/>
    </row>
    <row r="6378" spans="3:3">
      <c r="C6378"/>
    </row>
    <row r="6379" spans="3:3">
      <c r="C6379"/>
    </row>
    <row r="6380" spans="3:3">
      <c r="C6380"/>
    </row>
    <row r="6381" spans="3:3">
      <c r="C6381"/>
    </row>
    <row r="6382" spans="3:3">
      <c r="C6382"/>
    </row>
    <row r="6383" spans="3:3">
      <c r="C6383"/>
    </row>
    <row r="6384" spans="3:3">
      <c r="C6384"/>
    </row>
    <row r="6385" spans="3:3">
      <c r="C6385"/>
    </row>
    <row r="6386" spans="3:3">
      <c r="C6386"/>
    </row>
    <row r="6387" spans="3:3">
      <c r="C6387"/>
    </row>
    <row r="6388" spans="3:3">
      <c r="C6388"/>
    </row>
    <row r="6389" spans="3:3">
      <c r="C6389"/>
    </row>
    <row r="6390" spans="3:3">
      <c r="C6390"/>
    </row>
    <row r="6391" spans="3:3">
      <c r="C6391"/>
    </row>
    <row r="6392" spans="3:3">
      <c r="C6392"/>
    </row>
    <row r="6393" spans="3:3">
      <c r="C6393"/>
    </row>
    <row r="6394" spans="3:3">
      <c r="C6394"/>
    </row>
    <row r="6395" spans="3:3">
      <c r="C6395"/>
    </row>
    <row r="6396" spans="3:3">
      <c r="C6396"/>
    </row>
    <row r="6397" spans="3:3">
      <c r="C6397"/>
    </row>
    <row r="6398" spans="3:3">
      <c r="C6398"/>
    </row>
    <row r="6399" spans="3:3">
      <c r="C6399"/>
    </row>
    <row r="6400" spans="3:3">
      <c r="C6400"/>
    </row>
    <row r="6401" spans="3:3">
      <c r="C6401"/>
    </row>
    <row r="6402" spans="3:3">
      <c r="C6402"/>
    </row>
    <row r="6403" spans="3:3">
      <c r="C6403"/>
    </row>
    <row r="6404" spans="3:3">
      <c r="C6404"/>
    </row>
    <row r="6405" spans="3:3">
      <c r="C6405"/>
    </row>
    <row r="6406" spans="3:3">
      <c r="C6406"/>
    </row>
    <row r="6407" spans="3:3">
      <c r="C6407"/>
    </row>
    <row r="6408" spans="3:3">
      <c r="C6408"/>
    </row>
    <row r="6409" spans="3:3">
      <c r="C6409"/>
    </row>
    <row r="6410" spans="3:3">
      <c r="C6410"/>
    </row>
    <row r="6411" spans="3:3">
      <c r="C6411"/>
    </row>
    <row r="6412" spans="3:3">
      <c r="C6412"/>
    </row>
    <row r="6413" spans="3:3">
      <c r="C6413"/>
    </row>
    <row r="6414" spans="3:3">
      <c r="C6414"/>
    </row>
    <row r="6415" spans="3:3">
      <c r="C6415"/>
    </row>
    <row r="6416" spans="3:3">
      <c r="C6416"/>
    </row>
    <row r="6417" spans="3:3">
      <c r="C6417"/>
    </row>
    <row r="6418" spans="3:3">
      <c r="C6418"/>
    </row>
    <row r="6419" spans="3:3">
      <c r="C6419"/>
    </row>
    <row r="6420" spans="3:3">
      <c r="C6420"/>
    </row>
    <row r="6421" spans="3:3">
      <c r="C6421"/>
    </row>
    <row r="6422" spans="3:3">
      <c r="C6422"/>
    </row>
    <row r="6423" spans="3:3">
      <c r="C6423"/>
    </row>
    <row r="6424" spans="3:3">
      <c r="C6424"/>
    </row>
    <row r="6425" spans="3:3">
      <c r="C6425"/>
    </row>
    <row r="6426" spans="3:3">
      <c r="C6426"/>
    </row>
    <row r="6427" spans="3:3">
      <c r="C6427"/>
    </row>
    <row r="6428" spans="3:3">
      <c r="C6428"/>
    </row>
    <row r="6429" spans="3:3">
      <c r="C6429"/>
    </row>
    <row r="6430" spans="3:3">
      <c r="C6430"/>
    </row>
    <row r="6431" spans="3:3">
      <c r="C6431"/>
    </row>
    <row r="6432" spans="3:3">
      <c r="C6432"/>
    </row>
    <row r="6433" spans="3:3">
      <c r="C6433"/>
    </row>
    <row r="6434" spans="3:3">
      <c r="C6434"/>
    </row>
    <row r="6435" spans="3:3">
      <c r="C6435"/>
    </row>
    <row r="6436" spans="3:3">
      <c r="C6436"/>
    </row>
    <row r="6437" spans="3:3">
      <c r="C6437"/>
    </row>
    <row r="6438" spans="3:3">
      <c r="C6438"/>
    </row>
    <row r="6439" spans="3:3">
      <c r="C6439"/>
    </row>
    <row r="6440" spans="3:3">
      <c r="C6440"/>
    </row>
    <row r="6441" spans="3:3">
      <c r="C6441"/>
    </row>
    <row r="6442" spans="3:3">
      <c r="C6442"/>
    </row>
    <row r="6443" spans="3:3">
      <c r="C6443"/>
    </row>
    <row r="6444" spans="3:3">
      <c r="C6444"/>
    </row>
    <row r="6445" spans="3:3">
      <c r="C6445"/>
    </row>
    <row r="6446" spans="3:3">
      <c r="C6446"/>
    </row>
    <row r="6447" spans="3:3">
      <c r="C6447"/>
    </row>
    <row r="6448" spans="3:3">
      <c r="C6448"/>
    </row>
    <row r="6449" spans="3:3">
      <c r="C6449"/>
    </row>
    <row r="6450" spans="3:3">
      <c r="C6450"/>
    </row>
    <row r="6451" spans="3:3">
      <c r="C6451"/>
    </row>
    <row r="6452" spans="3:3">
      <c r="C6452"/>
    </row>
    <row r="6453" spans="3:3">
      <c r="C6453"/>
    </row>
    <row r="6454" spans="3:3">
      <c r="C6454"/>
    </row>
    <row r="6455" spans="3:3">
      <c r="C6455"/>
    </row>
    <row r="6456" spans="3:3">
      <c r="C6456"/>
    </row>
    <row r="6457" spans="3:3">
      <c r="C6457"/>
    </row>
    <row r="6458" spans="3:3">
      <c r="C6458"/>
    </row>
    <row r="6459" spans="3:3">
      <c r="C6459"/>
    </row>
    <row r="6460" spans="3:3">
      <c r="C6460"/>
    </row>
    <row r="6461" spans="3:3">
      <c r="C6461"/>
    </row>
    <row r="6462" spans="3:3">
      <c r="C6462"/>
    </row>
    <row r="6463" spans="3:3">
      <c r="C6463"/>
    </row>
    <row r="6464" spans="3:3">
      <c r="C6464"/>
    </row>
    <row r="6465" spans="3:3">
      <c r="C6465"/>
    </row>
    <row r="6466" spans="3:3">
      <c r="C6466"/>
    </row>
    <row r="6467" spans="3:3">
      <c r="C6467"/>
    </row>
    <row r="6468" spans="3:3">
      <c r="C6468"/>
    </row>
    <row r="6469" spans="3:3">
      <c r="C6469"/>
    </row>
    <row r="6470" spans="3:3">
      <c r="C6470"/>
    </row>
    <row r="6471" spans="3:3">
      <c r="C6471"/>
    </row>
    <row r="6472" spans="3:3">
      <c r="C6472"/>
    </row>
    <row r="6473" spans="3:3">
      <c r="C6473"/>
    </row>
    <row r="6474" spans="3:3">
      <c r="C6474"/>
    </row>
    <row r="6475" spans="3:3">
      <c r="C6475"/>
    </row>
    <row r="6476" spans="3:3">
      <c r="C6476"/>
    </row>
    <row r="6477" spans="3:3">
      <c r="C6477"/>
    </row>
    <row r="6478" spans="3:3">
      <c r="C6478"/>
    </row>
    <row r="6479" spans="3:3">
      <c r="C6479"/>
    </row>
    <row r="6480" spans="3:3">
      <c r="C6480"/>
    </row>
    <row r="6481" spans="3:3">
      <c r="C6481"/>
    </row>
    <row r="6482" spans="3:3">
      <c r="C6482"/>
    </row>
    <row r="6483" spans="3:3">
      <c r="C6483"/>
    </row>
    <row r="6484" spans="3:3">
      <c r="C6484"/>
    </row>
    <row r="6485" spans="3:3">
      <c r="C6485"/>
    </row>
    <row r="6486" spans="3:3">
      <c r="C6486"/>
    </row>
    <row r="6487" spans="3:3">
      <c r="C6487"/>
    </row>
    <row r="6488" spans="3:3">
      <c r="C6488"/>
    </row>
    <row r="6489" spans="3:3">
      <c r="C6489"/>
    </row>
    <row r="6490" spans="3:3">
      <c r="C6490"/>
    </row>
    <row r="6491" spans="3:3">
      <c r="C6491"/>
    </row>
    <row r="6492" spans="3:3">
      <c r="C6492"/>
    </row>
    <row r="6493" spans="3:3">
      <c r="C6493"/>
    </row>
    <row r="6494" spans="3:3">
      <c r="C6494"/>
    </row>
    <row r="6495" spans="3:3">
      <c r="C6495"/>
    </row>
    <row r="6496" spans="3:3">
      <c r="C6496"/>
    </row>
    <row r="6497" spans="3:3">
      <c r="C6497"/>
    </row>
    <row r="6498" spans="3:3">
      <c r="C6498"/>
    </row>
    <row r="6499" spans="3:3">
      <c r="C6499"/>
    </row>
    <row r="6500" spans="3:3">
      <c r="C6500"/>
    </row>
    <row r="6501" spans="3:3">
      <c r="C6501"/>
    </row>
    <row r="6502" spans="3:3">
      <c r="C6502"/>
    </row>
    <row r="6503" spans="3:3">
      <c r="C6503"/>
    </row>
    <row r="6504" spans="3:3">
      <c r="C6504"/>
    </row>
    <row r="6505" spans="3:3">
      <c r="C6505"/>
    </row>
    <row r="6506" spans="3:3">
      <c r="C6506"/>
    </row>
    <row r="6507" spans="3:3">
      <c r="C6507"/>
    </row>
    <row r="6508" spans="3:3">
      <c r="C6508"/>
    </row>
    <row r="6509" spans="3:3">
      <c r="C6509"/>
    </row>
    <row r="6510" spans="3:3">
      <c r="C6510"/>
    </row>
    <row r="6511" spans="3:3">
      <c r="C6511"/>
    </row>
    <row r="6512" spans="3:3">
      <c r="C6512"/>
    </row>
    <row r="6513" spans="3:3">
      <c r="C6513"/>
    </row>
    <row r="6514" spans="3:3">
      <c r="C6514"/>
    </row>
    <row r="6515" spans="3:3">
      <c r="C6515"/>
    </row>
    <row r="6516" spans="3:3">
      <c r="C6516"/>
    </row>
    <row r="6517" spans="3:3">
      <c r="C6517"/>
    </row>
    <row r="6518" spans="3:3">
      <c r="C6518"/>
    </row>
    <row r="6519" spans="3:3">
      <c r="C6519"/>
    </row>
    <row r="6520" spans="3:3">
      <c r="C6520"/>
    </row>
    <row r="6521" spans="3:3">
      <c r="C6521"/>
    </row>
    <row r="6522" spans="3:3">
      <c r="C6522"/>
    </row>
    <row r="6523" spans="3:3">
      <c r="C6523"/>
    </row>
    <row r="6524" spans="3:3">
      <c r="C6524"/>
    </row>
    <row r="6525" spans="3:3">
      <c r="C6525"/>
    </row>
    <row r="6526" spans="3:3">
      <c r="C6526"/>
    </row>
    <row r="6527" spans="3:3">
      <c r="C6527"/>
    </row>
    <row r="6528" spans="3:3">
      <c r="C6528"/>
    </row>
    <row r="6529" spans="3:3">
      <c r="C6529"/>
    </row>
    <row r="6530" spans="3:3">
      <c r="C6530"/>
    </row>
    <row r="6531" spans="3:3">
      <c r="C6531"/>
    </row>
    <row r="6532" spans="3:3">
      <c r="C6532"/>
    </row>
    <row r="6533" spans="3:3">
      <c r="C6533"/>
    </row>
    <row r="6534" spans="3:3">
      <c r="C6534"/>
    </row>
    <row r="6535" spans="3:3">
      <c r="C6535"/>
    </row>
    <row r="6536" spans="3:3">
      <c r="C6536"/>
    </row>
    <row r="6537" spans="3:3">
      <c r="C6537"/>
    </row>
    <row r="6538" spans="3:3">
      <c r="C6538"/>
    </row>
    <row r="6539" spans="3:3">
      <c r="C6539"/>
    </row>
    <row r="6540" spans="3:3">
      <c r="C6540"/>
    </row>
    <row r="6541" spans="3:3">
      <c r="C6541"/>
    </row>
    <row r="6542" spans="3:3">
      <c r="C6542"/>
    </row>
    <row r="6543" spans="3:3">
      <c r="C6543"/>
    </row>
    <row r="6544" spans="3:3">
      <c r="C6544"/>
    </row>
    <row r="6545" spans="3:3">
      <c r="C6545"/>
    </row>
    <row r="6546" spans="3:3">
      <c r="C6546"/>
    </row>
    <row r="6547" spans="3:3">
      <c r="C6547"/>
    </row>
    <row r="6548" spans="3:3">
      <c r="C6548"/>
    </row>
    <row r="6549" spans="3:3">
      <c r="C6549"/>
    </row>
    <row r="6550" spans="3:3">
      <c r="C6550"/>
    </row>
    <row r="6551" spans="3:3">
      <c r="C6551"/>
    </row>
    <row r="6552" spans="3:3">
      <c r="C6552"/>
    </row>
    <row r="6553" spans="3:3">
      <c r="C6553"/>
    </row>
    <row r="6554" spans="3:3">
      <c r="C6554"/>
    </row>
    <row r="6555" spans="3:3">
      <c r="C6555"/>
    </row>
    <row r="6556" spans="3:3">
      <c r="C6556"/>
    </row>
    <row r="6557" spans="3:3">
      <c r="C6557"/>
    </row>
    <row r="6558" spans="3:3">
      <c r="C6558"/>
    </row>
    <row r="6559" spans="3:3">
      <c r="C6559"/>
    </row>
    <row r="6560" spans="3:3">
      <c r="C6560"/>
    </row>
    <row r="6561" spans="3:3">
      <c r="C6561"/>
    </row>
    <row r="6562" spans="3:3">
      <c r="C6562"/>
    </row>
    <row r="6563" spans="3:3">
      <c r="C6563"/>
    </row>
    <row r="6564" spans="3:3">
      <c r="C6564"/>
    </row>
    <row r="6565" spans="3:3">
      <c r="C6565"/>
    </row>
    <row r="6566" spans="3:3">
      <c r="C6566"/>
    </row>
    <row r="6567" spans="3:3">
      <c r="C6567"/>
    </row>
    <row r="6568" spans="3:3">
      <c r="C6568"/>
    </row>
    <row r="6569" spans="3:3">
      <c r="C6569"/>
    </row>
    <row r="6570" spans="3:3">
      <c r="C6570"/>
    </row>
    <row r="6571" spans="3:3">
      <c r="C6571"/>
    </row>
    <row r="6572" spans="3:3">
      <c r="C6572"/>
    </row>
    <row r="6573" spans="3:3">
      <c r="C6573"/>
    </row>
    <row r="6574" spans="3:3">
      <c r="C6574"/>
    </row>
    <row r="6575" spans="3:3">
      <c r="C6575"/>
    </row>
    <row r="6576" spans="3:3">
      <c r="C6576"/>
    </row>
    <row r="6577" spans="3:3">
      <c r="C6577"/>
    </row>
    <row r="6578" spans="3:3">
      <c r="C6578"/>
    </row>
    <row r="6579" spans="3:3">
      <c r="C6579"/>
    </row>
    <row r="6580" spans="3:3">
      <c r="C6580"/>
    </row>
    <row r="6581" spans="3:3">
      <c r="C6581"/>
    </row>
    <row r="6582" spans="3:3">
      <c r="C6582"/>
    </row>
    <row r="6583" spans="3:3">
      <c r="C6583"/>
    </row>
    <row r="6584" spans="3:3">
      <c r="C6584"/>
    </row>
    <row r="6585" spans="3:3">
      <c r="C6585"/>
    </row>
    <row r="6586" spans="3:3">
      <c r="C6586"/>
    </row>
    <row r="6587" spans="3:3">
      <c r="C6587"/>
    </row>
    <row r="6588" spans="3:3">
      <c r="C6588"/>
    </row>
    <row r="6589" spans="3:3">
      <c r="C6589"/>
    </row>
    <row r="6590" spans="3:3">
      <c r="C6590"/>
    </row>
    <row r="6591" spans="3:3">
      <c r="C6591"/>
    </row>
    <row r="6592" spans="3:3">
      <c r="C6592"/>
    </row>
    <row r="6593" spans="3:3">
      <c r="C6593"/>
    </row>
    <row r="6594" spans="3:3">
      <c r="C6594"/>
    </row>
    <row r="6595" spans="3:3">
      <c r="C6595"/>
    </row>
    <row r="6596" spans="3:3">
      <c r="C6596"/>
    </row>
    <row r="6597" spans="3:3">
      <c r="C6597"/>
    </row>
    <row r="6598" spans="3:3">
      <c r="C6598"/>
    </row>
    <row r="6599" spans="3:3">
      <c r="C6599"/>
    </row>
    <row r="6600" spans="3:3">
      <c r="C6600"/>
    </row>
    <row r="6601" spans="3:3">
      <c r="C6601"/>
    </row>
    <row r="6602" spans="3:3">
      <c r="C6602"/>
    </row>
    <row r="6603" spans="3:3">
      <c r="C6603"/>
    </row>
    <row r="6604" spans="3:3">
      <c r="C6604"/>
    </row>
    <row r="6605" spans="3:3">
      <c r="C6605"/>
    </row>
    <row r="6606" spans="3:3">
      <c r="C6606"/>
    </row>
    <row r="6607" spans="3:3">
      <c r="C6607"/>
    </row>
    <row r="6608" spans="3:3">
      <c r="C6608"/>
    </row>
    <row r="6609" spans="3:3">
      <c r="C6609"/>
    </row>
    <row r="6610" spans="3:3">
      <c r="C6610"/>
    </row>
    <row r="6611" spans="3:3">
      <c r="C6611"/>
    </row>
    <row r="6612" spans="3:3">
      <c r="C6612"/>
    </row>
    <row r="6613" spans="3:3">
      <c r="C6613"/>
    </row>
    <row r="6614" spans="3:3">
      <c r="C6614"/>
    </row>
    <row r="6615" spans="3:3">
      <c r="C6615"/>
    </row>
    <row r="6616" spans="3:3">
      <c r="C6616"/>
    </row>
    <row r="6617" spans="3:3">
      <c r="C6617"/>
    </row>
    <row r="6618" spans="3:3">
      <c r="C6618"/>
    </row>
    <row r="6619" spans="3:3">
      <c r="C6619"/>
    </row>
    <row r="6620" spans="3:3">
      <c r="C6620"/>
    </row>
    <row r="6621" spans="3:3">
      <c r="C6621"/>
    </row>
    <row r="6622" spans="3:3">
      <c r="C6622"/>
    </row>
    <row r="6623" spans="3:3">
      <c r="C6623"/>
    </row>
    <row r="6624" spans="3:3">
      <c r="C6624"/>
    </row>
    <row r="6625" spans="3:3">
      <c r="C6625"/>
    </row>
    <row r="6626" spans="3:3">
      <c r="C6626"/>
    </row>
    <row r="6627" spans="3:3">
      <c r="C6627"/>
    </row>
    <row r="6628" spans="3:3">
      <c r="C6628"/>
    </row>
    <row r="6629" spans="3:3">
      <c r="C6629"/>
    </row>
    <row r="6630" spans="3:3">
      <c r="C6630"/>
    </row>
    <row r="6631" spans="3:3">
      <c r="C6631"/>
    </row>
    <row r="6632" spans="3:3">
      <c r="C6632"/>
    </row>
    <row r="6633" spans="3:3">
      <c r="C6633"/>
    </row>
    <row r="6634" spans="3:3">
      <c r="C6634"/>
    </row>
    <row r="6635" spans="3:3">
      <c r="C6635"/>
    </row>
    <row r="6636" spans="3:3">
      <c r="C6636"/>
    </row>
    <row r="6637" spans="3:3">
      <c r="C6637"/>
    </row>
    <row r="6638" spans="3:3">
      <c r="C6638"/>
    </row>
    <row r="6639" spans="3:3">
      <c r="C6639"/>
    </row>
    <row r="6640" spans="3:3">
      <c r="C6640"/>
    </row>
    <row r="6641" spans="3:3">
      <c r="C6641"/>
    </row>
    <row r="6642" spans="3:3">
      <c r="C6642"/>
    </row>
    <row r="6643" spans="3:3">
      <c r="C6643"/>
    </row>
    <row r="6644" spans="3:3">
      <c r="C6644"/>
    </row>
    <row r="6645" spans="3:3">
      <c r="C6645"/>
    </row>
    <row r="6646" spans="3:3">
      <c r="C6646"/>
    </row>
    <row r="6647" spans="3:3">
      <c r="C6647"/>
    </row>
    <row r="6648" spans="3:3">
      <c r="C6648"/>
    </row>
    <row r="6649" spans="3:3">
      <c r="C6649"/>
    </row>
    <row r="6650" spans="3:3">
      <c r="C6650"/>
    </row>
    <row r="6651" spans="3:3">
      <c r="C6651"/>
    </row>
    <row r="6652" spans="3:3">
      <c r="C6652"/>
    </row>
    <row r="6653" spans="3:3">
      <c r="C6653"/>
    </row>
    <row r="6654" spans="3:3">
      <c r="C6654"/>
    </row>
    <row r="6655" spans="3:3">
      <c r="C6655"/>
    </row>
    <row r="6656" spans="3:3">
      <c r="C6656"/>
    </row>
    <row r="6657" spans="3:3">
      <c r="C6657"/>
    </row>
    <row r="6658" spans="3:3">
      <c r="C6658"/>
    </row>
    <row r="6659" spans="3:3">
      <c r="C6659"/>
    </row>
    <row r="6660" spans="3:3">
      <c r="C6660"/>
    </row>
    <row r="6661" spans="3:3">
      <c r="C6661"/>
    </row>
    <row r="6662" spans="3:3">
      <c r="C6662"/>
    </row>
    <row r="6663" spans="3:3">
      <c r="C6663"/>
    </row>
    <row r="6664" spans="3:3">
      <c r="C6664"/>
    </row>
    <row r="6665" spans="3:3">
      <c r="C6665"/>
    </row>
    <row r="6666" spans="3:3">
      <c r="C6666"/>
    </row>
    <row r="6667" spans="3:3">
      <c r="C6667"/>
    </row>
    <row r="6668" spans="3:3">
      <c r="C6668"/>
    </row>
    <row r="6669" spans="3:3">
      <c r="C6669"/>
    </row>
    <row r="6670" spans="3:3">
      <c r="C6670"/>
    </row>
    <row r="6671" spans="3:3">
      <c r="C6671"/>
    </row>
    <row r="6672" spans="3:3">
      <c r="C6672"/>
    </row>
    <row r="6673" spans="3:3">
      <c r="C6673"/>
    </row>
    <row r="6674" spans="3:3">
      <c r="C6674"/>
    </row>
    <row r="6675" spans="3:3">
      <c r="C6675"/>
    </row>
    <row r="6676" spans="3:3">
      <c r="C6676"/>
    </row>
    <row r="6677" spans="3:3">
      <c r="C6677"/>
    </row>
    <row r="6678" spans="3:3">
      <c r="C6678"/>
    </row>
    <row r="6679" spans="3:3">
      <c r="C6679"/>
    </row>
    <row r="6680" spans="3:3">
      <c r="C6680"/>
    </row>
    <row r="6681" spans="3:3">
      <c r="C6681"/>
    </row>
    <row r="6682" spans="3:3">
      <c r="C6682"/>
    </row>
    <row r="6683" spans="3:3">
      <c r="C6683"/>
    </row>
    <row r="6684" spans="3:3">
      <c r="C6684"/>
    </row>
    <row r="6685" spans="3:3">
      <c r="C6685"/>
    </row>
    <row r="6686" spans="3:3">
      <c r="C6686"/>
    </row>
    <row r="6687" spans="3:3">
      <c r="C6687"/>
    </row>
    <row r="6688" spans="3:3">
      <c r="C6688"/>
    </row>
    <row r="6689" spans="3:3">
      <c r="C6689"/>
    </row>
    <row r="6690" spans="3:3">
      <c r="C6690"/>
    </row>
    <row r="6691" spans="3:3">
      <c r="C6691"/>
    </row>
    <row r="6692" spans="3:3">
      <c r="C6692"/>
    </row>
    <row r="6693" spans="3:3">
      <c r="C6693"/>
    </row>
    <row r="6694" spans="3:3">
      <c r="C6694"/>
    </row>
    <row r="6695" spans="3:3">
      <c r="C6695"/>
    </row>
    <row r="6696" spans="3:3">
      <c r="C6696"/>
    </row>
    <row r="6697" spans="3:3">
      <c r="C6697"/>
    </row>
    <row r="6698" spans="3:3">
      <c r="C6698"/>
    </row>
    <row r="6699" spans="3:3">
      <c r="C6699"/>
    </row>
    <row r="6700" spans="3:3">
      <c r="C6700"/>
    </row>
    <row r="6701" spans="3:3">
      <c r="C6701"/>
    </row>
    <row r="6702" spans="3:3">
      <c r="C6702"/>
    </row>
    <row r="6703" spans="3:3">
      <c r="C6703"/>
    </row>
    <row r="6704" spans="3:3">
      <c r="C6704"/>
    </row>
    <row r="6705" spans="3:3">
      <c r="C6705"/>
    </row>
    <row r="6706" spans="3:3">
      <c r="C6706"/>
    </row>
    <row r="6707" spans="3:3">
      <c r="C6707"/>
    </row>
    <row r="6708" spans="3:3">
      <c r="C6708"/>
    </row>
    <row r="6709" spans="3:3">
      <c r="C6709"/>
    </row>
    <row r="6710" spans="3:3">
      <c r="C6710"/>
    </row>
    <row r="6711" spans="3:3">
      <c r="C6711"/>
    </row>
    <row r="6712" spans="3:3">
      <c r="C6712"/>
    </row>
    <row r="6713" spans="3:3">
      <c r="C6713"/>
    </row>
    <row r="6714" spans="3:3">
      <c r="C6714"/>
    </row>
    <row r="6715" spans="3:3">
      <c r="C6715"/>
    </row>
    <row r="6716" spans="3:3">
      <c r="C6716"/>
    </row>
    <row r="6717" spans="3:3">
      <c r="C6717"/>
    </row>
    <row r="6718" spans="3:3">
      <c r="C6718"/>
    </row>
    <row r="6719" spans="3:3">
      <c r="C6719"/>
    </row>
    <row r="6720" spans="3:3">
      <c r="C6720"/>
    </row>
    <row r="6721" spans="3:3">
      <c r="C6721"/>
    </row>
    <row r="6722" spans="3:3">
      <c r="C6722"/>
    </row>
    <row r="6723" spans="3:3">
      <c r="C6723"/>
    </row>
    <row r="6724" spans="3:3">
      <c r="C6724"/>
    </row>
    <row r="6725" spans="3:3">
      <c r="C6725"/>
    </row>
    <row r="6726" spans="3:3">
      <c r="C6726"/>
    </row>
    <row r="6727" spans="3:3">
      <c r="C6727"/>
    </row>
    <row r="6728" spans="3:3">
      <c r="C6728"/>
    </row>
    <row r="6729" spans="3:3">
      <c r="C6729"/>
    </row>
    <row r="6730" spans="3:3">
      <c r="C6730"/>
    </row>
    <row r="6731" spans="3:3">
      <c r="C6731"/>
    </row>
    <row r="6732" spans="3:3">
      <c r="C6732"/>
    </row>
    <row r="6733" spans="3:3">
      <c r="C6733"/>
    </row>
    <row r="6734" spans="3:3">
      <c r="C6734"/>
    </row>
    <row r="6735" spans="3:3">
      <c r="C6735"/>
    </row>
    <row r="6736" spans="3:3">
      <c r="C6736"/>
    </row>
    <row r="6737" spans="3:3">
      <c r="C6737"/>
    </row>
    <row r="6738" spans="3:3">
      <c r="C6738"/>
    </row>
    <row r="6739" spans="3:3">
      <c r="C6739"/>
    </row>
    <row r="6740" spans="3:3">
      <c r="C6740"/>
    </row>
    <row r="6741" spans="3:3">
      <c r="C6741"/>
    </row>
    <row r="6742" spans="3:3">
      <c r="C6742"/>
    </row>
    <row r="6743" spans="3:3">
      <c r="C6743"/>
    </row>
    <row r="6744" spans="3:3">
      <c r="C6744"/>
    </row>
    <row r="6745" spans="3:3">
      <c r="C6745"/>
    </row>
    <row r="6746" spans="3:3">
      <c r="C6746"/>
    </row>
    <row r="6747" spans="3:3">
      <c r="C6747"/>
    </row>
    <row r="6748" spans="3:3">
      <c r="C6748"/>
    </row>
    <row r="6749" spans="3:3">
      <c r="C6749"/>
    </row>
    <row r="6750" spans="3:3">
      <c r="C6750"/>
    </row>
    <row r="6751" spans="3:3">
      <c r="C6751"/>
    </row>
    <row r="6752" spans="3:3">
      <c r="C6752"/>
    </row>
    <row r="6753" spans="3:3">
      <c r="C6753"/>
    </row>
    <row r="6754" spans="3:3">
      <c r="C6754"/>
    </row>
    <row r="6755" spans="3:3">
      <c r="C6755"/>
    </row>
    <row r="6756" spans="3:3">
      <c r="C6756"/>
    </row>
    <row r="6757" spans="3:3">
      <c r="C6757"/>
    </row>
    <row r="6758" spans="3:3">
      <c r="C6758"/>
    </row>
    <row r="6759" spans="3:3">
      <c r="C6759"/>
    </row>
    <row r="6760" spans="3:3">
      <c r="C6760"/>
    </row>
    <row r="6761" spans="3:3">
      <c r="C6761"/>
    </row>
    <row r="6762" spans="3:3">
      <c r="C6762"/>
    </row>
    <row r="6763" spans="3:3">
      <c r="C6763"/>
    </row>
    <row r="6764" spans="3:3">
      <c r="C6764"/>
    </row>
    <row r="6765" spans="3:3">
      <c r="C6765"/>
    </row>
    <row r="6766" spans="3:3">
      <c r="C6766"/>
    </row>
    <row r="6767" spans="3:3">
      <c r="C6767"/>
    </row>
    <row r="6768" spans="3:3">
      <c r="C6768"/>
    </row>
    <row r="6769" spans="3:3">
      <c r="C6769"/>
    </row>
    <row r="6770" spans="3:3">
      <c r="C6770"/>
    </row>
    <row r="6771" spans="3:3">
      <c r="C6771"/>
    </row>
    <row r="6772" spans="3:3">
      <c r="C6772"/>
    </row>
    <row r="6773" spans="3:3">
      <c r="C6773"/>
    </row>
    <row r="6774" spans="3:3">
      <c r="C6774"/>
    </row>
    <row r="6775" spans="3:3">
      <c r="C6775"/>
    </row>
    <row r="6776" spans="3:3">
      <c r="C6776"/>
    </row>
    <row r="6777" spans="3:3">
      <c r="C6777"/>
    </row>
    <row r="6778" spans="3:3">
      <c r="C6778"/>
    </row>
    <row r="6779" spans="3:3">
      <c r="C6779"/>
    </row>
    <row r="6780" spans="3:3">
      <c r="C6780"/>
    </row>
    <row r="6781" spans="3:3">
      <c r="C6781"/>
    </row>
    <row r="6782" spans="3:3">
      <c r="C6782"/>
    </row>
    <row r="6783" spans="3:3">
      <c r="C6783"/>
    </row>
    <row r="6784" spans="3:3">
      <c r="C6784"/>
    </row>
    <row r="6785" spans="3:3">
      <c r="C6785"/>
    </row>
    <row r="6786" spans="3:3">
      <c r="C6786"/>
    </row>
    <row r="6787" spans="3:3">
      <c r="C6787"/>
    </row>
    <row r="6788" spans="3:3">
      <c r="C6788"/>
    </row>
    <row r="6789" spans="3:3">
      <c r="C6789"/>
    </row>
    <row r="6790" spans="3:3">
      <c r="C6790"/>
    </row>
    <row r="6791" spans="3:3">
      <c r="C6791"/>
    </row>
    <row r="6792" spans="3:3">
      <c r="C6792"/>
    </row>
    <row r="6793" spans="3:3">
      <c r="C6793"/>
    </row>
    <row r="6794" spans="3:3">
      <c r="C6794"/>
    </row>
    <row r="6795" spans="3:3">
      <c r="C6795"/>
    </row>
    <row r="6796" spans="3:3">
      <c r="C6796"/>
    </row>
    <row r="6797" spans="3:3">
      <c r="C6797"/>
    </row>
    <row r="6798" spans="3:3">
      <c r="C6798"/>
    </row>
    <row r="6799" spans="3:3">
      <c r="C6799"/>
    </row>
    <row r="6800" spans="3:3">
      <c r="C6800"/>
    </row>
    <row r="6801" spans="3:3">
      <c r="C6801"/>
    </row>
    <row r="6802" spans="3:3">
      <c r="C6802"/>
    </row>
    <row r="6803" spans="3:3">
      <c r="C6803"/>
    </row>
    <row r="6804" spans="3:3">
      <c r="C6804"/>
    </row>
    <row r="6805" spans="3:3">
      <c r="C6805"/>
    </row>
    <row r="6806" spans="3:3">
      <c r="C6806"/>
    </row>
    <row r="6807" spans="3:3">
      <c r="C6807"/>
    </row>
    <row r="6808" spans="3:3">
      <c r="C6808"/>
    </row>
    <row r="6809" spans="3:3">
      <c r="C6809"/>
    </row>
    <row r="6810" spans="3:3">
      <c r="C6810"/>
    </row>
    <row r="6811" spans="3:3">
      <c r="C6811"/>
    </row>
    <row r="6812" spans="3:3">
      <c r="C6812"/>
    </row>
    <row r="6813" spans="3:3">
      <c r="C6813"/>
    </row>
    <row r="6814" spans="3:3">
      <c r="C6814"/>
    </row>
    <row r="6815" spans="3:3">
      <c r="C6815"/>
    </row>
    <row r="6816" spans="3:3">
      <c r="C6816"/>
    </row>
    <row r="6817" spans="3:3">
      <c r="C6817"/>
    </row>
    <row r="6818" spans="3:3">
      <c r="C6818"/>
    </row>
    <row r="6819" spans="3:3">
      <c r="C6819"/>
    </row>
    <row r="6820" spans="3:3">
      <c r="C6820"/>
    </row>
    <row r="6821" spans="3:3">
      <c r="C6821"/>
    </row>
    <row r="6822" spans="3:3">
      <c r="C6822"/>
    </row>
    <row r="6823" spans="3:3">
      <c r="C6823"/>
    </row>
    <row r="6824" spans="3:3">
      <c r="C6824"/>
    </row>
    <row r="6825" spans="3:3">
      <c r="C6825"/>
    </row>
    <row r="6826" spans="3:3">
      <c r="C6826"/>
    </row>
    <row r="6827" spans="3:3">
      <c r="C6827"/>
    </row>
    <row r="6828" spans="3:3">
      <c r="C6828"/>
    </row>
    <row r="6829" spans="3:3">
      <c r="C6829"/>
    </row>
    <row r="6830" spans="3:3">
      <c r="C6830"/>
    </row>
    <row r="6831" spans="3:3">
      <c r="C6831"/>
    </row>
    <row r="6832" spans="3:3">
      <c r="C6832"/>
    </row>
    <row r="6833" spans="3:3">
      <c r="C6833"/>
    </row>
    <row r="6834" spans="3:3">
      <c r="C6834"/>
    </row>
    <row r="6835" spans="3:3">
      <c r="C6835"/>
    </row>
    <row r="6836" spans="3:3">
      <c r="C6836"/>
    </row>
    <row r="6837" spans="3:3">
      <c r="C6837"/>
    </row>
    <row r="6838" spans="3:3">
      <c r="C6838"/>
    </row>
    <row r="6839" spans="3:3">
      <c r="C6839"/>
    </row>
    <row r="6840" spans="3:3">
      <c r="C6840"/>
    </row>
    <row r="6841" spans="3:3">
      <c r="C6841"/>
    </row>
    <row r="6842" spans="3:3">
      <c r="C6842"/>
    </row>
    <row r="6843" spans="3:3">
      <c r="C6843"/>
    </row>
    <row r="6844" spans="3:3">
      <c r="C6844"/>
    </row>
    <row r="6845" spans="3:3">
      <c r="C6845"/>
    </row>
    <row r="6846" spans="3:3">
      <c r="C6846"/>
    </row>
    <row r="6847" spans="3:3">
      <c r="C6847"/>
    </row>
    <row r="6848" spans="3:3">
      <c r="C6848"/>
    </row>
    <row r="6849" spans="3:3">
      <c r="C6849"/>
    </row>
    <row r="6850" spans="3:3">
      <c r="C6850"/>
    </row>
    <row r="6851" spans="3:3">
      <c r="C6851"/>
    </row>
    <row r="6852" spans="3:3">
      <c r="C6852"/>
    </row>
    <row r="6853" spans="3:3">
      <c r="C6853"/>
    </row>
    <row r="6854" spans="3:3">
      <c r="C6854"/>
    </row>
    <row r="6855" spans="3:3">
      <c r="C6855"/>
    </row>
    <row r="6856" spans="3:3">
      <c r="C6856"/>
    </row>
    <row r="6857" spans="3:3">
      <c r="C6857"/>
    </row>
    <row r="6858" spans="3:3">
      <c r="C6858"/>
    </row>
    <row r="6859" spans="3:3">
      <c r="C6859"/>
    </row>
    <row r="6860" spans="3:3">
      <c r="C6860"/>
    </row>
    <row r="6861" spans="3:3">
      <c r="C6861"/>
    </row>
    <row r="6862" spans="3:3">
      <c r="C6862"/>
    </row>
    <row r="6863" spans="3:3">
      <c r="C6863"/>
    </row>
    <row r="6864" spans="3:3">
      <c r="C6864"/>
    </row>
    <row r="6865" spans="3:3">
      <c r="C6865"/>
    </row>
    <row r="6866" spans="3:3">
      <c r="C6866"/>
    </row>
    <row r="6867" spans="3:3">
      <c r="C6867"/>
    </row>
    <row r="6868" spans="3:3">
      <c r="C6868"/>
    </row>
    <row r="6869" spans="3:3">
      <c r="C6869"/>
    </row>
    <row r="6870" spans="3:3">
      <c r="C6870"/>
    </row>
    <row r="6871" spans="3:3">
      <c r="C6871"/>
    </row>
    <row r="6872" spans="3:3">
      <c r="C6872"/>
    </row>
    <row r="6873" spans="3:3">
      <c r="C6873"/>
    </row>
    <row r="6874" spans="3:3">
      <c r="C6874"/>
    </row>
    <row r="6875" spans="3:3">
      <c r="C6875"/>
    </row>
    <row r="6876" spans="3:3">
      <c r="C6876"/>
    </row>
    <row r="6877" spans="3:3">
      <c r="C6877"/>
    </row>
    <row r="6878" spans="3:3">
      <c r="C6878"/>
    </row>
    <row r="6879" spans="3:3">
      <c r="C6879"/>
    </row>
    <row r="6880" spans="3:3">
      <c r="C6880"/>
    </row>
    <row r="6881" spans="3:3">
      <c r="C6881"/>
    </row>
    <row r="6882" spans="3:3">
      <c r="C6882"/>
    </row>
    <row r="6883" spans="3:3">
      <c r="C6883"/>
    </row>
    <row r="6884" spans="3:3">
      <c r="C6884"/>
    </row>
    <row r="6885" spans="3:3">
      <c r="C6885"/>
    </row>
    <row r="6886" spans="3:3">
      <c r="C6886"/>
    </row>
    <row r="6887" spans="3:3">
      <c r="C6887"/>
    </row>
    <row r="6888" spans="3:3">
      <c r="C6888"/>
    </row>
    <row r="6889" spans="3:3">
      <c r="C6889"/>
    </row>
    <row r="6890" spans="3:3">
      <c r="C6890"/>
    </row>
    <row r="6891" spans="3:3">
      <c r="C6891"/>
    </row>
    <row r="6892" spans="3:3">
      <c r="C6892"/>
    </row>
    <row r="6893" spans="3:3">
      <c r="C6893"/>
    </row>
    <row r="6894" spans="3:3">
      <c r="C6894"/>
    </row>
    <row r="6895" spans="3:3">
      <c r="C6895"/>
    </row>
    <row r="6896" spans="3:3">
      <c r="C6896"/>
    </row>
    <row r="6897" spans="3:3">
      <c r="C6897"/>
    </row>
    <row r="6898" spans="3:3">
      <c r="C6898"/>
    </row>
    <row r="6899" spans="3:3">
      <c r="C6899"/>
    </row>
    <row r="6900" spans="3:3">
      <c r="C6900"/>
    </row>
    <row r="6901" spans="3:3">
      <c r="C6901"/>
    </row>
    <row r="6902" spans="3:3">
      <c r="C6902"/>
    </row>
    <row r="6903" spans="3:3">
      <c r="C6903"/>
    </row>
    <row r="6904" spans="3:3">
      <c r="C6904"/>
    </row>
    <row r="6905" spans="3:3">
      <c r="C6905"/>
    </row>
    <row r="6906" spans="3:3">
      <c r="C6906"/>
    </row>
    <row r="6907" spans="3:3">
      <c r="C6907"/>
    </row>
    <row r="6908" spans="3:3">
      <c r="C6908"/>
    </row>
    <row r="6909" spans="3:3">
      <c r="C6909"/>
    </row>
    <row r="6910" spans="3:3">
      <c r="C6910"/>
    </row>
    <row r="6911" spans="3:3">
      <c r="C6911"/>
    </row>
    <row r="6912" spans="3:3">
      <c r="C6912"/>
    </row>
    <row r="6913" spans="3:3">
      <c r="C6913"/>
    </row>
    <row r="6914" spans="3:3">
      <c r="C6914"/>
    </row>
    <row r="6915" spans="3:3">
      <c r="C6915"/>
    </row>
    <row r="6916" spans="3:3">
      <c r="C6916"/>
    </row>
    <row r="6917" spans="3:3">
      <c r="C6917"/>
    </row>
    <row r="6918" spans="3:3">
      <c r="C6918"/>
    </row>
    <row r="6919" spans="3:3">
      <c r="C6919"/>
    </row>
    <row r="6920" spans="3:3">
      <c r="C6920"/>
    </row>
    <row r="6921" spans="3:3">
      <c r="C6921"/>
    </row>
    <row r="6922" spans="3:3">
      <c r="C6922"/>
    </row>
    <row r="6923" spans="3:3">
      <c r="C6923"/>
    </row>
    <row r="6924" spans="3:3">
      <c r="C6924"/>
    </row>
    <row r="6925" spans="3:3">
      <c r="C6925"/>
    </row>
    <row r="6926" spans="3:3">
      <c r="C6926"/>
    </row>
    <row r="6927" spans="3:3">
      <c r="C6927"/>
    </row>
    <row r="6928" spans="3:3">
      <c r="C6928"/>
    </row>
    <row r="6929" spans="3:3">
      <c r="C6929"/>
    </row>
    <row r="6930" spans="3:3">
      <c r="C6930"/>
    </row>
    <row r="6931" spans="3:3">
      <c r="C6931"/>
    </row>
    <row r="6932" spans="3:3">
      <c r="C6932"/>
    </row>
    <row r="6933" spans="3:3">
      <c r="C6933"/>
    </row>
    <row r="6934" spans="3:3">
      <c r="C6934"/>
    </row>
    <row r="6935" spans="3:3">
      <c r="C6935"/>
    </row>
    <row r="6936" spans="3:3">
      <c r="C6936"/>
    </row>
    <row r="6937" spans="3:3">
      <c r="C6937"/>
    </row>
    <row r="6938" spans="3:3">
      <c r="C6938"/>
    </row>
    <row r="6939" spans="3:3">
      <c r="C6939"/>
    </row>
    <row r="6940" spans="3:3">
      <c r="C6940"/>
    </row>
    <row r="6941" spans="3:3">
      <c r="C6941"/>
    </row>
    <row r="6942" spans="3:3">
      <c r="C6942"/>
    </row>
    <row r="6943" spans="3:3">
      <c r="C6943"/>
    </row>
    <row r="6944" spans="3:3">
      <c r="C6944"/>
    </row>
    <row r="6945" spans="3:3">
      <c r="C6945"/>
    </row>
    <row r="6946" spans="3:3">
      <c r="C6946"/>
    </row>
    <row r="6947" spans="3:3">
      <c r="C6947"/>
    </row>
    <row r="6948" spans="3:3">
      <c r="C6948"/>
    </row>
    <row r="6949" spans="3:3">
      <c r="C6949"/>
    </row>
    <row r="6950" spans="3:3">
      <c r="C6950"/>
    </row>
    <row r="6951" spans="3:3">
      <c r="C6951"/>
    </row>
    <row r="6952" spans="3:3">
      <c r="C6952"/>
    </row>
    <row r="6953" spans="3:3">
      <c r="C6953"/>
    </row>
    <row r="6954" spans="3:3">
      <c r="C6954"/>
    </row>
    <row r="6955" spans="3:3">
      <c r="C6955"/>
    </row>
    <row r="6956" spans="3:3">
      <c r="C6956"/>
    </row>
    <row r="6957" spans="3:3">
      <c r="C6957"/>
    </row>
    <row r="6958" spans="3:3">
      <c r="C6958"/>
    </row>
    <row r="6959" spans="3:3">
      <c r="C6959"/>
    </row>
    <row r="6960" spans="3:3">
      <c r="C6960"/>
    </row>
    <row r="6961" spans="3:3">
      <c r="C6961"/>
    </row>
    <row r="6962" spans="3:3">
      <c r="C6962"/>
    </row>
    <row r="6963" spans="3:3">
      <c r="C6963"/>
    </row>
    <row r="6964" spans="3:3">
      <c r="C6964"/>
    </row>
    <row r="6965" spans="3:3">
      <c r="C6965"/>
    </row>
    <row r="6966" spans="3:3">
      <c r="C6966"/>
    </row>
    <row r="6967" spans="3:3">
      <c r="C6967"/>
    </row>
    <row r="6968" spans="3:3">
      <c r="C6968"/>
    </row>
    <row r="6969" spans="3:3">
      <c r="C6969"/>
    </row>
    <row r="6970" spans="3:3">
      <c r="C6970"/>
    </row>
    <row r="6971" spans="3:3">
      <c r="C6971"/>
    </row>
    <row r="6972" spans="3:3">
      <c r="C6972"/>
    </row>
    <row r="6973" spans="3:3">
      <c r="C6973"/>
    </row>
    <row r="6974" spans="3:3">
      <c r="C6974"/>
    </row>
    <row r="6975" spans="3:3">
      <c r="C6975"/>
    </row>
    <row r="6976" spans="3:3">
      <c r="C6976"/>
    </row>
    <row r="6977" spans="3:3">
      <c r="C6977"/>
    </row>
    <row r="6978" spans="3:3">
      <c r="C6978"/>
    </row>
    <row r="6979" spans="3:3">
      <c r="C6979"/>
    </row>
    <row r="6980" spans="3:3">
      <c r="C6980"/>
    </row>
    <row r="6981" spans="3:3">
      <c r="C6981"/>
    </row>
    <row r="6982" spans="3:3">
      <c r="C6982"/>
    </row>
    <row r="6983" spans="3:3">
      <c r="C6983"/>
    </row>
    <row r="6984" spans="3:3">
      <c r="C6984"/>
    </row>
    <row r="6985" spans="3:3">
      <c r="C6985"/>
    </row>
    <row r="6986" spans="3:3">
      <c r="C6986"/>
    </row>
    <row r="6987" spans="3:3">
      <c r="C6987"/>
    </row>
    <row r="6988" spans="3:3">
      <c r="C6988"/>
    </row>
    <row r="6989" spans="3:3">
      <c r="C6989"/>
    </row>
    <row r="6990" spans="3:3">
      <c r="C6990"/>
    </row>
    <row r="6991" spans="3:3">
      <c r="C6991"/>
    </row>
    <row r="6992" spans="3:3">
      <c r="C6992"/>
    </row>
    <row r="6993" spans="3:3">
      <c r="C6993"/>
    </row>
    <row r="6994" spans="3:3">
      <c r="C6994"/>
    </row>
    <row r="6995" spans="3:3">
      <c r="C6995"/>
    </row>
    <row r="6996" spans="3:3">
      <c r="C6996"/>
    </row>
    <row r="6997" spans="3:3">
      <c r="C6997"/>
    </row>
    <row r="6998" spans="3:3">
      <c r="C6998"/>
    </row>
    <row r="6999" spans="3:3">
      <c r="C6999"/>
    </row>
    <row r="7000" spans="3:3">
      <c r="C7000"/>
    </row>
    <row r="7001" spans="3:3">
      <c r="C7001"/>
    </row>
    <row r="7002" spans="3:3">
      <c r="C7002"/>
    </row>
    <row r="7003" spans="3:3">
      <c r="C7003"/>
    </row>
    <row r="7004" spans="3:3">
      <c r="C7004"/>
    </row>
    <row r="7005" spans="3:3">
      <c r="C7005"/>
    </row>
    <row r="7006" spans="3:3">
      <c r="C7006"/>
    </row>
    <row r="7007" spans="3:3">
      <c r="C7007"/>
    </row>
    <row r="7008" spans="3:3">
      <c r="C7008"/>
    </row>
    <row r="7009" spans="3:3">
      <c r="C7009"/>
    </row>
    <row r="7010" spans="3:3">
      <c r="C7010"/>
    </row>
    <row r="7011" spans="3:3">
      <c r="C7011"/>
    </row>
    <row r="7012" spans="3:3">
      <c r="C7012"/>
    </row>
    <row r="7013" spans="3:3">
      <c r="C7013"/>
    </row>
    <row r="7014" spans="3:3">
      <c r="C7014"/>
    </row>
    <row r="7015" spans="3:3">
      <c r="C7015"/>
    </row>
    <row r="7016" spans="3:3">
      <c r="C7016"/>
    </row>
    <row r="7017" spans="3:3">
      <c r="C7017"/>
    </row>
    <row r="7018" spans="3:3">
      <c r="C7018"/>
    </row>
    <row r="7019" spans="3:3">
      <c r="C7019"/>
    </row>
    <row r="7020" spans="3:3">
      <c r="C7020"/>
    </row>
    <row r="7021" spans="3:3">
      <c r="C7021"/>
    </row>
    <row r="7022" spans="3:3">
      <c r="C7022"/>
    </row>
    <row r="7023" spans="3:3">
      <c r="C7023"/>
    </row>
    <row r="7024" spans="3:3">
      <c r="C7024"/>
    </row>
    <row r="7025" spans="3:3">
      <c r="C7025"/>
    </row>
    <row r="7026" spans="3:3">
      <c r="C7026"/>
    </row>
    <row r="7027" spans="3:3">
      <c r="C7027"/>
    </row>
    <row r="7028" spans="3:3">
      <c r="C7028"/>
    </row>
    <row r="7029" spans="3:3">
      <c r="C7029"/>
    </row>
    <row r="7030" spans="3:3">
      <c r="C7030"/>
    </row>
    <row r="7031" spans="3:3">
      <c r="C7031"/>
    </row>
    <row r="7032" spans="3:3">
      <c r="C7032"/>
    </row>
    <row r="7033" spans="3:3">
      <c r="C7033"/>
    </row>
    <row r="7034" spans="3:3">
      <c r="C7034"/>
    </row>
    <row r="7035" spans="3:3">
      <c r="C7035"/>
    </row>
    <row r="7036" spans="3:3">
      <c r="C7036"/>
    </row>
    <row r="7037" spans="3:3">
      <c r="C7037"/>
    </row>
    <row r="7038" spans="3:3">
      <c r="C7038"/>
    </row>
    <row r="7039" spans="3:3">
      <c r="C7039"/>
    </row>
    <row r="7040" spans="3:3">
      <c r="C7040"/>
    </row>
    <row r="7041" spans="3:3">
      <c r="C7041"/>
    </row>
    <row r="7042" spans="3:3">
      <c r="C7042"/>
    </row>
    <row r="7043" spans="3:3">
      <c r="C7043"/>
    </row>
    <row r="7044" spans="3:3">
      <c r="C7044"/>
    </row>
    <row r="7045" spans="3:3">
      <c r="C7045"/>
    </row>
    <row r="7046" spans="3:3">
      <c r="C7046"/>
    </row>
    <row r="7047" spans="3:3">
      <c r="C7047"/>
    </row>
    <row r="7048" spans="3:3">
      <c r="C7048"/>
    </row>
    <row r="7049" spans="3:3">
      <c r="C7049"/>
    </row>
    <row r="7050" spans="3:3">
      <c r="C7050"/>
    </row>
    <row r="7051" spans="3:3">
      <c r="C7051"/>
    </row>
    <row r="7052" spans="3:3">
      <c r="C7052"/>
    </row>
    <row r="7053" spans="3:3">
      <c r="C7053"/>
    </row>
    <row r="7054" spans="3:3">
      <c r="C7054"/>
    </row>
    <row r="7055" spans="3:3">
      <c r="C7055"/>
    </row>
    <row r="7056" spans="3:3">
      <c r="C7056"/>
    </row>
    <row r="7057" spans="3:3">
      <c r="C7057"/>
    </row>
    <row r="7058" spans="3:3">
      <c r="C7058"/>
    </row>
    <row r="7059" spans="3:3">
      <c r="C7059"/>
    </row>
    <row r="7060" spans="3:3">
      <c r="C7060"/>
    </row>
    <row r="7061" spans="3:3">
      <c r="C7061"/>
    </row>
    <row r="7062" spans="3:3">
      <c r="C7062"/>
    </row>
    <row r="7063" spans="3:3">
      <c r="C7063"/>
    </row>
    <row r="7064" spans="3:3">
      <c r="C7064"/>
    </row>
    <row r="7065" spans="3:3">
      <c r="C7065"/>
    </row>
    <row r="7066" spans="3:3">
      <c r="C7066"/>
    </row>
    <row r="7067" spans="3:3">
      <c r="C7067"/>
    </row>
    <row r="7068" spans="3:3">
      <c r="C7068"/>
    </row>
    <row r="7069" spans="3:3">
      <c r="C7069"/>
    </row>
    <row r="7070" spans="3:3">
      <c r="C7070"/>
    </row>
    <row r="7071" spans="3:3">
      <c r="C7071"/>
    </row>
    <row r="7072" spans="3:3">
      <c r="C7072"/>
    </row>
    <row r="7073" spans="3:3">
      <c r="C7073"/>
    </row>
    <row r="7074" spans="3:3">
      <c r="C7074"/>
    </row>
    <row r="7075" spans="3:3">
      <c r="C7075"/>
    </row>
    <row r="7076" spans="3:3">
      <c r="C7076"/>
    </row>
    <row r="7077" spans="3:3">
      <c r="C7077"/>
    </row>
    <row r="7078" spans="3:3">
      <c r="C7078"/>
    </row>
    <row r="7079" spans="3:3">
      <c r="C7079"/>
    </row>
    <row r="7080" spans="3:3">
      <c r="C7080"/>
    </row>
    <row r="7081" spans="3:3">
      <c r="C7081"/>
    </row>
    <row r="7082" spans="3:3">
      <c r="C7082"/>
    </row>
    <row r="7083" spans="3:3">
      <c r="C7083"/>
    </row>
    <row r="7084" spans="3:3">
      <c r="C7084"/>
    </row>
    <row r="7085" spans="3:3">
      <c r="C7085"/>
    </row>
    <row r="7086" spans="3:3">
      <c r="C7086"/>
    </row>
    <row r="7087" spans="3:3">
      <c r="C7087"/>
    </row>
    <row r="7088" spans="3:3">
      <c r="C7088"/>
    </row>
    <row r="7089" spans="3:3">
      <c r="C7089"/>
    </row>
    <row r="7090" spans="3:3">
      <c r="C7090"/>
    </row>
    <row r="7091" spans="3:3">
      <c r="C7091"/>
    </row>
    <row r="7092" spans="3:3">
      <c r="C7092"/>
    </row>
    <row r="7093" spans="3:3">
      <c r="C7093"/>
    </row>
    <row r="7094" spans="3:3">
      <c r="C7094"/>
    </row>
    <row r="7095" spans="3:3">
      <c r="C7095"/>
    </row>
    <row r="7096" spans="3:3">
      <c r="C7096"/>
    </row>
    <row r="7097" spans="3:3">
      <c r="C7097"/>
    </row>
    <row r="7098" spans="3:3">
      <c r="C7098"/>
    </row>
    <row r="7099" spans="3:3">
      <c r="C7099"/>
    </row>
    <row r="7100" spans="3:3">
      <c r="C7100"/>
    </row>
    <row r="7101" spans="3:3">
      <c r="C7101"/>
    </row>
    <row r="7102" spans="3:3">
      <c r="C7102"/>
    </row>
    <row r="7103" spans="3:3">
      <c r="C7103"/>
    </row>
    <row r="7104" spans="3:3">
      <c r="C7104"/>
    </row>
    <row r="7105" spans="3:3">
      <c r="C7105"/>
    </row>
    <row r="7106" spans="3:3">
      <c r="C7106"/>
    </row>
    <row r="7107" spans="3:3">
      <c r="C7107"/>
    </row>
    <row r="7108" spans="3:3">
      <c r="C7108"/>
    </row>
    <row r="7109" spans="3:3">
      <c r="C7109"/>
    </row>
    <row r="7110" spans="3:3">
      <c r="C7110"/>
    </row>
    <row r="7111" spans="3:3">
      <c r="C7111"/>
    </row>
    <row r="7112" spans="3:3">
      <c r="C7112"/>
    </row>
    <row r="7113" spans="3:3">
      <c r="C7113"/>
    </row>
    <row r="7114" spans="3:3">
      <c r="C7114"/>
    </row>
    <row r="7115" spans="3:3">
      <c r="C7115"/>
    </row>
    <row r="7116" spans="3:3">
      <c r="C7116"/>
    </row>
    <row r="7117" spans="3:3">
      <c r="C7117"/>
    </row>
    <row r="7118" spans="3:3">
      <c r="C7118"/>
    </row>
    <row r="7119" spans="3:3">
      <c r="C7119"/>
    </row>
    <row r="7120" spans="3:3">
      <c r="C7120"/>
    </row>
    <row r="7121" spans="3:3">
      <c r="C7121"/>
    </row>
    <row r="7122" spans="3:3">
      <c r="C7122"/>
    </row>
    <row r="7123" spans="3:3">
      <c r="C7123"/>
    </row>
    <row r="7124" spans="3:3">
      <c r="C7124"/>
    </row>
    <row r="7125" spans="3:3">
      <c r="C7125"/>
    </row>
    <row r="7126" spans="3:3">
      <c r="C7126"/>
    </row>
    <row r="7127" spans="3:3">
      <c r="C7127"/>
    </row>
    <row r="7128" spans="3:3">
      <c r="C7128"/>
    </row>
    <row r="7129" spans="3:3">
      <c r="C7129"/>
    </row>
    <row r="7130" spans="3:3">
      <c r="C7130"/>
    </row>
    <row r="7131" spans="3:3">
      <c r="C7131"/>
    </row>
    <row r="7132" spans="3:3">
      <c r="C7132"/>
    </row>
    <row r="7133" spans="3:3">
      <c r="C7133"/>
    </row>
    <row r="7134" spans="3:3">
      <c r="C7134"/>
    </row>
    <row r="7135" spans="3:3">
      <c r="C7135"/>
    </row>
    <row r="7136" spans="3:3">
      <c r="C7136"/>
    </row>
    <row r="7137" spans="3:3">
      <c r="C7137"/>
    </row>
    <row r="7138" spans="3:3">
      <c r="C7138"/>
    </row>
    <row r="7139" spans="3:3">
      <c r="C7139"/>
    </row>
    <row r="7140" spans="3:3">
      <c r="C7140"/>
    </row>
    <row r="7141" spans="3:3">
      <c r="C7141"/>
    </row>
    <row r="7142" spans="3:3">
      <c r="C7142"/>
    </row>
    <row r="7143" spans="3:3">
      <c r="C7143"/>
    </row>
    <row r="7144" spans="3:3">
      <c r="C7144"/>
    </row>
    <row r="7145" spans="3:3">
      <c r="C7145"/>
    </row>
    <row r="7146" spans="3:3">
      <c r="C7146"/>
    </row>
    <row r="7147" spans="3:3">
      <c r="C7147"/>
    </row>
    <row r="7148" spans="3:3">
      <c r="C7148"/>
    </row>
    <row r="7149" spans="3:3">
      <c r="C7149"/>
    </row>
    <row r="7150" spans="3:3">
      <c r="C7150"/>
    </row>
    <row r="7151" spans="3:3">
      <c r="C7151"/>
    </row>
    <row r="7152" spans="3:3">
      <c r="C7152"/>
    </row>
    <row r="7153" spans="3:3">
      <c r="C7153"/>
    </row>
    <row r="7154" spans="3:3">
      <c r="C7154"/>
    </row>
    <row r="7155" spans="3:3">
      <c r="C7155"/>
    </row>
    <row r="7156" spans="3:3">
      <c r="C7156"/>
    </row>
    <row r="7157" spans="3:3">
      <c r="C7157"/>
    </row>
    <row r="7158" spans="3:3">
      <c r="C7158"/>
    </row>
    <row r="7159" spans="3:3">
      <c r="C7159"/>
    </row>
    <row r="7160" spans="3:3">
      <c r="C7160"/>
    </row>
    <row r="7161" spans="3:3">
      <c r="C7161"/>
    </row>
    <row r="7162" spans="3:3">
      <c r="C7162"/>
    </row>
    <row r="7163" spans="3:3">
      <c r="C7163"/>
    </row>
    <row r="7164" spans="3:3">
      <c r="C7164"/>
    </row>
    <row r="7165" spans="3:3">
      <c r="C7165"/>
    </row>
    <row r="7166" spans="3:3">
      <c r="C7166"/>
    </row>
    <row r="7167" spans="3:3">
      <c r="C7167"/>
    </row>
    <row r="7168" spans="3:3">
      <c r="C7168"/>
    </row>
    <row r="7169" spans="3:3">
      <c r="C7169"/>
    </row>
    <row r="7170" spans="3:3">
      <c r="C7170"/>
    </row>
    <row r="7171" spans="3:3">
      <c r="C7171"/>
    </row>
    <row r="7172" spans="3:3">
      <c r="C7172"/>
    </row>
    <row r="7173" spans="3:3">
      <c r="C7173"/>
    </row>
    <row r="7174" spans="3:3">
      <c r="C7174"/>
    </row>
    <row r="7175" spans="3:3">
      <c r="C7175"/>
    </row>
    <row r="7176" spans="3:3">
      <c r="C7176"/>
    </row>
    <row r="7177" spans="3:3">
      <c r="C7177"/>
    </row>
    <row r="7178" spans="3:3">
      <c r="C7178"/>
    </row>
    <row r="7179" spans="3:3">
      <c r="C7179"/>
    </row>
    <row r="7180" spans="3:3">
      <c r="C7180"/>
    </row>
    <row r="7181" spans="3:3">
      <c r="C7181"/>
    </row>
    <row r="7182" spans="3:3">
      <c r="C7182"/>
    </row>
    <row r="7183" spans="3:3">
      <c r="C7183"/>
    </row>
    <row r="7184" spans="3:3">
      <c r="C7184"/>
    </row>
    <row r="7185" spans="3:3">
      <c r="C7185"/>
    </row>
    <row r="7186" spans="3:3">
      <c r="C7186"/>
    </row>
    <row r="7187" spans="3:3">
      <c r="C7187"/>
    </row>
    <row r="7188" spans="3:3">
      <c r="C7188"/>
    </row>
    <row r="7189" spans="3:3">
      <c r="C7189"/>
    </row>
    <row r="7190" spans="3:3">
      <c r="C7190"/>
    </row>
    <row r="7191" spans="3:3">
      <c r="C7191"/>
    </row>
    <row r="7192" spans="3:3">
      <c r="C7192"/>
    </row>
    <row r="7193" spans="3:3">
      <c r="C7193"/>
    </row>
    <row r="7194" spans="3:3">
      <c r="C7194"/>
    </row>
    <row r="7195" spans="3:3">
      <c r="C7195"/>
    </row>
    <row r="7196" spans="3:3">
      <c r="C7196"/>
    </row>
    <row r="7197" spans="3:3">
      <c r="C7197"/>
    </row>
    <row r="7198" spans="3:3">
      <c r="C7198"/>
    </row>
    <row r="7199" spans="3:3">
      <c r="C7199"/>
    </row>
    <row r="7200" spans="3:3">
      <c r="C7200"/>
    </row>
    <row r="7201" spans="3:3">
      <c r="C7201"/>
    </row>
    <row r="7202" spans="3:3">
      <c r="C7202"/>
    </row>
    <row r="7203" spans="3:3">
      <c r="C7203"/>
    </row>
    <row r="7204" spans="3:3">
      <c r="C7204"/>
    </row>
    <row r="7205" spans="3:3">
      <c r="C7205"/>
    </row>
    <row r="7206" spans="3:3">
      <c r="C7206"/>
    </row>
    <row r="7207" spans="3:3">
      <c r="C7207"/>
    </row>
    <row r="7208" spans="3:3">
      <c r="C7208"/>
    </row>
    <row r="7209" spans="3:3">
      <c r="C7209"/>
    </row>
    <row r="7210" spans="3:3">
      <c r="C7210"/>
    </row>
    <row r="7211" spans="3:3">
      <c r="C7211"/>
    </row>
    <row r="7212" spans="3:3">
      <c r="C7212"/>
    </row>
    <row r="7213" spans="3:3">
      <c r="C7213"/>
    </row>
    <row r="7214" spans="3:3">
      <c r="C7214"/>
    </row>
    <row r="7215" spans="3:3">
      <c r="C7215"/>
    </row>
    <row r="7216" spans="3:3">
      <c r="C7216"/>
    </row>
    <row r="7217" spans="3:3">
      <c r="C7217"/>
    </row>
    <row r="7218" spans="3:3">
      <c r="C7218"/>
    </row>
    <row r="7219" spans="3:3">
      <c r="C7219"/>
    </row>
    <row r="7220" spans="3:3">
      <c r="C7220"/>
    </row>
    <row r="7221" spans="3:3">
      <c r="C7221"/>
    </row>
    <row r="7222" spans="3:3">
      <c r="C7222"/>
    </row>
    <row r="7223" spans="3:3">
      <c r="C7223"/>
    </row>
    <row r="7224" spans="3:3">
      <c r="C7224"/>
    </row>
    <row r="7225" spans="3:3">
      <c r="C7225"/>
    </row>
    <row r="7226" spans="3:3">
      <c r="C7226"/>
    </row>
    <row r="7227" spans="3:3">
      <c r="C7227"/>
    </row>
    <row r="7228" spans="3:3">
      <c r="C7228"/>
    </row>
    <row r="7229" spans="3:3">
      <c r="C7229"/>
    </row>
    <row r="7230" spans="3:3">
      <c r="C7230"/>
    </row>
    <row r="7231" spans="3:3">
      <c r="C7231"/>
    </row>
    <row r="7232" spans="3:3">
      <c r="C7232"/>
    </row>
    <row r="7233" spans="3:3">
      <c r="C7233"/>
    </row>
    <row r="7234" spans="3:3">
      <c r="C7234"/>
    </row>
    <row r="7235" spans="3:3">
      <c r="C7235"/>
    </row>
    <row r="7236" spans="3:3">
      <c r="C7236"/>
    </row>
    <row r="7237" spans="3:3">
      <c r="C7237"/>
    </row>
    <row r="7238" spans="3:3">
      <c r="C7238"/>
    </row>
    <row r="7239" spans="3:3">
      <c r="C7239"/>
    </row>
    <row r="7240" spans="3:3">
      <c r="C7240"/>
    </row>
    <row r="7241" spans="3:3">
      <c r="C7241"/>
    </row>
    <row r="7242" spans="3:3">
      <c r="C7242"/>
    </row>
    <row r="7243" spans="3:3">
      <c r="C7243"/>
    </row>
    <row r="7244" spans="3:3">
      <c r="C7244"/>
    </row>
    <row r="7245" spans="3:3">
      <c r="C7245"/>
    </row>
    <row r="7246" spans="3:3">
      <c r="C7246"/>
    </row>
    <row r="7247" spans="3:3">
      <c r="C7247"/>
    </row>
    <row r="7248" spans="3:3">
      <c r="C7248"/>
    </row>
    <row r="7249" spans="3:3">
      <c r="C7249"/>
    </row>
    <row r="7250" spans="3:3">
      <c r="C7250"/>
    </row>
    <row r="7251" spans="3:3">
      <c r="C7251"/>
    </row>
    <row r="7252" spans="3:3">
      <c r="C7252"/>
    </row>
    <row r="7253" spans="3:3">
      <c r="C7253"/>
    </row>
    <row r="7254" spans="3:3">
      <c r="C7254"/>
    </row>
    <row r="7255" spans="3:3">
      <c r="C7255"/>
    </row>
    <row r="7256" spans="3:3">
      <c r="C7256"/>
    </row>
    <row r="7257" spans="3:3">
      <c r="C7257"/>
    </row>
    <row r="7258" spans="3:3">
      <c r="C7258"/>
    </row>
    <row r="7259" spans="3:3">
      <c r="C7259"/>
    </row>
    <row r="7260" spans="3:3">
      <c r="C7260"/>
    </row>
    <row r="7261" spans="3:3">
      <c r="C7261"/>
    </row>
    <row r="7262" spans="3:3">
      <c r="C7262"/>
    </row>
    <row r="7263" spans="3:3">
      <c r="C7263"/>
    </row>
    <row r="7264" spans="3:3">
      <c r="C7264"/>
    </row>
    <row r="7265" spans="3:3">
      <c r="C7265"/>
    </row>
    <row r="7266" spans="3:3">
      <c r="C7266"/>
    </row>
    <row r="7267" spans="3:3">
      <c r="C7267"/>
    </row>
    <row r="7268" spans="3:3">
      <c r="C7268"/>
    </row>
    <row r="7269" spans="3:3">
      <c r="C7269"/>
    </row>
    <row r="7270" spans="3:3">
      <c r="C7270"/>
    </row>
    <row r="7271" spans="3:3">
      <c r="C7271"/>
    </row>
    <row r="7272" spans="3:3">
      <c r="C7272"/>
    </row>
    <row r="7273" spans="3:3">
      <c r="C7273"/>
    </row>
    <row r="7274" spans="3:3">
      <c r="C7274"/>
    </row>
    <row r="7275" spans="3:3">
      <c r="C7275"/>
    </row>
    <row r="7276" spans="3:3">
      <c r="C7276"/>
    </row>
    <row r="7277" spans="3:3">
      <c r="C7277"/>
    </row>
    <row r="7278" spans="3:3">
      <c r="C7278"/>
    </row>
    <row r="7279" spans="3:3">
      <c r="C7279"/>
    </row>
    <row r="7280" spans="3:3">
      <c r="C7280"/>
    </row>
    <row r="7281" spans="3:3">
      <c r="C7281"/>
    </row>
    <row r="7282" spans="3:3">
      <c r="C7282"/>
    </row>
    <row r="7283" spans="3:3">
      <c r="C7283"/>
    </row>
    <row r="7284" spans="3:3">
      <c r="C7284"/>
    </row>
    <row r="7285" spans="3:3">
      <c r="C7285"/>
    </row>
    <row r="7286" spans="3:3">
      <c r="C7286"/>
    </row>
    <row r="7287" spans="3:3">
      <c r="C7287"/>
    </row>
    <row r="7288" spans="3:3">
      <c r="C7288"/>
    </row>
    <row r="7289" spans="3:3">
      <c r="C7289"/>
    </row>
    <row r="7290" spans="3:3">
      <c r="C7290"/>
    </row>
    <row r="7291" spans="3:3">
      <c r="C7291"/>
    </row>
    <row r="7292" spans="3:3">
      <c r="C7292"/>
    </row>
    <row r="7293" spans="3:3">
      <c r="C7293"/>
    </row>
    <row r="7294" spans="3:3">
      <c r="C7294"/>
    </row>
    <row r="7295" spans="3:3">
      <c r="C7295"/>
    </row>
    <row r="7296" spans="3:3">
      <c r="C7296"/>
    </row>
    <row r="7297" spans="3:3">
      <c r="C7297"/>
    </row>
    <row r="7298" spans="3:3">
      <c r="C7298"/>
    </row>
    <row r="7299" spans="3:3">
      <c r="C7299"/>
    </row>
    <row r="7300" spans="3:3">
      <c r="C7300"/>
    </row>
    <row r="7301" spans="3:3">
      <c r="C7301"/>
    </row>
    <row r="7302" spans="3:3">
      <c r="C7302"/>
    </row>
    <row r="7303" spans="3:3">
      <c r="C7303"/>
    </row>
    <row r="7304" spans="3:3">
      <c r="C7304"/>
    </row>
    <row r="7305" spans="3:3">
      <c r="C7305"/>
    </row>
    <row r="7306" spans="3:3">
      <c r="C7306"/>
    </row>
    <row r="7307" spans="3:3">
      <c r="C7307"/>
    </row>
    <row r="7308" spans="3:3">
      <c r="C7308"/>
    </row>
    <row r="7309" spans="3:3">
      <c r="C7309"/>
    </row>
    <row r="7310" spans="3:3">
      <c r="C7310"/>
    </row>
    <row r="7311" spans="3:3">
      <c r="C7311"/>
    </row>
    <row r="7312" spans="3:3">
      <c r="C7312"/>
    </row>
    <row r="7313" spans="3:3">
      <c r="C7313"/>
    </row>
    <row r="7314" spans="3:3">
      <c r="C7314"/>
    </row>
    <row r="7315" spans="3:3">
      <c r="C7315"/>
    </row>
    <row r="7316" spans="3:3">
      <c r="C7316"/>
    </row>
    <row r="7317" spans="3:3">
      <c r="C7317"/>
    </row>
    <row r="7318" spans="3:3">
      <c r="C7318"/>
    </row>
    <row r="7319" spans="3:3">
      <c r="C7319"/>
    </row>
    <row r="7320" spans="3:3">
      <c r="C7320"/>
    </row>
    <row r="7321" spans="3:3">
      <c r="C7321"/>
    </row>
    <row r="7322" spans="3:3">
      <c r="C7322"/>
    </row>
    <row r="7323" spans="3:3">
      <c r="C7323"/>
    </row>
    <row r="7324" spans="3:3">
      <c r="C7324"/>
    </row>
    <row r="7325" spans="3:3">
      <c r="C7325"/>
    </row>
    <row r="7326" spans="3:3">
      <c r="C7326"/>
    </row>
    <row r="7327" spans="3:3">
      <c r="C7327"/>
    </row>
    <row r="7328" spans="3:3">
      <c r="C7328"/>
    </row>
    <row r="7329" spans="3:3">
      <c r="C7329"/>
    </row>
    <row r="7330" spans="3:3">
      <c r="C7330"/>
    </row>
    <row r="7331" spans="3:3">
      <c r="C7331"/>
    </row>
    <row r="7332" spans="3:3">
      <c r="C7332"/>
    </row>
    <row r="7333" spans="3:3">
      <c r="C7333"/>
    </row>
    <row r="7334" spans="3:3">
      <c r="C7334"/>
    </row>
    <row r="7335" spans="3:3">
      <c r="C7335"/>
    </row>
    <row r="7336" spans="3:3">
      <c r="C7336"/>
    </row>
    <row r="7337" spans="3:3">
      <c r="C7337"/>
    </row>
    <row r="7338" spans="3:3">
      <c r="C7338"/>
    </row>
    <row r="7339" spans="3:3">
      <c r="C7339"/>
    </row>
    <row r="7340" spans="3:3">
      <c r="C7340"/>
    </row>
    <row r="7341" spans="3:3">
      <c r="C7341"/>
    </row>
    <row r="7342" spans="3:3">
      <c r="C7342"/>
    </row>
    <row r="7343" spans="3:3">
      <c r="C7343"/>
    </row>
    <row r="7344" spans="3:3">
      <c r="C7344"/>
    </row>
    <row r="7345" spans="3:3">
      <c r="C7345"/>
    </row>
    <row r="7346" spans="3:3">
      <c r="C7346"/>
    </row>
    <row r="7347" spans="3:3">
      <c r="C7347"/>
    </row>
    <row r="7348" spans="3:3">
      <c r="C7348"/>
    </row>
    <row r="7349" spans="3:3">
      <c r="C7349"/>
    </row>
    <row r="7350" spans="3:3">
      <c r="C7350"/>
    </row>
    <row r="7351" spans="3:3">
      <c r="C7351"/>
    </row>
    <row r="7352" spans="3:3">
      <c r="C7352"/>
    </row>
    <row r="7353" spans="3:3">
      <c r="C7353"/>
    </row>
    <row r="7354" spans="3:3">
      <c r="C7354"/>
    </row>
    <row r="7355" spans="3:3">
      <c r="C7355"/>
    </row>
    <row r="7356" spans="3:3">
      <c r="C7356"/>
    </row>
    <row r="7357" spans="3:3">
      <c r="C7357"/>
    </row>
    <row r="7358" spans="3:3">
      <c r="C7358"/>
    </row>
    <row r="7359" spans="3:3">
      <c r="C7359"/>
    </row>
    <row r="7360" spans="3:3">
      <c r="C7360"/>
    </row>
    <row r="7361" spans="3:3">
      <c r="C7361"/>
    </row>
    <row r="7362" spans="3:3">
      <c r="C7362"/>
    </row>
    <row r="7363" spans="3:3">
      <c r="C7363"/>
    </row>
    <row r="7364" spans="3:3">
      <c r="C7364"/>
    </row>
    <row r="7365" spans="3:3">
      <c r="C7365"/>
    </row>
    <row r="7366" spans="3:3">
      <c r="C7366"/>
    </row>
    <row r="7367" spans="3:3">
      <c r="C7367"/>
    </row>
    <row r="7368" spans="3:3">
      <c r="C7368"/>
    </row>
    <row r="7369" spans="3:3">
      <c r="C7369"/>
    </row>
    <row r="7370" spans="3:3">
      <c r="C7370"/>
    </row>
    <row r="7371" spans="3:3">
      <c r="C7371"/>
    </row>
    <row r="7372" spans="3:3">
      <c r="C7372"/>
    </row>
    <row r="7373" spans="3:3">
      <c r="C7373"/>
    </row>
    <row r="7374" spans="3:3">
      <c r="C7374"/>
    </row>
    <row r="7375" spans="3:3">
      <c r="C7375"/>
    </row>
    <row r="7376" spans="3:3">
      <c r="C7376"/>
    </row>
    <row r="7377" spans="3:3">
      <c r="C7377"/>
    </row>
    <row r="7378" spans="3:3">
      <c r="C7378"/>
    </row>
    <row r="7379" spans="3:3">
      <c r="C7379"/>
    </row>
    <row r="7380" spans="3:3">
      <c r="C7380"/>
    </row>
    <row r="7381" spans="3:3">
      <c r="C7381"/>
    </row>
    <row r="7382" spans="3:3">
      <c r="C7382"/>
    </row>
    <row r="7383" spans="3:3">
      <c r="C7383"/>
    </row>
    <row r="7384" spans="3:3">
      <c r="C7384"/>
    </row>
    <row r="7385" spans="3:3">
      <c r="C7385"/>
    </row>
    <row r="7386" spans="3:3">
      <c r="C7386"/>
    </row>
    <row r="7387" spans="3:3">
      <c r="C7387"/>
    </row>
    <row r="7388" spans="3:3">
      <c r="C7388"/>
    </row>
    <row r="7389" spans="3:3">
      <c r="C7389"/>
    </row>
    <row r="7390" spans="3:3">
      <c r="C7390"/>
    </row>
    <row r="7391" spans="3:3">
      <c r="C7391"/>
    </row>
    <row r="7392" spans="3:3">
      <c r="C7392"/>
    </row>
    <row r="7393" spans="3:3">
      <c r="C7393"/>
    </row>
    <row r="7394" spans="3:3">
      <c r="C7394"/>
    </row>
    <row r="7395" spans="3:3">
      <c r="C7395"/>
    </row>
    <row r="7396" spans="3:3">
      <c r="C7396"/>
    </row>
    <row r="7397" spans="3:3">
      <c r="C7397"/>
    </row>
    <row r="7398" spans="3:3">
      <c r="C7398"/>
    </row>
    <row r="7399" spans="3:3">
      <c r="C7399"/>
    </row>
    <row r="7400" spans="3:3">
      <c r="C7400"/>
    </row>
    <row r="7401" spans="3:3">
      <c r="C7401"/>
    </row>
    <row r="7402" spans="3:3">
      <c r="C7402"/>
    </row>
    <row r="7403" spans="3:3">
      <c r="C7403"/>
    </row>
    <row r="7404" spans="3:3">
      <c r="C7404"/>
    </row>
    <row r="7405" spans="3:3">
      <c r="C7405"/>
    </row>
    <row r="7406" spans="3:3">
      <c r="C7406"/>
    </row>
    <row r="7407" spans="3:3">
      <c r="C7407"/>
    </row>
    <row r="7408" spans="3:3">
      <c r="C7408"/>
    </row>
    <row r="7409" spans="3:3">
      <c r="C7409"/>
    </row>
    <row r="7410" spans="3:3">
      <c r="C7410"/>
    </row>
    <row r="7411" spans="3:3">
      <c r="C7411"/>
    </row>
    <row r="7412" spans="3:3">
      <c r="C7412"/>
    </row>
    <row r="7413" spans="3:3">
      <c r="C7413"/>
    </row>
    <row r="7414" spans="3:3">
      <c r="C7414"/>
    </row>
    <row r="7415" spans="3:3">
      <c r="C7415"/>
    </row>
    <row r="7416" spans="3:3">
      <c r="C7416"/>
    </row>
    <row r="7417" spans="3:3">
      <c r="C7417"/>
    </row>
    <row r="7418" spans="3:3">
      <c r="C7418"/>
    </row>
    <row r="7419" spans="3:3">
      <c r="C7419"/>
    </row>
    <row r="7420" spans="3:3">
      <c r="C7420"/>
    </row>
    <row r="7421" spans="3:3">
      <c r="C7421"/>
    </row>
    <row r="7422" spans="3:3">
      <c r="C7422"/>
    </row>
    <row r="7423" spans="3:3">
      <c r="C7423"/>
    </row>
    <row r="7424" spans="3:3">
      <c r="C7424"/>
    </row>
    <row r="7425" spans="3:3">
      <c r="C7425"/>
    </row>
    <row r="7426" spans="3:3">
      <c r="C7426"/>
    </row>
    <row r="7427" spans="3:3">
      <c r="C7427"/>
    </row>
    <row r="7428" spans="3:3">
      <c r="C7428"/>
    </row>
    <row r="7429" spans="3:3">
      <c r="C7429"/>
    </row>
    <row r="7430" spans="3:3">
      <c r="C7430"/>
    </row>
    <row r="7431" spans="3:3">
      <c r="C7431"/>
    </row>
    <row r="7432" spans="3:3">
      <c r="C7432"/>
    </row>
    <row r="7433" spans="3:3">
      <c r="C7433"/>
    </row>
    <row r="7434" spans="3:3">
      <c r="C7434"/>
    </row>
    <row r="7435" spans="3:3">
      <c r="C7435"/>
    </row>
    <row r="7436" spans="3:3">
      <c r="C7436"/>
    </row>
    <row r="7437" spans="3:3">
      <c r="C7437"/>
    </row>
    <row r="7438" spans="3:3">
      <c r="C7438"/>
    </row>
    <row r="7439" spans="3:3">
      <c r="C7439"/>
    </row>
    <row r="7440" spans="3:3">
      <c r="C7440"/>
    </row>
    <row r="7441" spans="3:3">
      <c r="C7441"/>
    </row>
    <row r="7442" spans="3:3">
      <c r="C7442"/>
    </row>
    <row r="7443" spans="3:3">
      <c r="C7443"/>
    </row>
    <row r="7444" spans="3:3">
      <c r="C7444"/>
    </row>
    <row r="7445" spans="3:3">
      <c r="C7445"/>
    </row>
    <row r="7446" spans="3:3">
      <c r="C7446"/>
    </row>
    <row r="7447" spans="3:3">
      <c r="C7447"/>
    </row>
    <row r="7448" spans="3:3">
      <c r="C7448"/>
    </row>
    <row r="7449" spans="3:3">
      <c r="C7449"/>
    </row>
    <row r="7450" spans="3:3">
      <c r="C7450"/>
    </row>
    <row r="7451" spans="3:3">
      <c r="C7451"/>
    </row>
    <row r="7452" spans="3:3">
      <c r="C7452"/>
    </row>
    <row r="7453" spans="3:3">
      <c r="C7453"/>
    </row>
    <row r="7454" spans="3:3">
      <c r="C7454"/>
    </row>
    <row r="7455" spans="3:3">
      <c r="C7455"/>
    </row>
    <row r="7456" spans="3:3">
      <c r="C7456"/>
    </row>
    <row r="7457" spans="3:3">
      <c r="C7457"/>
    </row>
    <row r="7458" spans="3:3">
      <c r="C7458"/>
    </row>
    <row r="7459" spans="3:3">
      <c r="C7459"/>
    </row>
    <row r="7460" spans="3:3">
      <c r="C7460"/>
    </row>
    <row r="7461" spans="3:3">
      <c r="C7461"/>
    </row>
    <row r="7462" spans="3:3">
      <c r="C7462"/>
    </row>
    <row r="7463" spans="3:3">
      <c r="C7463"/>
    </row>
    <row r="7464" spans="3:3">
      <c r="C7464"/>
    </row>
    <row r="7465" spans="3:3">
      <c r="C7465"/>
    </row>
    <row r="7466" spans="3:3">
      <c r="C7466"/>
    </row>
    <row r="7467" spans="3:3">
      <c r="C7467"/>
    </row>
    <row r="7468" spans="3:3">
      <c r="C7468"/>
    </row>
    <row r="7469" spans="3:3">
      <c r="C7469"/>
    </row>
    <row r="7470" spans="3:3">
      <c r="C7470"/>
    </row>
    <row r="7471" spans="3:3">
      <c r="C7471"/>
    </row>
    <row r="7472" spans="3:3">
      <c r="C7472"/>
    </row>
    <row r="7473" spans="3:3">
      <c r="C7473"/>
    </row>
    <row r="7474" spans="3:3">
      <c r="C7474"/>
    </row>
    <row r="7475" spans="3:3">
      <c r="C7475"/>
    </row>
    <row r="7476" spans="3:3">
      <c r="C7476"/>
    </row>
    <row r="7477" spans="3:3">
      <c r="C7477"/>
    </row>
    <row r="7478" spans="3:3">
      <c r="C7478"/>
    </row>
    <row r="7479" spans="3:3">
      <c r="C7479"/>
    </row>
    <row r="7480" spans="3:3">
      <c r="C7480"/>
    </row>
    <row r="7481" spans="3:3">
      <c r="C7481"/>
    </row>
    <row r="7482" spans="3:3">
      <c r="C7482"/>
    </row>
    <row r="7483" spans="3:3">
      <c r="C7483"/>
    </row>
    <row r="7484" spans="3:3">
      <c r="C7484"/>
    </row>
    <row r="7485" spans="3:3">
      <c r="C7485"/>
    </row>
    <row r="7486" spans="3:3">
      <c r="C7486"/>
    </row>
    <row r="7487" spans="3:3">
      <c r="C7487"/>
    </row>
    <row r="7488" spans="3:3">
      <c r="C7488"/>
    </row>
    <row r="7489" spans="3:3">
      <c r="C7489"/>
    </row>
    <row r="7490" spans="3:3">
      <c r="C7490"/>
    </row>
    <row r="7491" spans="3:3">
      <c r="C7491"/>
    </row>
    <row r="7492" spans="3:3">
      <c r="C7492"/>
    </row>
    <row r="7493" spans="3:3">
      <c r="C7493"/>
    </row>
    <row r="7494" spans="3:3">
      <c r="C7494"/>
    </row>
    <row r="7495" spans="3:3">
      <c r="C7495"/>
    </row>
    <row r="7496" spans="3:3">
      <c r="C7496"/>
    </row>
    <row r="7497" spans="3:3">
      <c r="C7497"/>
    </row>
    <row r="7498" spans="3:3">
      <c r="C7498"/>
    </row>
    <row r="7499" spans="3:3">
      <c r="C7499"/>
    </row>
    <row r="7500" spans="3:3">
      <c r="C7500"/>
    </row>
    <row r="7501" spans="3:3">
      <c r="C7501"/>
    </row>
    <row r="7502" spans="3:3">
      <c r="C7502"/>
    </row>
    <row r="7503" spans="3:3">
      <c r="C7503"/>
    </row>
    <row r="7504" spans="3:3">
      <c r="C7504"/>
    </row>
    <row r="7505" spans="3:3">
      <c r="C7505"/>
    </row>
    <row r="7506" spans="3:3">
      <c r="C7506"/>
    </row>
    <row r="7507" spans="3:3">
      <c r="C7507"/>
    </row>
    <row r="7508" spans="3:3">
      <c r="C7508"/>
    </row>
    <row r="7509" spans="3:3">
      <c r="C7509"/>
    </row>
    <row r="7510" spans="3:3">
      <c r="C7510"/>
    </row>
    <row r="7511" spans="3:3">
      <c r="C7511"/>
    </row>
    <row r="7512" spans="3:3">
      <c r="C7512"/>
    </row>
    <row r="7513" spans="3:3">
      <c r="C7513"/>
    </row>
    <row r="7514" spans="3:3">
      <c r="C7514"/>
    </row>
    <row r="7515" spans="3:3">
      <c r="C7515"/>
    </row>
    <row r="7516" spans="3:3">
      <c r="C7516"/>
    </row>
    <row r="7517" spans="3:3">
      <c r="C7517"/>
    </row>
    <row r="7518" spans="3:3">
      <c r="C7518"/>
    </row>
    <row r="7519" spans="3:3">
      <c r="C7519"/>
    </row>
    <row r="7520" spans="3:3">
      <c r="C7520"/>
    </row>
    <row r="7521" spans="3:3">
      <c r="C7521"/>
    </row>
    <row r="7522" spans="3:3">
      <c r="C7522"/>
    </row>
    <row r="7523" spans="3:3">
      <c r="C7523"/>
    </row>
    <row r="7524" spans="3:3">
      <c r="C7524"/>
    </row>
    <row r="7525" spans="3:3">
      <c r="C7525"/>
    </row>
    <row r="7526" spans="3:3">
      <c r="C7526"/>
    </row>
    <row r="7527" spans="3:3">
      <c r="C7527"/>
    </row>
    <row r="7528" spans="3:3">
      <c r="C7528"/>
    </row>
    <row r="7529" spans="3:3">
      <c r="C7529"/>
    </row>
    <row r="7530" spans="3:3">
      <c r="C7530"/>
    </row>
    <row r="7531" spans="3:3">
      <c r="C7531"/>
    </row>
    <row r="7532" spans="3:3">
      <c r="C7532"/>
    </row>
    <row r="7533" spans="3:3">
      <c r="C7533"/>
    </row>
    <row r="7534" spans="3:3">
      <c r="C7534"/>
    </row>
    <row r="7535" spans="3:3">
      <c r="C7535"/>
    </row>
    <row r="7536" spans="3:3">
      <c r="C7536"/>
    </row>
    <row r="7537" spans="3:3">
      <c r="C7537"/>
    </row>
    <row r="7538" spans="3:3">
      <c r="C7538"/>
    </row>
    <row r="7539" spans="3:3">
      <c r="C7539"/>
    </row>
    <row r="7540" spans="3:3">
      <c r="C7540"/>
    </row>
    <row r="7541" spans="3:3">
      <c r="C7541"/>
    </row>
    <row r="7542" spans="3:3">
      <c r="C7542"/>
    </row>
    <row r="7543" spans="3:3">
      <c r="C7543"/>
    </row>
    <row r="7544" spans="3:3">
      <c r="C7544"/>
    </row>
    <row r="7545" spans="3:3">
      <c r="C7545"/>
    </row>
    <row r="7546" spans="3:3">
      <c r="C7546"/>
    </row>
    <row r="7547" spans="3:3">
      <c r="C7547"/>
    </row>
    <row r="7548" spans="3:3">
      <c r="C7548"/>
    </row>
    <row r="7549" spans="3:3">
      <c r="C7549"/>
    </row>
    <row r="7550" spans="3:3">
      <c r="C7550"/>
    </row>
    <row r="7551" spans="3:3">
      <c r="C7551"/>
    </row>
    <row r="7552" spans="3:3">
      <c r="C7552"/>
    </row>
    <row r="7553" spans="3:3">
      <c r="C7553"/>
    </row>
    <row r="7554" spans="3:3">
      <c r="C7554"/>
    </row>
    <row r="7555" spans="3:3">
      <c r="C7555"/>
    </row>
    <row r="7556" spans="3:3">
      <c r="C7556"/>
    </row>
    <row r="7557" spans="3:3">
      <c r="C7557"/>
    </row>
    <row r="7558" spans="3:3">
      <c r="C7558"/>
    </row>
    <row r="7559" spans="3:3">
      <c r="C7559"/>
    </row>
    <row r="7560" spans="3:3">
      <c r="C7560"/>
    </row>
    <row r="7561" spans="3:3">
      <c r="C7561"/>
    </row>
    <row r="7562" spans="3:3">
      <c r="C7562"/>
    </row>
    <row r="7563" spans="3:3">
      <c r="C7563"/>
    </row>
    <row r="7564" spans="3:3">
      <c r="C7564"/>
    </row>
    <row r="7565" spans="3:3">
      <c r="C7565"/>
    </row>
    <row r="7566" spans="3:3">
      <c r="C7566"/>
    </row>
    <row r="7567" spans="3:3">
      <c r="C7567"/>
    </row>
    <row r="7568" spans="3:3">
      <c r="C7568"/>
    </row>
    <row r="7569" spans="3:3">
      <c r="C7569"/>
    </row>
    <row r="7570" spans="3:3">
      <c r="C7570"/>
    </row>
    <row r="7571" spans="3:3">
      <c r="C7571"/>
    </row>
    <row r="7572" spans="3:3">
      <c r="C7572"/>
    </row>
    <row r="7573" spans="3:3">
      <c r="C7573"/>
    </row>
    <row r="7574" spans="3:3">
      <c r="C7574"/>
    </row>
    <row r="7575" spans="3:3">
      <c r="C7575"/>
    </row>
    <row r="7576" spans="3:3">
      <c r="C7576"/>
    </row>
    <row r="7577" spans="3:3">
      <c r="C7577"/>
    </row>
    <row r="7578" spans="3:3">
      <c r="C7578"/>
    </row>
    <row r="7579" spans="3:3">
      <c r="C7579"/>
    </row>
    <row r="7580" spans="3:3">
      <c r="C7580"/>
    </row>
    <row r="7581" spans="3:3">
      <c r="C7581"/>
    </row>
    <row r="7582" spans="3:3">
      <c r="C7582"/>
    </row>
    <row r="7583" spans="3:3">
      <c r="C7583"/>
    </row>
    <row r="7584" spans="3:3">
      <c r="C7584"/>
    </row>
    <row r="7585" spans="3:3">
      <c r="C7585"/>
    </row>
    <row r="7586" spans="3:3">
      <c r="C7586"/>
    </row>
    <row r="7587" spans="3:3">
      <c r="C7587"/>
    </row>
    <row r="7588" spans="3:3">
      <c r="C7588"/>
    </row>
    <row r="7589" spans="3:3">
      <c r="C7589"/>
    </row>
    <row r="7590" spans="3:3">
      <c r="C7590"/>
    </row>
    <row r="7591" spans="3:3">
      <c r="C7591"/>
    </row>
    <row r="7592" spans="3:3">
      <c r="C7592"/>
    </row>
    <row r="7593" spans="3:3">
      <c r="C7593"/>
    </row>
    <row r="7594" spans="3:3">
      <c r="C7594"/>
    </row>
    <row r="7595" spans="3:3">
      <c r="C7595"/>
    </row>
    <row r="7596" spans="3:3">
      <c r="C7596"/>
    </row>
    <row r="7597" spans="3:3">
      <c r="C7597"/>
    </row>
    <row r="7598" spans="3:3">
      <c r="C7598"/>
    </row>
    <row r="7599" spans="3:3">
      <c r="C7599"/>
    </row>
    <row r="7600" spans="3:3">
      <c r="C7600"/>
    </row>
    <row r="7601" spans="3:3">
      <c r="C7601"/>
    </row>
    <row r="7602" spans="3:3">
      <c r="C7602"/>
    </row>
    <row r="7603" spans="3:3">
      <c r="C7603"/>
    </row>
    <row r="7604" spans="3:3">
      <c r="C7604"/>
    </row>
    <row r="7605" spans="3:3">
      <c r="C7605"/>
    </row>
    <row r="7606" spans="3:3">
      <c r="C7606"/>
    </row>
    <row r="7607" spans="3:3">
      <c r="C7607"/>
    </row>
    <row r="7608" spans="3:3">
      <c r="C7608"/>
    </row>
    <row r="7609" spans="3:3">
      <c r="C7609"/>
    </row>
    <row r="7610" spans="3:3">
      <c r="C7610"/>
    </row>
    <row r="7611" spans="3:3">
      <c r="C7611"/>
    </row>
    <row r="7612" spans="3:3">
      <c r="C7612"/>
    </row>
    <row r="7613" spans="3:3">
      <c r="C7613"/>
    </row>
    <row r="7614" spans="3:3">
      <c r="C7614"/>
    </row>
    <row r="7615" spans="3:3">
      <c r="C7615"/>
    </row>
    <row r="7616" spans="3:3">
      <c r="C7616"/>
    </row>
    <row r="7617" spans="3:3">
      <c r="C7617"/>
    </row>
    <row r="7618" spans="3:3">
      <c r="C7618"/>
    </row>
    <row r="7619" spans="3:3">
      <c r="C7619"/>
    </row>
    <row r="7620" spans="3:3">
      <c r="C7620"/>
    </row>
    <row r="7621" spans="3:3">
      <c r="C7621"/>
    </row>
    <row r="7622" spans="3:3">
      <c r="C7622"/>
    </row>
    <row r="7623" spans="3:3">
      <c r="C7623"/>
    </row>
    <row r="7624" spans="3:3">
      <c r="C7624"/>
    </row>
    <row r="7625" spans="3:3">
      <c r="C7625"/>
    </row>
    <row r="7626" spans="3:3">
      <c r="C7626"/>
    </row>
    <row r="7627" spans="3:3">
      <c r="C7627"/>
    </row>
    <row r="7628" spans="3:3">
      <c r="C7628"/>
    </row>
    <row r="7629" spans="3:3">
      <c r="C7629"/>
    </row>
    <row r="7630" spans="3:3">
      <c r="C7630"/>
    </row>
    <row r="7631" spans="3:3">
      <c r="C7631"/>
    </row>
    <row r="7632" spans="3:3">
      <c r="C7632"/>
    </row>
    <row r="7633" spans="3:3">
      <c r="C7633"/>
    </row>
    <row r="7634" spans="3:3">
      <c r="C7634"/>
    </row>
    <row r="7635" spans="3:3">
      <c r="C7635"/>
    </row>
    <row r="7636" spans="3:3">
      <c r="C7636"/>
    </row>
    <row r="7637" spans="3:3">
      <c r="C7637"/>
    </row>
    <row r="7638" spans="3:3">
      <c r="C7638"/>
    </row>
    <row r="7639" spans="3:3">
      <c r="C7639"/>
    </row>
    <row r="7640" spans="3:3">
      <c r="C7640"/>
    </row>
    <row r="7641" spans="3:3">
      <c r="C7641"/>
    </row>
    <row r="7642" spans="3:3">
      <c r="C7642"/>
    </row>
    <row r="7643" spans="3:3">
      <c r="C7643"/>
    </row>
    <row r="7644" spans="3:3">
      <c r="C7644"/>
    </row>
    <row r="7645" spans="3:3">
      <c r="C7645"/>
    </row>
    <row r="7646" spans="3:3">
      <c r="C7646"/>
    </row>
    <row r="7647" spans="3:3">
      <c r="C7647"/>
    </row>
    <row r="7648" spans="3:3">
      <c r="C7648"/>
    </row>
    <row r="7649" spans="3:3">
      <c r="C7649"/>
    </row>
    <row r="7650" spans="3:3">
      <c r="C7650"/>
    </row>
    <row r="7651" spans="3:3">
      <c r="C7651"/>
    </row>
    <row r="7652" spans="3:3">
      <c r="C7652"/>
    </row>
    <row r="7653" spans="3:3">
      <c r="C7653"/>
    </row>
    <row r="7654" spans="3:3">
      <c r="C7654"/>
    </row>
    <row r="7655" spans="3:3">
      <c r="C7655"/>
    </row>
    <row r="7656" spans="3:3">
      <c r="C7656"/>
    </row>
    <row r="7657" spans="3:3">
      <c r="C7657"/>
    </row>
    <row r="7658" spans="3:3">
      <c r="C7658"/>
    </row>
    <row r="7659" spans="3:3">
      <c r="C7659"/>
    </row>
    <row r="7660" spans="3:3">
      <c r="C7660"/>
    </row>
    <row r="7661" spans="3:3">
      <c r="C7661"/>
    </row>
    <row r="7662" spans="3:3">
      <c r="C7662"/>
    </row>
    <row r="7663" spans="3:3">
      <c r="C7663"/>
    </row>
    <row r="7664" spans="3:3">
      <c r="C7664"/>
    </row>
    <row r="7665" spans="3:3">
      <c r="C7665"/>
    </row>
    <row r="7666" spans="3:3">
      <c r="C7666"/>
    </row>
    <row r="7667" spans="3:3">
      <c r="C7667"/>
    </row>
    <row r="7668" spans="3:3">
      <c r="C7668"/>
    </row>
    <row r="7669" spans="3:3">
      <c r="C7669"/>
    </row>
    <row r="7670" spans="3:3">
      <c r="C7670"/>
    </row>
    <row r="7671" spans="3:3">
      <c r="C7671"/>
    </row>
    <row r="7672" spans="3:3">
      <c r="C7672"/>
    </row>
    <row r="7673" spans="3:3">
      <c r="C7673"/>
    </row>
    <row r="7674" spans="3:3">
      <c r="C7674"/>
    </row>
    <row r="7675" spans="3:3">
      <c r="C7675"/>
    </row>
    <row r="7676" spans="3:3">
      <c r="C7676"/>
    </row>
    <row r="7677" spans="3:3">
      <c r="C7677"/>
    </row>
    <row r="7678" spans="3:3">
      <c r="C7678"/>
    </row>
    <row r="7679" spans="3:3">
      <c r="C7679"/>
    </row>
    <row r="7680" spans="3:3">
      <c r="C7680"/>
    </row>
    <row r="7681" spans="3:3">
      <c r="C7681"/>
    </row>
    <row r="7682" spans="3:3">
      <c r="C7682"/>
    </row>
    <row r="7683" spans="3:3">
      <c r="C7683"/>
    </row>
    <row r="7684" spans="3:3">
      <c r="C7684"/>
    </row>
    <row r="7685" spans="3:3">
      <c r="C7685"/>
    </row>
    <row r="7686" spans="3:3">
      <c r="C7686"/>
    </row>
    <row r="7687" spans="3:3">
      <c r="C7687"/>
    </row>
    <row r="7688" spans="3:3">
      <c r="C7688"/>
    </row>
    <row r="7689" spans="3:3">
      <c r="C7689"/>
    </row>
    <row r="7690" spans="3:3">
      <c r="C7690"/>
    </row>
    <row r="7691" spans="3:3">
      <c r="C7691"/>
    </row>
    <row r="7692" spans="3:3">
      <c r="C7692"/>
    </row>
    <row r="7693" spans="3:3">
      <c r="C7693"/>
    </row>
    <row r="7694" spans="3:3">
      <c r="C7694"/>
    </row>
    <row r="7695" spans="3:3">
      <c r="C7695"/>
    </row>
    <row r="7696" spans="3:3">
      <c r="C7696"/>
    </row>
    <row r="7697" spans="3:3">
      <c r="C7697"/>
    </row>
    <row r="7698" spans="3:3">
      <c r="C7698"/>
    </row>
    <row r="7699" spans="3:3">
      <c r="C7699"/>
    </row>
    <row r="7700" spans="3:3">
      <c r="C7700"/>
    </row>
    <row r="7701" spans="3:3">
      <c r="C7701"/>
    </row>
    <row r="7702" spans="3:3">
      <c r="C7702"/>
    </row>
    <row r="7703" spans="3:3">
      <c r="C7703"/>
    </row>
    <row r="7704" spans="3:3">
      <c r="C7704"/>
    </row>
    <row r="7705" spans="3:3">
      <c r="C7705"/>
    </row>
    <row r="7706" spans="3:3">
      <c r="C7706"/>
    </row>
    <row r="7707" spans="3:3">
      <c r="C7707"/>
    </row>
    <row r="7708" spans="3:3">
      <c r="C7708"/>
    </row>
    <row r="7709" spans="3:3">
      <c r="C7709"/>
    </row>
    <row r="7710" spans="3:3">
      <c r="C7710"/>
    </row>
    <row r="7711" spans="3:3">
      <c r="C7711"/>
    </row>
    <row r="7712" spans="3:3">
      <c r="C7712"/>
    </row>
    <row r="7713" spans="3:3">
      <c r="C7713"/>
    </row>
    <row r="7714" spans="3:3">
      <c r="C7714"/>
    </row>
    <row r="7715" spans="3:3">
      <c r="C7715"/>
    </row>
    <row r="7716" spans="3:3">
      <c r="C7716"/>
    </row>
    <row r="7717" spans="3:3">
      <c r="C7717"/>
    </row>
    <row r="7718" spans="3:3">
      <c r="C7718"/>
    </row>
    <row r="7719" spans="3:3">
      <c r="C7719"/>
    </row>
    <row r="7720" spans="3:3">
      <c r="C7720"/>
    </row>
    <row r="7721" spans="3:3">
      <c r="C7721"/>
    </row>
    <row r="7722" spans="3:3">
      <c r="C7722"/>
    </row>
    <row r="7723" spans="3:3">
      <c r="C7723"/>
    </row>
    <row r="7724" spans="3:3">
      <c r="C7724"/>
    </row>
    <row r="7725" spans="3:3">
      <c r="C7725"/>
    </row>
    <row r="7726" spans="3:3">
      <c r="C7726"/>
    </row>
    <row r="7727" spans="3:3">
      <c r="C7727"/>
    </row>
    <row r="7728" spans="3:3">
      <c r="C7728"/>
    </row>
    <row r="7729" spans="3:3">
      <c r="C7729"/>
    </row>
    <row r="7730" spans="3:3">
      <c r="C7730"/>
    </row>
    <row r="7731" spans="3:3">
      <c r="C7731"/>
    </row>
    <row r="7732" spans="3:3">
      <c r="C7732"/>
    </row>
    <row r="7733" spans="3:3">
      <c r="C7733"/>
    </row>
    <row r="7734" spans="3:3">
      <c r="C7734"/>
    </row>
    <row r="7735" spans="3:3">
      <c r="C7735"/>
    </row>
    <row r="7736" spans="3:3">
      <c r="C7736"/>
    </row>
    <row r="7737" spans="3:3">
      <c r="C7737"/>
    </row>
    <row r="7738" spans="3:3">
      <c r="C7738"/>
    </row>
    <row r="7739" spans="3:3">
      <c r="C7739"/>
    </row>
    <row r="7740" spans="3:3">
      <c r="C7740"/>
    </row>
    <row r="7741" spans="3:3">
      <c r="C7741"/>
    </row>
    <row r="7742" spans="3:3">
      <c r="C7742"/>
    </row>
    <row r="7743" spans="3:3">
      <c r="C7743"/>
    </row>
    <row r="7744" spans="3:3">
      <c r="C7744"/>
    </row>
    <row r="7745" spans="3:3">
      <c r="C7745"/>
    </row>
    <row r="7746" spans="3:3">
      <c r="C7746"/>
    </row>
    <row r="7747" spans="3:3">
      <c r="C7747"/>
    </row>
    <row r="7748" spans="3:3">
      <c r="C7748"/>
    </row>
    <row r="7749" spans="3:3">
      <c r="C7749"/>
    </row>
    <row r="7750" spans="3:3">
      <c r="C7750"/>
    </row>
    <row r="7751" spans="3:3">
      <c r="C7751"/>
    </row>
    <row r="7752" spans="3:3">
      <c r="C7752"/>
    </row>
    <row r="7753" spans="3:3">
      <c r="C7753"/>
    </row>
    <row r="7754" spans="3:3">
      <c r="C7754"/>
    </row>
    <row r="7755" spans="3:3">
      <c r="C7755"/>
    </row>
    <row r="7756" spans="3:3">
      <c r="C7756"/>
    </row>
    <row r="7757" spans="3:3">
      <c r="C7757"/>
    </row>
    <row r="7758" spans="3:3">
      <c r="C7758"/>
    </row>
    <row r="7759" spans="3:3">
      <c r="C7759"/>
    </row>
    <row r="7760" spans="3:3">
      <c r="C7760"/>
    </row>
    <row r="7761" spans="3:3">
      <c r="C7761"/>
    </row>
    <row r="7762" spans="3:3">
      <c r="C7762"/>
    </row>
    <row r="7763" spans="3:3">
      <c r="C7763"/>
    </row>
    <row r="7764" spans="3:3">
      <c r="C7764"/>
    </row>
    <row r="7765" spans="3:3">
      <c r="C7765"/>
    </row>
    <row r="7766" spans="3:3">
      <c r="C7766"/>
    </row>
    <row r="7767" spans="3:3">
      <c r="C7767"/>
    </row>
    <row r="7768" spans="3:3">
      <c r="C7768"/>
    </row>
    <row r="7769" spans="3:3">
      <c r="C7769"/>
    </row>
    <row r="7770" spans="3:3">
      <c r="C7770"/>
    </row>
    <row r="7771" spans="3:3">
      <c r="C7771"/>
    </row>
    <row r="7772" spans="3:3">
      <c r="C7772"/>
    </row>
    <row r="7773" spans="3:3">
      <c r="C7773"/>
    </row>
    <row r="7774" spans="3:3">
      <c r="C7774"/>
    </row>
    <row r="7775" spans="3:3">
      <c r="C7775"/>
    </row>
    <row r="7776" spans="3:3">
      <c r="C7776"/>
    </row>
    <row r="7777" spans="3:3">
      <c r="C7777"/>
    </row>
    <row r="7778" spans="3:3">
      <c r="C7778"/>
    </row>
    <row r="7779" spans="3:3">
      <c r="C7779"/>
    </row>
    <row r="7780" spans="3:3">
      <c r="C7780"/>
    </row>
    <row r="7781" spans="3:3">
      <c r="C7781"/>
    </row>
    <row r="7782" spans="3:3">
      <c r="C7782"/>
    </row>
    <row r="7783" spans="3:3">
      <c r="C7783"/>
    </row>
    <row r="7784" spans="3:3">
      <c r="C7784"/>
    </row>
    <row r="7785" spans="3:3">
      <c r="C7785"/>
    </row>
    <row r="7786" spans="3:3">
      <c r="C7786"/>
    </row>
    <row r="7787" spans="3:3">
      <c r="C7787"/>
    </row>
    <row r="7788" spans="3:3">
      <c r="C7788"/>
    </row>
    <row r="7789" spans="3:3">
      <c r="C7789"/>
    </row>
    <row r="7790" spans="3:3">
      <c r="C7790"/>
    </row>
    <row r="7791" spans="3:3">
      <c r="C7791"/>
    </row>
    <row r="7792" spans="3:3">
      <c r="C7792"/>
    </row>
    <row r="7793" spans="3:3">
      <c r="C7793"/>
    </row>
    <row r="7794" spans="3:3">
      <c r="C7794"/>
    </row>
    <row r="7795" spans="3:3">
      <c r="C7795"/>
    </row>
    <row r="7796" spans="3:3">
      <c r="C7796"/>
    </row>
    <row r="7797" spans="3:3">
      <c r="C7797"/>
    </row>
    <row r="7798" spans="3:3">
      <c r="C7798"/>
    </row>
    <row r="7799" spans="3:3">
      <c r="C7799"/>
    </row>
    <row r="7800" spans="3:3">
      <c r="C7800"/>
    </row>
    <row r="7801" spans="3:3">
      <c r="C7801"/>
    </row>
    <row r="7802" spans="3:3">
      <c r="C7802"/>
    </row>
    <row r="7803" spans="3:3">
      <c r="C7803"/>
    </row>
    <row r="7804" spans="3:3">
      <c r="C7804"/>
    </row>
    <row r="7805" spans="3:3">
      <c r="C7805"/>
    </row>
    <row r="7806" spans="3:3">
      <c r="C7806"/>
    </row>
    <row r="7807" spans="3:3">
      <c r="C7807"/>
    </row>
    <row r="7808" spans="3:3">
      <c r="C7808"/>
    </row>
    <row r="7809" spans="3:3">
      <c r="C7809"/>
    </row>
    <row r="7810" spans="3:3">
      <c r="C7810"/>
    </row>
    <row r="7811" spans="3:3">
      <c r="C7811"/>
    </row>
    <row r="7812" spans="3:3">
      <c r="C7812"/>
    </row>
    <row r="7813" spans="3:3">
      <c r="C7813"/>
    </row>
    <row r="7814" spans="3:3">
      <c r="C7814"/>
    </row>
    <row r="7815" spans="3:3">
      <c r="C7815"/>
    </row>
    <row r="7816" spans="3:3">
      <c r="C7816"/>
    </row>
    <row r="7817" spans="3:3">
      <c r="C7817"/>
    </row>
    <row r="7818" spans="3:3">
      <c r="C7818"/>
    </row>
    <row r="7819" spans="3:3">
      <c r="C7819"/>
    </row>
    <row r="7820" spans="3:3">
      <c r="C7820"/>
    </row>
    <row r="7821" spans="3:3">
      <c r="C7821"/>
    </row>
    <row r="7822" spans="3:3">
      <c r="C7822"/>
    </row>
    <row r="7823" spans="3:3">
      <c r="C7823"/>
    </row>
    <row r="7824" spans="3:3">
      <c r="C7824"/>
    </row>
    <row r="7825" spans="3:3">
      <c r="C7825"/>
    </row>
    <row r="7826" spans="3:3">
      <c r="C7826"/>
    </row>
    <row r="7827" spans="3:3">
      <c r="C7827"/>
    </row>
    <row r="7828" spans="3:3">
      <c r="C7828"/>
    </row>
    <row r="7829" spans="3:3">
      <c r="C7829"/>
    </row>
    <row r="7830" spans="3:3">
      <c r="C7830"/>
    </row>
    <row r="7831" spans="3:3">
      <c r="C7831"/>
    </row>
    <row r="7832" spans="3:3">
      <c r="C7832"/>
    </row>
    <row r="7833" spans="3:3">
      <c r="C7833"/>
    </row>
    <row r="7834" spans="3:3">
      <c r="C7834"/>
    </row>
    <row r="7835" spans="3:3">
      <c r="C7835"/>
    </row>
    <row r="7836" spans="3:3">
      <c r="C7836"/>
    </row>
    <row r="7837" spans="3:3">
      <c r="C7837"/>
    </row>
    <row r="7838" spans="3:3">
      <c r="C7838"/>
    </row>
    <row r="7839" spans="3:3">
      <c r="C7839"/>
    </row>
    <row r="7840" spans="3:3">
      <c r="C7840"/>
    </row>
    <row r="7841" spans="3:3">
      <c r="C7841"/>
    </row>
    <row r="7842" spans="3:3">
      <c r="C7842"/>
    </row>
    <row r="7843" spans="3:3">
      <c r="C7843"/>
    </row>
    <row r="7844" spans="3:3">
      <c r="C7844"/>
    </row>
    <row r="7845" spans="3:3">
      <c r="C7845"/>
    </row>
    <row r="7846" spans="3:3">
      <c r="C7846"/>
    </row>
    <row r="7847" spans="3:3">
      <c r="C7847"/>
    </row>
    <row r="7848" spans="3:3">
      <c r="C7848"/>
    </row>
    <row r="7849" spans="3:3">
      <c r="C7849"/>
    </row>
    <row r="7850" spans="3:3">
      <c r="C7850"/>
    </row>
    <row r="7851" spans="3:3">
      <c r="C7851"/>
    </row>
    <row r="7852" spans="3:3">
      <c r="C7852"/>
    </row>
    <row r="7853" spans="3:3">
      <c r="C7853"/>
    </row>
    <row r="7854" spans="3:3">
      <c r="C7854"/>
    </row>
    <row r="7855" spans="3:3">
      <c r="C7855"/>
    </row>
    <row r="7856" spans="3:3">
      <c r="C7856"/>
    </row>
    <row r="7857" spans="3:3">
      <c r="C7857"/>
    </row>
    <row r="7858" spans="3:3">
      <c r="C7858"/>
    </row>
    <row r="7859" spans="3:3">
      <c r="C7859"/>
    </row>
    <row r="7860" spans="3:3">
      <c r="C7860"/>
    </row>
    <row r="7861" spans="3:3">
      <c r="C7861"/>
    </row>
    <row r="7862" spans="3:3">
      <c r="C7862"/>
    </row>
    <row r="7863" spans="3:3">
      <c r="C7863"/>
    </row>
    <row r="7864" spans="3:3">
      <c r="C7864"/>
    </row>
    <row r="7865" spans="3:3">
      <c r="C7865"/>
    </row>
    <row r="7866" spans="3:3">
      <c r="C7866"/>
    </row>
    <row r="7867" spans="3:3">
      <c r="C7867"/>
    </row>
    <row r="7868" spans="3:3">
      <c r="C7868"/>
    </row>
    <row r="7869" spans="3:3">
      <c r="C7869"/>
    </row>
    <row r="7870" spans="3:3">
      <c r="C7870"/>
    </row>
    <row r="7871" spans="3:3">
      <c r="C7871"/>
    </row>
    <row r="7872" spans="3:3">
      <c r="C7872"/>
    </row>
    <row r="7873" spans="3:3">
      <c r="C7873"/>
    </row>
    <row r="7874" spans="3:3">
      <c r="C7874"/>
    </row>
    <row r="7875" spans="3:3">
      <c r="C7875"/>
    </row>
    <row r="7876" spans="3:3">
      <c r="C7876"/>
    </row>
    <row r="7877" spans="3:3">
      <c r="C7877"/>
    </row>
    <row r="7878" spans="3:3">
      <c r="C7878"/>
    </row>
    <row r="7879" spans="3:3">
      <c r="C7879"/>
    </row>
    <row r="7880" spans="3:3">
      <c r="C7880"/>
    </row>
    <row r="7881" spans="3:3">
      <c r="C7881"/>
    </row>
    <row r="7882" spans="3:3">
      <c r="C7882"/>
    </row>
    <row r="7883" spans="3:3">
      <c r="C7883"/>
    </row>
    <row r="7884" spans="3:3">
      <c r="C7884"/>
    </row>
    <row r="7885" spans="3:3">
      <c r="C7885"/>
    </row>
    <row r="7886" spans="3:3">
      <c r="C7886"/>
    </row>
    <row r="7887" spans="3:3">
      <c r="C7887"/>
    </row>
    <row r="7888" spans="3:3">
      <c r="C7888"/>
    </row>
    <row r="7889" spans="3:3">
      <c r="C7889"/>
    </row>
    <row r="7890" spans="3:3">
      <c r="C7890"/>
    </row>
    <row r="7891" spans="3:3">
      <c r="C7891"/>
    </row>
    <row r="7892" spans="3:3">
      <c r="C7892"/>
    </row>
    <row r="7893" spans="3:3">
      <c r="C7893"/>
    </row>
    <row r="7894" spans="3:3">
      <c r="C7894"/>
    </row>
    <row r="7895" spans="3:3">
      <c r="C7895"/>
    </row>
    <row r="7896" spans="3:3">
      <c r="C7896"/>
    </row>
    <row r="7897" spans="3:3">
      <c r="C7897"/>
    </row>
    <row r="7898" spans="3:3">
      <c r="C7898"/>
    </row>
    <row r="7899" spans="3:3">
      <c r="C7899"/>
    </row>
    <row r="7900" spans="3:3">
      <c r="C7900"/>
    </row>
    <row r="7901" spans="3:3">
      <c r="C7901"/>
    </row>
    <row r="7902" spans="3:3">
      <c r="C7902"/>
    </row>
    <row r="7903" spans="3:3">
      <c r="C7903"/>
    </row>
    <row r="7904" spans="3:3">
      <c r="C7904"/>
    </row>
    <row r="7905" spans="3:3">
      <c r="C7905"/>
    </row>
    <row r="7906" spans="3:3">
      <c r="C7906"/>
    </row>
    <row r="7907" spans="3:3">
      <c r="C7907"/>
    </row>
    <row r="7908" spans="3:3">
      <c r="C7908"/>
    </row>
    <row r="7909" spans="3:3">
      <c r="C7909"/>
    </row>
    <row r="7910" spans="3:3">
      <c r="C7910"/>
    </row>
    <row r="7911" spans="3:3">
      <c r="C7911"/>
    </row>
    <row r="7912" spans="3:3">
      <c r="C7912"/>
    </row>
    <row r="7913" spans="3:3">
      <c r="C7913"/>
    </row>
    <row r="7914" spans="3:3">
      <c r="C7914"/>
    </row>
    <row r="7915" spans="3:3">
      <c r="C7915"/>
    </row>
    <row r="7916" spans="3:3">
      <c r="C7916"/>
    </row>
    <row r="7917" spans="3:3">
      <c r="C7917"/>
    </row>
    <row r="7918" spans="3:3">
      <c r="C7918"/>
    </row>
    <row r="7919" spans="3:3">
      <c r="C7919"/>
    </row>
    <row r="7920" spans="3:3">
      <c r="C7920"/>
    </row>
    <row r="7921" spans="3:3">
      <c r="C7921"/>
    </row>
    <row r="7922" spans="3:3">
      <c r="C7922"/>
    </row>
    <row r="7923" spans="3:3">
      <c r="C7923"/>
    </row>
    <row r="7924" spans="3:3">
      <c r="C7924"/>
    </row>
    <row r="7925" spans="3:3">
      <c r="C7925"/>
    </row>
    <row r="7926" spans="3:3">
      <c r="C7926"/>
    </row>
    <row r="7927" spans="3:3">
      <c r="C7927"/>
    </row>
    <row r="7928" spans="3:3">
      <c r="C7928"/>
    </row>
    <row r="7929" spans="3:3">
      <c r="C7929"/>
    </row>
    <row r="7930" spans="3:3">
      <c r="C7930"/>
    </row>
    <row r="7931" spans="3:3">
      <c r="C7931"/>
    </row>
    <row r="7932" spans="3:3">
      <c r="C7932"/>
    </row>
    <row r="7933" spans="3:3">
      <c r="C7933"/>
    </row>
    <row r="7934" spans="3:3">
      <c r="C7934"/>
    </row>
    <row r="7935" spans="3:3">
      <c r="C7935"/>
    </row>
    <row r="7936" spans="3:3">
      <c r="C7936"/>
    </row>
    <row r="7937" spans="3:3">
      <c r="C7937"/>
    </row>
    <row r="7938" spans="3:3">
      <c r="C7938"/>
    </row>
    <row r="7939" spans="3:3">
      <c r="C7939"/>
    </row>
    <row r="7940" spans="3:3">
      <c r="C7940"/>
    </row>
    <row r="7941" spans="3:3">
      <c r="C7941"/>
    </row>
    <row r="7942" spans="3:3">
      <c r="C7942"/>
    </row>
    <row r="7943" spans="3:3">
      <c r="C7943"/>
    </row>
    <row r="7944" spans="3:3">
      <c r="C7944"/>
    </row>
    <row r="7945" spans="3:3">
      <c r="C7945"/>
    </row>
    <row r="7946" spans="3:3">
      <c r="C7946"/>
    </row>
    <row r="7947" spans="3:3">
      <c r="C7947"/>
    </row>
    <row r="7948" spans="3:3">
      <c r="C7948"/>
    </row>
    <row r="7949" spans="3:3">
      <c r="C7949"/>
    </row>
    <row r="7950" spans="3:3">
      <c r="C7950"/>
    </row>
    <row r="7951" spans="3:3">
      <c r="C7951"/>
    </row>
    <row r="7952" spans="3:3">
      <c r="C7952"/>
    </row>
    <row r="7953" spans="3:3">
      <c r="C7953"/>
    </row>
    <row r="7954" spans="3:3">
      <c r="C7954"/>
    </row>
    <row r="7955" spans="3:3">
      <c r="C7955"/>
    </row>
    <row r="7956" spans="3:3">
      <c r="C7956"/>
    </row>
    <row r="7957" spans="3:3">
      <c r="C7957"/>
    </row>
    <row r="7958" spans="3:3">
      <c r="C7958"/>
    </row>
    <row r="7959" spans="3:3">
      <c r="C7959"/>
    </row>
    <row r="7960" spans="3:3">
      <c r="C7960"/>
    </row>
    <row r="7961" spans="3:3">
      <c r="C7961"/>
    </row>
    <row r="7962" spans="3:3">
      <c r="C7962"/>
    </row>
    <row r="7963" spans="3:3">
      <c r="C7963"/>
    </row>
    <row r="7964" spans="3:3">
      <c r="C7964"/>
    </row>
    <row r="7965" spans="3:3">
      <c r="C7965"/>
    </row>
    <row r="7966" spans="3:3">
      <c r="C7966"/>
    </row>
    <row r="7967" spans="3:3">
      <c r="C7967"/>
    </row>
    <row r="7968" spans="3:3">
      <c r="C7968"/>
    </row>
    <row r="7969" spans="3:3">
      <c r="C7969"/>
    </row>
    <row r="7970" spans="3:3">
      <c r="C7970"/>
    </row>
    <row r="7971" spans="3:3">
      <c r="C7971"/>
    </row>
    <row r="7972" spans="3:3">
      <c r="C7972"/>
    </row>
    <row r="7973" spans="3:3">
      <c r="C7973"/>
    </row>
    <row r="7974" spans="3:3">
      <c r="C7974"/>
    </row>
    <row r="7975" spans="3:3">
      <c r="C7975"/>
    </row>
    <row r="7976" spans="3:3">
      <c r="C7976"/>
    </row>
    <row r="7977" spans="3:3">
      <c r="C7977"/>
    </row>
    <row r="7978" spans="3:3">
      <c r="C7978"/>
    </row>
    <row r="7979" spans="3:3">
      <c r="C7979"/>
    </row>
    <row r="7980" spans="3:3">
      <c r="C7980"/>
    </row>
    <row r="7981" spans="3:3">
      <c r="C7981"/>
    </row>
    <row r="7982" spans="3:3">
      <c r="C7982"/>
    </row>
    <row r="7983" spans="3:3">
      <c r="C7983"/>
    </row>
    <row r="7984" spans="3:3">
      <c r="C7984"/>
    </row>
    <row r="7985" spans="3:3">
      <c r="C7985"/>
    </row>
    <row r="7986" spans="3:3">
      <c r="C7986"/>
    </row>
    <row r="7987" spans="3:3">
      <c r="C7987"/>
    </row>
    <row r="7988" spans="3:3">
      <c r="C7988"/>
    </row>
    <row r="7989" spans="3:3">
      <c r="C7989"/>
    </row>
    <row r="7990" spans="3:3">
      <c r="C7990"/>
    </row>
    <row r="7991" spans="3:3">
      <c r="C7991"/>
    </row>
    <row r="7992" spans="3:3">
      <c r="C7992"/>
    </row>
    <row r="7993" spans="3:3">
      <c r="C7993"/>
    </row>
    <row r="7994" spans="3:3">
      <c r="C7994"/>
    </row>
    <row r="7995" spans="3:3">
      <c r="C7995"/>
    </row>
    <row r="7996" spans="3:3">
      <c r="C7996"/>
    </row>
    <row r="7997" spans="3:3">
      <c r="C7997"/>
    </row>
    <row r="7998" spans="3:3">
      <c r="C7998"/>
    </row>
    <row r="7999" spans="3:3">
      <c r="C7999"/>
    </row>
    <row r="8000" spans="3:3">
      <c r="C8000"/>
    </row>
    <row r="8001" spans="3:3">
      <c r="C8001"/>
    </row>
    <row r="8002" spans="3:3">
      <c r="C8002"/>
    </row>
    <row r="8003" spans="3:3">
      <c r="C8003"/>
    </row>
    <row r="8004" spans="3:3">
      <c r="C8004"/>
    </row>
    <row r="8005" spans="3:3">
      <c r="C8005"/>
    </row>
    <row r="8006" spans="3:3">
      <c r="C8006"/>
    </row>
    <row r="8007" spans="3:3">
      <c r="C8007"/>
    </row>
    <row r="8008" spans="3:3">
      <c r="C8008"/>
    </row>
    <row r="8009" spans="3:3">
      <c r="C8009"/>
    </row>
    <row r="8010" spans="3:3">
      <c r="C8010"/>
    </row>
    <row r="8011" spans="3:3">
      <c r="C8011"/>
    </row>
    <row r="8012" spans="3:3">
      <c r="C8012"/>
    </row>
    <row r="8013" spans="3:3">
      <c r="C8013"/>
    </row>
    <row r="8014" spans="3:3">
      <c r="C8014"/>
    </row>
    <row r="8015" spans="3:3">
      <c r="C8015"/>
    </row>
    <row r="8016" spans="3:3">
      <c r="C8016"/>
    </row>
    <row r="8017" spans="3:3">
      <c r="C8017"/>
    </row>
    <row r="8018" spans="3:3">
      <c r="C8018"/>
    </row>
    <row r="8019" spans="3:3">
      <c r="C8019"/>
    </row>
    <row r="8020" spans="3:3">
      <c r="C8020"/>
    </row>
    <row r="8021" spans="3:3">
      <c r="C8021"/>
    </row>
    <row r="8022" spans="3:3">
      <c r="C8022"/>
    </row>
    <row r="8023" spans="3:3">
      <c r="C8023"/>
    </row>
    <row r="8024" spans="3:3">
      <c r="C8024"/>
    </row>
    <row r="8025" spans="3:3">
      <c r="C8025"/>
    </row>
    <row r="8026" spans="3:3">
      <c r="C8026"/>
    </row>
    <row r="8027" spans="3:3">
      <c r="C8027"/>
    </row>
    <row r="8028" spans="3:3">
      <c r="C8028"/>
    </row>
    <row r="8029" spans="3:3">
      <c r="C8029"/>
    </row>
    <row r="8030" spans="3:3">
      <c r="C8030"/>
    </row>
    <row r="8031" spans="3:3">
      <c r="C8031"/>
    </row>
    <row r="8032" spans="3:3">
      <c r="C8032"/>
    </row>
    <row r="8033" spans="3:3">
      <c r="C8033"/>
    </row>
    <row r="8034" spans="3:3">
      <c r="C8034"/>
    </row>
    <row r="8035" spans="3:3">
      <c r="C8035"/>
    </row>
    <row r="8036" spans="3:3">
      <c r="C8036"/>
    </row>
    <row r="8037" spans="3:3">
      <c r="C8037"/>
    </row>
    <row r="8038" spans="3:3">
      <c r="C8038"/>
    </row>
    <row r="8039" spans="3:3">
      <c r="C8039"/>
    </row>
    <row r="8040" spans="3:3">
      <c r="C8040"/>
    </row>
    <row r="8041" spans="3:3">
      <c r="C8041"/>
    </row>
    <row r="8042" spans="3:3">
      <c r="C8042"/>
    </row>
    <row r="8043" spans="3:3">
      <c r="C8043"/>
    </row>
    <row r="8044" spans="3:3">
      <c r="C8044"/>
    </row>
    <row r="8045" spans="3:3">
      <c r="C8045"/>
    </row>
    <row r="8046" spans="3:3">
      <c r="C8046"/>
    </row>
    <row r="8047" spans="3:3">
      <c r="C8047"/>
    </row>
    <row r="8048" spans="3:3">
      <c r="C8048"/>
    </row>
    <row r="8049" spans="3:3">
      <c r="C8049"/>
    </row>
    <row r="8050" spans="3:3">
      <c r="C8050"/>
    </row>
    <row r="8051" spans="3:3">
      <c r="C8051"/>
    </row>
    <row r="8052" spans="3:3">
      <c r="C8052"/>
    </row>
    <row r="8053" spans="3:3">
      <c r="C8053"/>
    </row>
    <row r="8054" spans="3:3">
      <c r="C8054"/>
    </row>
    <row r="8055" spans="3:3">
      <c r="C8055"/>
    </row>
    <row r="8056" spans="3:3">
      <c r="C8056"/>
    </row>
    <row r="8057" spans="3:3">
      <c r="C8057"/>
    </row>
    <row r="8058" spans="3:3">
      <c r="C8058"/>
    </row>
    <row r="8059" spans="3:3">
      <c r="C8059"/>
    </row>
    <row r="8060" spans="3:3">
      <c r="C8060"/>
    </row>
    <row r="8061" spans="3:3">
      <c r="C8061"/>
    </row>
    <row r="8062" spans="3:3">
      <c r="C8062"/>
    </row>
    <row r="8063" spans="3:3">
      <c r="C8063"/>
    </row>
    <row r="8064" spans="3:3">
      <c r="C8064"/>
    </row>
    <row r="8065" spans="3:3">
      <c r="C8065"/>
    </row>
    <row r="8066" spans="3:3">
      <c r="C8066"/>
    </row>
    <row r="8067" spans="3:3">
      <c r="C8067"/>
    </row>
    <row r="8068" spans="3:3">
      <c r="C8068"/>
    </row>
    <row r="8069" spans="3:3">
      <c r="C8069"/>
    </row>
    <row r="8070" spans="3:3">
      <c r="C8070"/>
    </row>
    <row r="8071" spans="3:3">
      <c r="C8071"/>
    </row>
    <row r="8072" spans="3:3">
      <c r="C8072"/>
    </row>
    <row r="8073" spans="3:3">
      <c r="C8073"/>
    </row>
    <row r="8074" spans="3:3">
      <c r="C8074"/>
    </row>
    <row r="8075" spans="3:3">
      <c r="C8075"/>
    </row>
    <row r="8076" spans="3:3">
      <c r="C8076"/>
    </row>
    <row r="8077" spans="3:3">
      <c r="C8077"/>
    </row>
    <row r="8078" spans="3:3">
      <c r="C8078"/>
    </row>
    <row r="8079" spans="3:3">
      <c r="C8079"/>
    </row>
    <row r="8080" spans="3:3">
      <c r="C8080"/>
    </row>
    <row r="8081" spans="3:3">
      <c r="C8081"/>
    </row>
    <row r="8082" spans="3:3">
      <c r="C8082"/>
    </row>
    <row r="8083" spans="3:3">
      <c r="C8083"/>
    </row>
    <row r="8084" spans="3:3">
      <c r="C8084"/>
    </row>
    <row r="8085" spans="3:3">
      <c r="C8085"/>
    </row>
    <row r="8086" spans="3:3">
      <c r="C8086"/>
    </row>
    <row r="8087" spans="3:3">
      <c r="C8087"/>
    </row>
    <row r="8088" spans="3:3">
      <c r="C8088"/>
    </row>
    <row r="8089" spans="3:3">
      <c r="C8089"/>
    </row>
    <row r="8090" spans="3:3">
      <c r="C8090"/>
    </row>
    <row r="8091" spans="3:3">
      <c r="C8091"/>
    </row>
    <row r="8092" spans="3:3">
      <c r="C8092"/>
    </row>
    <row r="8093" spans="3:3">
      <c r="C8093"/>
    </row>
    <row r="8094" spans="3:3">
      <c r="C8094"/>
    </row>
    <row r="8095" spans="3:3">
      <c r="C8095"/>
    </row>
    <row r="8096" spans="3:3">
      <c r="C8096"/>
    </row>
    <row r="8097" spans="3:3">
      <c r="C8097"/>
    </row>
    <row r="8098" spans="3:3">
      <c r="C8098"/>
    </row>
    <row r="8099" spans="3:3">
      <c r="C8099"/>
    </row>
    <row r="8100" spans="3:3">
      <c r="C8100"/>
    </row>
    <row r="8101" spans="3:3">
      <c r="C8101"/>
    </row>
    <row r="8102" spans="3:3">
      <c r="C8102"/>
    </row>
    <row r="8103" spans="3:3">
      <c r="C8103"/>
    </row>
    <row r="8104" spans="3:3">
      <c r="C8104"/>
    </row>
    <row r="8105" spans="3:3">
      <c r="C8105"/>
    </row>
    <row r="8106" spans="3:3">
      <c r="C8106"/>
    </row>
    <row r="8107" spans="3:3">
      <c r="C8107"/>
    </row>
    <row r="8108" spans="3:3">
      <c r="C8108"/>
    </row>
    <row r="8109" spans="3:3">
      <c r="C8109"/>
    </row>
    <row r="8110" spans="3:3">
      <c r="C8110"/>
    </row>
    <row r="8111" spans="3:3">
      <c r="C8111"/>
    </row>
    <row r="8112" spans="3:3">
      <c r="C8112"/>
    </row>
    <row r="8113" spans="3:3">
      <c r="C8113"/>
    </row>
    <row r="8114" spans="3:3">
      <c r="C8114"/>
    </row>
    <row r="8115" spans="3:3">
      <c r="C8115"/>
    </row>
    <row r="8116" spans="3:3">
      <c r="C8116"/>
    </row>
    <row r="8117" spans="3:3">
      <c r="C8117"/>
    </row>
    <row r="8118" spans="3:3">
      <c r="C8118"/>
    </row>
    <row r="8119" spans="3:3">
      <c r="C8119"/>
    </row>
    <row r="8120" spans="3:3">
      <c r="C8120"/>
    </row>
    <row r="8121" spans="3:3">
      <c r="C8121"/>
    </row>
    <row r="8122" spans="3:3">
      <c r="C8122"/>
    </row>
    <row r="8123" spans="3:3">
      <c r="C8123"/>
    </row>
    <row r="8124" spans="3:3">
      <c r="C8124"/>
    </row>
    <row r="8125" spans="3:3">
      <c r="C8125"/>
    </row>
    <row r="8126" spans="3:3">
      <c r="C8126"/>
    </row>
    <row r="8127" spans="3:3">
      <c r="C8127"/>
    </row>
    <row r="8128" spans="3:3">
      <c r="C8128"/>
    </row>
    <row r="8129" spans="3:3">
      <c r="C8129"/>
    </row>
    <row r="8130" spans="3:3">
      <c r="C8130"/>
    </row>
    <row r="8131" spans="3:3">
      <c r="C8131"/>
    </row>
    <row r="8132" spans="3:3">
      <c r="C8132"/>
    </row>
    <row r="8133" spans="3:3">
      <c r="C8133"/>
    </row>
    <row r="8134" spans="3:3">
      <c r="C8134"/>
    </row>
    <row r="8135" spans="3:3">
      <c r="C8135"/>
    </row>
    <row r="8136" spans="3:3">
      <c r="C8136"/>
    </row>
    <row r="8137" spans="3:3">
      <c r="C8137"/>
    </row>
    <row r="8138" spans="3:3">
      <c r="C8138"/>
    </row>
    <row r="8139" spans="3:3">
      <c r="C8139"/>
    </row>
    <row r="8140" spans="3:3">
      <c r="C8140"/>
    </row>
    <row r="8141" spans="3:3">
      <c r="C8141"/>
    </row>
    <row r="8142" spans="3:3">
      <c r="C8142"/>
    </row>
    <row r="8143" spans="3:3">
      <c r="C8143"/>
    </row>
    <row r="8144" spans="3:3">
      <c r="C8144"/>
    </row>
    <row r="8145" spans="3:3">
      <c r="C8145"/>
    </row>
    <row r="8146" spans="3:3">
      <c r="C8146"/>
    </row>
    <row r="8147" spans="3:3">
      <c r="C8147"/>
    </row>
    <row r="8148" spans="3:3">
      <c r="C8148"/>
    </row>
    <row r="8149" spans="3:3">
      <c r="C8149"/>
    </row>
    <row r="8150" spans="3:3">
      <c r="C8150"/>
    </row>
    <row r="8151" spans="3:3">
      <c r="C8151"/>
    </row>
    <row r="8152" spans="3:3">
      <c r="C8152"/>
    </row>
    <row r="8153" spans="3:3">
      <c r="C8153"/>
    </row>
    <row r="8154" spans="3:3">
      <c r="C8154"/>
    </row>
    <row r="8155" spans="3:3">
      <c r="C8155"/>
    </row>
    <row r="8156" spans="3:3">
      <c r="C8156"/>
    </row>
    <row r="8157" spans="3:3">
      <c r="C8157"/>
    </row>
    <row r="8158" spans="3:3">
      <c r="C8158"/>
    </row>
    <row r="8159" spans="3:3">
      <c r="C8159"/>
    </row>
    <row r="8160" spans="3:3">
      <c r="C8160"/>
    </row>
    <row r="8161" spans="3:3">
      <c r="C8161"/>
    </row>
    <row r="8162" spans="3:3">
      <c r="C8162"/>
    </row>
    <row r="8163" spans="3:3">
      <c r="C8163"/>
    </row>
    <row r="8164" spans="3:3">
      <c r="C8164"/>
    </row>
    <row r="8165" spans="3:3">
      <c r="C8165"/>
    </row>
    <row r="8166" spans="3:3">
      <c r="C8166"/>
    </row>
    <row r="8167" spans="3:3">
      <c r="C8167"/>
    </row>
    <row r="8168" spans="3:3">
      <c r="C8168"/>
    </row>
    <row r="8169" spans="3:3">
      <c r="C8169"/>
    </row>
    <row r="8170" spans="3:3">
      <c r="C8170"/>
    </row>
    <row r="8171" spans="3:3">
      <c r="C8171"/>
    </row>
    <row r="8172" spans="3:3">
      <c r="C8172"/>
    </row>
    <row r="8173" spans="3:3">
      <c r="C8173"/>
    </row>
    <row r="8174" spans="3:3">
      <c r="C8174"/>
    </row>
    <row r="8175" spans="3:3">
      <c r="C8175"/>
    </row>
    <row r="8176" spans="3:3">
      <c r="C8176"/>
    </row>
    <row r="8177" spans="3:3">
      <c r="C8177"/>
    </row>
    <row r="8178" spans="3:3">
      <c r="C8178"/>
    </row>
    <row r="8179" spans="3:3">
      <c r="C8179"/>
    </row>
    <row r="8180" spans="3:3">
      <c r="C8180"/>
    </row>
    <row r="8181" spans="3:3">
      <c r="C8181"/>
    </row>
    <row r="8182" spans="3:3">
      <c r="C8182"/>
    </row>
    <row r="8183" spans="3:3">
      <c r="C8183"/>
    </row>
    <row r="8184" spans="3:3">
      <c r="C8184"/>
    </row>
    <row r="8185" spans="3:3">
      <c r="C8185"/>
    </row>
    <row r="8186" spans="3:3">
      <c r="C8186"/>
    </row>
    <row r="8187" spans="3:3">
      <c r="C8187"/>
    </row>
    <row r="8188" spans="3:3">
      <c r="C8188"/>
    </row>
    <row r="8189" spans="3:3">
      <c r="C8189"/>
    </row>
    <row r="8190" spans="3:3">
      <c r="C8190"/>
    </row>
    <row r="8191" spans="3:3">
      <c r="C8191"/>
    </row>
    <row r="8192" spans="3:3">
      <c r="C8192"/>
    </row>
    <row r="8193" spans="3:3">
      <c r="C8193"/>
    </row>
    <row r="8194" spans="3:3">
      <c r="C8194"/>
    </row>
    <row r="8195" spans="3:3">
      <c r="C8195"/>
    </row>
    <row r="8196" spans="3:3">
      <c r="C8196"/>
    </row>
    <row r="8197" spans="3:3">
      <c r="C8197"/>
    </row>
    <row r="8198" spans="3:3">
      <c r="C8198"/>
    </row>
    <row r="8199" spans="3:3">
      <c r="C8199"/>
    </row>
    <row r="8200" spans="3:3">
      <c r="C8200"/>
    </row>
    <row r="8201" spans="3:3">
      <c r="C8201"/>
    </row>
    <row r="8202" spans="3:3">
      <c r="C8202"/>
    </row>
    <row r="8203" spans="3:3">
      <c r="C8203"/>
    </row>
    <row r="8204" spans="3:3">
      <c r="C8204"/>
    </row>
    <row r="8205" spans="3:3">
      <c r="C8205"/>
    </row>
    <row r="8206" spans="3:3">
      <c r="C8206"/>
    </row>
    <row r="8207" spans="3:3">
      <c r="C8207"/>
    </row>
    <row r="8208" spans="3:3">
      <c r="C8208"/>
    </row>
    <row r="8209" spans="3:3">
      <c r="C8209"/>
    </row>
    <row r="8210" spans="3:3">
      <c r="C8210"/>
    </row>
    <row r="8211" spans="3:3">
      <c r="C8211"/>
    </row>
    <row r="8212" spans="3:3">
      <c r="C8212"/>
    </row>
    <row r="8213" spans="3:3">
      <c r="C8213"/>
    </row>
    <row r="8214" spans="3:3">
      <c r="C8214"/>
    </row>
    <row r="8215" spans="3:3">
      <c r="C8215"/>
    </row>
    <row r="8216" spans="3:3">
      <c r="C8216"/>
    </row>
    <row r="8217" spans="3:3">
      <c r="C8217"/>
    </row>
    <row r="8218" spans="3:3">
      <c r="C8218"/>
    </row>
    <row r="8219" spans="3:3">
      <c r="C8219"/>
    </row>
    <row r="8220" spans="3:3">
      <c r="C8220"/>
    </row>
    <row r="8221" spans="3:3">
      <c r="C8221"/>
    </row>
    <row r="8222" spans="3:3">
      <c r="C8222"/>
    </row>
    <row r="8223" spans="3:3">
      <c r="C8223"/>
    </row>
    <row r="8224" spans="3:3">
      <c r="C8224"/>
    </row>
    <row r="8225" spans="3:3">
      <c r="C8225"/>
    </row>
    <row r="8226" spans="3:3">
      <c r="C8226"/>
    </row>
    <row r="8227" spans="3:3">
      <c r="C8227"/>
    </row>
    <row r="8228" spans="3:3">
      <c r="C8228"/>
    </row>
    <row r="8229" spans="3:3">
      <c r="C8229"/>
    </row>
    <row r="8230" spans="3:3">
      <c r="C8230"/>
    </row>
    <row r="8231" spans="3:3">
      <c r="C8231"/>
    </row>
    <row r="8232" spans="3:3">
      <c r="C8232"/>
    </row>
    <row r="8233" spans="3:3">
      <c r="C8233"/>
    </row>
    <row r="8234" spans="3:3">
      <c r="C8234"/>
    </row>
    <row r="8235" spans="3:3">
      <c r="C8235"/>
    </row>
    <row r="8236" spans="3:3">
      <c r="C8236"/>
    </row>
    <row r="8237" spans="3:3">
      <c r="C8237"/>
    </row>
    <row r="8238" spans="3:3">
      <c r="C8238"/>
    </row>
    <row r="8239" spans="3:3">
      <c r="C8239"/>
    </row>
    <row r="8240" spans="3:3">
      <c r="C8240"/>
    </row>
    <row r="8241" spans="3:3">
      <c r="C8241"/>
    </row>
    <row r="8242" spans="3:3">
      <c r="C8242"/>
    </row>
    <row r="8243" spans="3:3">
      <c r="C8243"/>
    </row>
    <row r="8244" spans="3:3">
      <c r="C8244"/>
    </row>
    <row r="8245" spans="3:3">
      <c r="C8245"/>
    </row>
    <row r="8246" spans="3:3">
      <c r="C8246"/>
    </row>
    <row r="8247" spans="3:3">
      <c r="C8247"/>
    </row>
    <row r="8248" spans="3:3">
      <c r="C8248"/>
    </row>
    <row r="8249" spans="3:3">
      <c r="C8249"/>
    </row>
    <row r="8250" spans="3:3">
      <c r="C8250"/>
    </row>
    <row r="8251" spans="3:3">
      <c r="C8251"/>
    </row>
    <row r="8252" spans="3:3">
      <c r="C8252"/>
    </row>
    <row r="8253" spans="3:3">
      <c r="C8253"/>
    </row>
    <row r="8254" spans="3:3">
      <c r="C8254"/>
    </row>
    <row r="8255" spans="3:3">
      <c r="C8255"/>
    </row>
    <row r="8256" spans="3:3">
      <c r="C8256"/>
    </row>
    <row r="8257" spans="3:3">
      <c r="C8257"/>
    </row>
    <row r="8258" spans="3:3">
      <c r="C8258"/>
    </row>
    <row r="8259" spans="3:3">
      <c r="C8259"/>
    </row>
    <row r="8260" spans="3:3">
      <c r="C8260"/>
    </row>
    <row r="8261" spans="3:3">
      <c r="C8261"/>
    </row>
    <row r="8262" spans="3:3">
      <c r="C8262"/>
    </row>
    <row r="8263" spans="3:3">
      <c r="C8263"/>
    </row>
    <row r="8264" spans="3:3">
      <c r="C8264"/>
    </row>
    <row r="8265" spans="3:3">
      <c r="C8265"/>
    </row>
    <row r="8266" spans="3:3">
      <c r="C8266"/>
    </row>
    <row r="8267" spans="3:3">
      <c r="C8267"/>
    </row>
    <row r="8268" spans="3:3">
      <c r="C8268"/>
    </row>
    <row r="8269" spans="3:3">
      <c r="C8269"/>
    </row>
    <row r="8270" spans="3:3">
      <c r="C8270"/>
    </row>
    <row r="8271" spans="3:3">
      <c r="C8271"/>
    </row>
    <row r="8272" spans="3:3">
      <c r="C8272"/>
    </row>
    <row r="8273" spans="3:3">
      <c r="C8273"/>
    </row>
    <row r="8274" spans="3:3">
      <c r="C8274"/>
    </row>
    <row r="8275" spans="3:3">
      <c r="C8275"/>
    </row>
    <row r="8276" spans="3:3">
      <c r="C8276"/>
    </row>
    <row r="8277" spans="3:3">
      <c r="C8277"/>
    </row>
    <row r="8278" spans="3:3">
      <c r="C8278"/>
    </row>
    <row r="8279" spans="3:3">
      <c r="C8279"/>
    </row>
    <row r="8280" spans="3:3">
      <c r="C8280"/>
    </row>
    <row r="8281" spans="3:3">
      <c r="C8281"/>
    </row>
    <row r="8282" spans="3:3">
      <c r="C8282"/>
    </row>
    <row r="8283" spans="3:3">
      <c r="C8283"/>
    </row>
    <row r="8284" spans="3:3">
      <c r="C8284"/>
    </row>
    <row r="8285" spans="3:3">
      <c r="C8285"/>
    </row>
    <row r="8286" spans="3:3">
      <c r="C8286"/>
    </row>
    <row r="8287" spans="3:3">
      <c r="C8287"/>
    </row>
    <row r="8288" spans="3:3">
      <c r="C8288"/>
    </row>
    <row r="8289" spans="3:3">
      <c r="C8289"/>
    </row>
    <row r="8290" spans="3:3">
      <c r="C8290"/>
    </row>
    <row r="8291" spans="3:3">
      <c r="C8291"/>
    </row>
    <row r="8292" spans="3:3">
      <c r="C8292"/>
    </row>
    <row r="8293" spans="3:3">
      <c r="C8293"/>
    </row>
    <row r="8294" spans="3:3">
      <c r="C8294"/>
    </row>
    <row r="8295" spans="3:3">
      <c r="C8295"/>
    </row>
    <row r="8296" spans="3:3">
      <c r="C8296"/>
    </row>
    <row r="8297" spans="3:3">
      <c r="C8297"/>
    </row>
    <row r="8298" spans="3:3">
      <c r="C8298"/>
    </row>
    <row r="8299" spans="3:3">
      <c r="C8299"/>
    </row>
    <row r="8300" spans="3:3">
      <c r="C8300"/>
    </row>
    <row r="8301" spans="3:3">
      <c r="C8301"/>
    </row>
    <row r="8302" spans="3:3">
      <c r="C8302"/>
    </row>
    <row r="8303" spans="3:3">
      <c r="C8303"/>
    </row>
    <row r="8304" spans="3:3">
      <c r="C8304"/>
    </row>
    <row r="8305" spans="3:3">
      <c r="C8305"/>
    </row>
    <row r="8306" spans="3:3">
      <c r="C8306"/>
    </row>
    <row r="8307" spans="3:3">
      <c r="C8307"/>
    </row>
    <row r="8308" spans="3:3">
      <c r="C8308"/>
    </row>
    <row r="8309" spans="3:3">
      <c r="C8309"/>
    </row>
    <row r="8310" spans="3:3">
      <c r="C8310"/>
    </row>
    <row r="8311" spans="3:3">
      <c r="C8311"/>
    </row>
    <row r="8312" spans="3:3">
      <c r="C8312"/>
    </row>
    <row r="8313" spans="3:3">
      <c r="C8313"/>
    </row>
    <row r="8314" spans="3:3">
      <c r="C8314"/>
    </row>
    <row r="8315" spans="3:3">
      <c r="C8315"/>
    </row>
    <row r="8316" spans="3:3">
      <c r="C8316"/>
    </row>
    <row r="8317" spans="3:3">
      <c r="C8317"/>
    </row>
    <row r="8318" spans="3:3">
      <c r="C8318"/>
    </row>
    <row r="8319" spans="3:3">
      <c r="C8319"/>
    </row>
    <row r="8320" spans="3:3">
      <c r="C8320"/>
    </row>
    <row r="8321" spans="3:3">
      <c r="C8321"/>
    </row>
    <row r="8322" spans="3:3">
      <c r="C8322"/>
    </row>
    <row r="8323" spans="3:3">
      <c r="C8323"/>
    </row>
    <row r="8324" spans="3:3">
      <c r="C8324"/>
    </row>
    <row r="8325" spans="3:3">
      <c r="C8325"/>
    </row>
    <row r="8326" spans="3:3">
      <c r="C8326"/>
    </row>
    <row r="8327" spans="3:3">
      <c r="C8327"/>
    </row>
    <row r="8328" spans="3:3">
      <c r="C8328"/>
    </row>
    <row r="8329" spans="3:3">
      <c r="C8329"/>
    </row>
    <row r="8330" spans="3:3">
      <c r="C8330"/>
    </row>
    <row r="8331" spans="3:3">
      <c r="C8331"/>
    </row>
    <row r="8332" spans="3:3">
      <c r="C8332"/>
    </row>
    <row r="8333" spans="3:3">
      <c r="C8333"/>
    </row>
    <row r="8334" spans="3:3">
      <c r="C8334"/>
    </row>
    <row r="8335" spans="3:3">
      <c r="C8335"/>
    </row>
    <row r="8336" spans="3:3">
      <c r="C8336"/>
    </row>
    <row r="8337" spans="3:3">
      <c r="C8337"/>
    </row>
    <row r="8338" spans="3:3">
      <c r="C8338"/>
    </row>
    <row r="8339" spans="3:3">
      <c r="C8339"/>
    </row>
    <row r="8340" spans="3:3">
      <c r="C8340"/>
    </row>
    <row r="8341" spans="3:3">
      <c r="C8341"/>
    </row>
    <row r="8342" spans="3:3">
      <c r="C8342"/>
    </row>
    <row r="8343" spans="3:3">
      <c r="C8343"/>
    </row>
    <row r="8344" spans="3:3">
      <c r="C8344"/>
    </row>
    <row r="8345" spans="3:3">
      <c r="C8345"/>
    </row>
    <row r="8346" spans="3:3">
      <c r="C8346"/>
    </row>
    <row r="8347" spans="3:3">
      <c r="C8347"/>
    </row>
    <row r="8348" spans="3:3">
      <c r="C8348"/>
    </row>
    <row r="8349" spans="3:3">
      <c r="C8349"/>
    </row>
    <row r="8350" spans="3:3">
      <c r="C8350"/>
    </row>
    <row r="8351" spans="3:3">
      <c r="C8351"/>
    </row>
    <row r="8352" spans="3:3">
      <c r="C8352"/>
    </row>
    <row r="8353" spans="3:3">
      <c r="C8353"/>
    </row>
    <row r="8354" spans="3:3">
      <c r="C8354"/>
    </row>
    <row r="8355" spans="3:3">
      <c r="C8355"/>
    </row>
    <row r="8356" spans="3:3">
      <c r="C8356"/>
    </row>
    <row r="8357" spans="3:3">
      <c r="C8357"/>
    </row>
    <row r="8358" spans="3:3">
      <c r="C8358"/>
    </row>
    <row r="8359" spans="3:3">
      <c r="C8359"/>
    </row>
    <row r="8360" spans="3:3">
      <c r="C8360"/>
    </row>
    <row r="8361" spans="3:3">
      <c r="C8361"/>
    </row>
    <row r="8362" spans="3:3">
      <c r="C8362"/>
    </row>
    <row r="8363" spans="3:3">
      <c r="C8363"/>
    </row>
    <row r="8364" spans="3:3">
      <c r="C8364"/>
    </row>
    <row r="8365" spans="3:3">
      <c r="C8365"/>
    </row>
    <row r="8366" spans="3:3">
      <c r="C8366"/>
    </row>
    <row r="8367" spans="3:3">
      <c r="C8367"/>
    </row>
    <row r="8368" spans="3:3">
      <c r="C8368"/>
    </row>
    <row r="8369" spans="3:3">
      <c r="C8369"/>
    </row>
    <row r="8370" spans="3:3">
      <c r="C8370"/>
    </row>
    <row r="8371" spans="3:3">
      <c r="C8371"/>
    </row>
    <row r="8372" spans="3:3">
      <c r="C8372"/>
    </row>
    <row r="8373" spans="3:3">
      <c r="C8373"/>
    </row>
    <row r="8374" spans="3:3">
      <c r="C8374"/>
    </row>
    <row r="8375" spans="3:3">
      <c r="C8375"/>
    </row>
    <row r="8376" spans="3:3">
      <c r="C8376"/>
    </row>
    <row r="8377" spans="3:3">
      <c r="C8377"/>
    </row>
    <row r="8378" spans="3:3">
      <c r="C8378"/>
    </row>
    <row r="8379" spans="3:3">
      <c r="C8379"/>
    </row>
    <row r="8380" spans="3:3">
      <c r="C8380"/>
    </row>
    <row r="8381" spans="3:3">
      <c r="C8381"/>
    </row>
    <row r="8382" spans="3:3">
      <c r="C8382"/>
    </row>
    <row r="8383" spans="3:3">
      <c r="C8383"/>
    </row>
    <row r="8384" spans="3:3">
      <c r="C8384"/>
    </row>
    <row r="8385" spans="3:3">
      <c r="C8385"/>
    </row>
    <row r="8386" spans="3:3">
      <c r="C8386"/>
    </row>
    <row r="8387" spans="3:3">
      <c r="C8387"/>
    </row>
    <row r="8388" spans="3:3">
      <c r="C8388"/>
    </row>
    <row r="8389" spans="3:3">
      <c r="C8389"/>
    </row>
    <row r="8390" spans="3:3">
      <c r="C8390"/>
    </row>
    <row r="8391" spans="3:3">
      <c r="C8391"/>
    </row>
    <row r="8392" spans="3:3">
      <c r="C8392"/>
    </row>
    <row r="8393" spans="3:3">
      <c r="C8393"/>
    </row>
    <row r="8394" spans="3:3">
      <c r="C8394"/>
    </row>
    <row r="8395" spans="3:3">
      <c r="C8395"/>
    </row>
    <row r="8396" spans="3:3">
      <c r="C8396"/>
    </row>
    <row r="8397" spans="3:3">
      <c r="C8397"/>
    </row>
    <row r="8398" spans="3:3">
      <c r="C8398"/>
    </row>
    <row r="8399" spans="3:3">
      <c r="C8399"/>
    </row>
    <row r="8400" spans="3:3">
      <c r="C8400"/>
    </row>
    <row r="8401" spans="3:3">
      <c r="C8401"/>
    </row>
    <row r="8402" spans="3:3">
      <c r="C8402"/>
    </row>
    <row r="8403" spans="3:3">
      <c r="C8403"/>
    </row>
    <row r="8404" spans="3:3">
      <c r="C8404"/>
    </row>
    <row r="8405" spans="3:3">
      <c r="C8405"/>
    </row>
    <row r="8406" spans="3:3">
      <c r="C8406"/>
    </row>
    <row r="8407" spans="3:3">
      <c r="C8407"/>
    </row>
    <row r="8408" spans="3:3">
      <c r="C8408"/>
    </row>
    <row r="8409" spans="3:3">
      <c r="C8409"/>
    </row>
    <row r="8410" spans="3:3">
      <c r="C8410"/>
    </row>
    <row r="8411" spans="3:3">
      <c r="C8411"/>
    </row>
    <row r="8412" spans="3:3">
      <c r="C8412"/>
    </row>
    <row r="8413" spans="3:3">
      <c r="C8413"/>
    </row>
    <row r="8414" spans="3:3">
      <c r="C8414"/>
    </row>
    <row r="8415" spans="3:3">
      <c r="C8415"/>
    </row>
    <row r="8416" spans="3:3">
      <c r="C8416"/>
    </row>
    <row r="8417" spans="3:3">
      <c r="C8417"/>
    </row>
    <row r="8418" spans="3:3">
      <c r="C8418"/>
    </row>
    <row r="8419" spans="3:3">
      <c r="C8419"/>
    </row>
    <row r="8420" spans="3:3">
      <c r="C8420"/>
    </row>
    <row r="8421" spans="3:3">
      <c r="C8421"/>
    </row>
    <row r="8422" spans="3:3">
      <c r="C8422"/>
    </row>
    <row r="8423" spans="3:3">
      <c r="C8423"/>
    </row>
    <row r="8424" spans="3:3">
      <c r="C8424"/>
    </row>
    <row r="8425" spans="3:3">
      <c r="C8425"/>
    </row>
    <row r="8426" spans="3:3">
      <c r="C8426"/>
    </row>
    <row r="8427" spans="3:3">
      <c r="C8427"/>
    </row>
    <row r="8428" spans="3:3">
      <c r="C8428"/>
    </row>
    <row r="8429" spans="3:3">
      <c r="C8429"/>
    </row>
    <row r="8430" spans="3:3">
      <c r="C8430"/>
    </row>
    <row r="8431" spans="3:3">
      <c r="C8431"/>
    </row>
    <row r="8432" spans="3:3">
      <c r="C8432"/>
    </row>
    <row r="8433" spans="3:3">
      <c r="C8433"/>
    </row>
    <row r="8434" spans="3:3">
      <c r="C8434"/>
    </row>
    <row r="8435" spans="3:3">
      <c r="C8435"/>
    </row>
    <row r="8436" spans="3:3">
      <c r="C8436"/>
    </row>
    <row r="8437" spans="3:3">
      <c r="C8437"/>
    </row>
    <row r="8438" spans="3:3">
      <c r="C8438"/>
    </row>
    <row r="8439" spans="3:3">
      <c r="C8439"/>
    </row>
    <row r="8440" spans="3:3">
      <c r="C8440"/>
    </row>
    <row r="8441" spans="3:3">
      <c r="C8441"/>
    </row>
    <row r="8442" spans="3:3">
      <c r="C8442"/>
    </row>
    <row r="8443" spans="3:3">
      <c r="C8443"/>
    </row>
    <row r="8444" spans="3:3">
      <c r="C8444"/>
    </row>
    <row r="8445" spans="3:3">
      <c r="C8445"/>
    </row>
    <row r="8446" spans="3:3">
      <c r="C8446"/>
    </row>
    <row r="8447" spans="3:3">
      <c r="C8447"/>
    </row>
    <row r="8448" spans="3:3">
      <c r="C8448"/>
    </row>
    <row r="8449" spans="3:3">
      <c r="C8449"/>
    </row>
    <row r="8450" spans="3:3">
      <c r="C8450"/>
    </row>
    <row r="8451" spans="3:3">
      <c r="C8451"/>
    </row>
    <row r="8452" spans="3:3">
      <c r="C8452"/>
    </row>
    <row r="8453" spans="3:3">
      <c r="C8453"/>
    </row>
    <row r="8454" spans="3:3">
      <c r="C8454"/>
    </row>
    <row r="8455" spans="3:3">
      <c r="C8455"/>
    </row>
    <row r="8456" spans="3:3">
      <c r="C8456"/>
    </row>
    <row r="8457" spans="3:3">
      <c r="C8457"/>
    </row>
    <row r="8458" spans="3:3">
      <c r="C8458"/>
    </row>
    <row r="8459" spans="3:3">
      <c r="C8459"/>
    </row>
    <row r="8460" spans="3:3">
      <c r="C8460"/>
    </row>
    <row r="8461" spans="3:3">
      <c r="C8461"/>
    </row>
    <row r="8462" spans="3:3">
      <c r="C8462"/>
    </row>
    <row r="8463" spans="3:3">
      <c r="C8463"/>
    </row>
    <row r="8464" spans="3:3">
      <c r="C8464"/>
    </row>
    <row r="8465" spans="3:3">
      <c r="C8465"/>
    </row>
    <row r="8466" spans="3:3">
      <c r="C8466"/>
    </row>
    <row r="8467" spans="3:3">
      <c r="C8467"/>
    </row>
    <row r="8468" spans="3:3">
      <c r="C8468"/>
    </row>
    <row r="8469" spans="3:3">
      <c r="C8469"/>
    </row>
    <row r="8470" spans="3:3">
      <c r="C8470"/>
    </row>
    <row r="8471" spans="3:3">
      <c r="C8471"/>
    </row>
    <row r="8472" spans="3:3">
      <c r="C8472"/>
    </row>
    <row r="8473" spans="3:3">
      <c r="C8473"/>
    </row>
    <row r="8474" spans="3:3">
      <c r="C8474"/>
    </row>
    <row r="8475" spans="3:3">
      <c r="C8475"/>
    </row>
    <row r="8476" spans="3:3">
      <c r="C8476"/>
    </row>
    <row r="8477" spans="3:3">
      <c r="C8477"/>
    </row>
    <row r="8478" spans="3:3">
      <c r="C8478"/>
    </row>
    <row r="8479" spans="3:3">
      <c r="C8479"/>
    </row>
    <row r="8480" spans="3:3">
      <c r="C8480"/>
    </row>
    <row r="8481" spans="3:3">
      <c r="C8481"/>
    </row>
    <row r="8482" spans="3:3">
      <c r="C8482"/>
    </row>
    <row r="8483" spans="3:3">
      <c r="C8483"/>
    </row>
    <row r="8484" spans="3:3">
      <c r="C8484"/>
    </row>
    <row r="8485" spans="3:3">
      <c r="C8485"/>
    </row>
    <row r="8486" spans="3:3">
      <c r="C8486"/>
    </row>
    <row r="8487" spans="3:3">
      <c r="C8487"/>
    </row>
    <row r="8488" spans="3:3">
      <c r="C8488"/>
    </row>
    <row r="8489" spans="3:3">
      <c r="C8489"/>
    </row>
    <row r="8490" spans="3:3">
      <c r="C8490"/>
    </row>
    <row r="8491" spans="3:3">
      <c r="C8491"/>
    </row>
    <row r="8492" spans="3:3">
      <c r="C8492"/>
    </row>
    <row r="8493" spans="3:3">
      <c r="C8493"/>
    </row>
    <row r="8494" spans="3:3">
      <c r="C8494"/>
    </row>
    <row r="8495" spans="3:3">
      <c r="C8495"/>
    </row>
    <row r="8496" spans="3:3">
      <c r="C8496"/>
    </row>
    <row r="8497" spans="3:3">
      <c r="C8497"/>
    </row>
    <row r="8498" spans="3:3">
      <c r="C8498"/>
    </row>
    <row r="8499" spans="3:3">
      <c r="C8499"/>
    </row>
    <row r="8500" spans="3:3">
      <c r="C8500"/>
    </row>
    <row r="8501" spans="3:3">
      <c r="C8501"/>
    </row>
    <row r="8502" spans="3:3">
      <c r="C8502"/>
    </row>
    <row r="8503" spans="3:3">
      <c r="C8503"/>
    </row>
    <row r="8504" spans="3:3">
      <c r="C8504"/>
    </row>
    <row r="8505" spans="3:3">
      <c r="C8505"/>
    </row>
    <row r="8506" spans="3:3">
      <c r="C8506"/>
    </row>
    <row r="8507" spans="3:3">
      <c r="C8507"/>
    </row>
    <row r="8508" spans="3:3">
      <c r="C8508"/>
    </row>
    <row r="8509" spans="3:3">
      <c r="C8509"/>
    </row>
    <row r="8510" spans="3:3">
      <c r="C8510"/>
    </row>
    <row r="8511" spans="3:3">
      <c r="C8511"/>
    </row>
    <row r="8512" spans="3:3">
      <c r="C8512"/>
    </row>
    <row r="8513" spans="3:3">
      <c r="C8513"/>
    </row>
    <row r="8514" spans="3:3">
      <c r="C8514"/>
    </row>
    <row r="8515" spans="3:3">
      <c r="C8515"/>
    </row>
    <row r="8516" spans="3:3">
      <c r="C8516"/>
    </row>
    <row r="8517" spans="3:3">
      <c r="C8517"/>
    </row>
    <row r="8518" spans="3:3">
      <c r="C8518"/>
    </row>
    <row r="8519" spans="3:3">
      <c r="C8519"/>
    </row>
    <row r="8520" spans="3:3">
      <c r="C8520"/>
    </row>
    <row r="8521" spans="3:3">
      <c r="C8521"/>
    </row>
    <row r="8522" spans="3:3">
      <c r="C8522"/>
    </row>
    <row r="8523" spans="3:3">
      <c r="C8523"/>
    </row>
    <row r="8524" spans="3:3">
      <c r="C8524"/>
    </row>
    <row r="8525" spans="3:3">
      <c r="C8525"/>
    </row>
    <row r="8526" spans="3:3">
      <c r="C8526"/>
    </row>
    <row r="8527" spans="3:3">
      <c r="C8527"/>
    </row>
    <row r="8528" spans="3:3">
      <c r="C8528"/>
    </row>
    <row r="8529" spans="3:3">
      <c r="C8529"/>
    </row>
    <row r="8530" spans="3:3">
      <c r="C8530"/>
    </row>
    <row r="8531" spans="3:3">
      <c r="C8531"/>
    </row>
    <row r="8532" spans="3:3">
      <c r="C8532"/>
    </row>
    <row r="8533" spans="3:3">
      <c r="C8533"/>
    </row>
    <row r="8534" spans="3:3">
      <c r="C8534"/>
    </row>
    <row r="8535" spans="3:3">
      <c r="C8535"/>
    </row>
    <row r="8536" spans="3:3">
      <c r="C8536"/>
    </row>
    <row r="8537" spans="3:3">
      <c r="C8537"/>
    </row>
    <row r="8538" spans="3:3">
      <c r="C8538"/>
    </row>
    <row r="8539" spans="3:3">
      <c r="C8539"/>
    </row>
    <row r="8540" spans="3:3">
      <c r="C8540"/>
    </row>
    <row r="8541" spans="3:3">
      <c r="C8541"/>
    </row>
    <row r="8542" spans="3:3">
      <c r="C8542"/>
    </row>
    <row r="8543" spans="3:3">
      <c r="C8543"/>
    </row>
    <row r="8544" spans="3:3">
      <c r="C8544"/>
    </row>
    <row r="8545" spans="3:3">
      <c r="C8545"/>
    </row>
    <row r="8546" spans="3:3">
      <c r="C8546"/>
    </row>
    <row r="8547" spans="3:3">
      <c r="C8547"/>
    </row>
    <row r="8548" spans="3:3">
      <c r="C8548"/>
    </row>
    <row r="8549" spans="3:3">
      <c r="C8549"/>
    </row>
    <row r="8550" spans="3:3">
      <c r="C8550"/>
    </row>
    <row r="8551" spans="3:3">
      <c r="C8551"/>
    </row>
    <row r="8552" spans="3:3">
      <c r="C8552"/>
    </row>
    <row r="8553" spans="3:3">
      <c r="C8553"/>
    </row>
    <row r="8554" spans="3:3">
      <c r="C8554"/>
    </row>
    <row r="8555" spans="3:3">
      <c r="C8555"/>
    </row>
    <row r="8556" spans="3:3">
      <c r="C8556"/>
    </row>
    <row r="8557" spans="3:3">
      <c r="C8557"/>
    </row>
    <row r="8558" spans="3:3">
      <c r="C8558"/>
    </row>
    <row r="8559" spans="3:3">
      <c r="C8559"/>
    </row>
    <row r="8560" spans="3:3">
      <c r="C8560"/>
    </row>
    <row r="8561" spans="3:3">
      <c r="C8561"/>
    </row>
    <row r="8562" spans="3:3">
      <c r="C8562"/>
    </row>
    <row r="8563" spans="3:3">
      <c r="C8563"/>
    </row>
    <row r="8564" spans="3:3">
      <c r="C8564"/>
    </row>
    <row r="8565" spans="3:3">
      <c r="C8565"/>
    </row>
    <row r="8566" spans="3:3">
      <c r="C8566"/>
    </row>
    <row r="8567" spans="3:3">
      <c r="C8567"/>
    </row>
    <row r="8568" spans="3:3">
      <c r="C8568"/>
    </row>
    <row r="8569" spans="3:3">
      <c r="C8569"/>
    </row>
    <row r="8570" spans="3:3">
      <c r="C8570"/>
    </row>
    <row r="8571" spans="3:3">
      <c r="C8571"/>
    </row>
    <row r="8572" spans="3:3">
      <c r="C8572"/>
    </row>
    <row r="8573" spans="3:3">
      <c r="C8573"/>
    </row>
    <row r="8574" spans="3:3">
      <c r="C8574"/>
    </row>
    <row r="8575" spans="3:3">
      <c r="C8575"/>
    </row>
    <row r="8576" spans="3:3">
      <c r="C8576"/>
    </row>
    <row r="8577" spans="3:3">
      <c r="C8577"/>
    </row>
    <row r="8578" spans="3:3">
      <c r="C8578"/>
    </row>
    <row r="8579" spans="3:3">
      <c r="C8579"/>
    </row>
    <row r="8580" spans="3:3">
      <c r="C8580"/>
    </row>
    <row r="8581" spans="3:3">
      <c r="C8581"/>
    </row>
    <row r="8582" spans="3:3">
      <c r="C8582"/>
    </row>
    <row r="8583" spans="3:3">
      <c r="C8583"/>
    </row>
    <row r="8584" spans="3:3">
      <c r="C8584"/>
    </row>
    <row r="8585" spans="3:3">
      <c r="C8585"/>
    </row>
    <row r="8586" spans="3:3">
      <c r="C8586"/>
    </row>
    <row r="8587" spans="3:3">
      <c r="C8587"/>
    </row>
    <row r="8588" spans="3:3">
      <c r="C8588"/>
    </row>
    <row r="8589" spans="3:3">
      <c r="C8589"/>
    </row>
    <row r="8590" spans="3:3">
      <c r="C8590"/>
    </row>
    <row r="8591" spans="3:3">
      <c r="C8591"/>
    </row>
    <row r="8592" spans="3:3">
      <c r="C8592"/>
    </row>
    <row r="8593" spans="3:3">
      <c r="C8593"/>
    </row>
    <row r="8594" spans="3:3">
      <c r="C8594"/>
    </row>
    <row r="8595" spans="3:3">
      <c r="C8595"/>
    </row>
    <row r="8596" spans="3:3">
      <c r="C8596"/>
    </row>
    <row r="8597" spans="3:3">
      <c r="C8597"/>
    </row>
    <row r="8598" spans="3:3">
      <c r="C8598"/>
    </row>
    <row r="8599" spans="3:3">
      <c r="C8599"/>
    </row>
    <row r="8600" spans="3:3">
      <c r="C8600"/>
    </row>
    <row r="8601" spans="3:3">
      <c r="C8601"/>
    </row>
    <row r="8602" spans="3:3">
      <c r="C8602"/>
    </row>
    <row r="8603" spans="3:3">
      <c r="C8603"/>
    </row>
    <row r="8604" spans="3:3">
      <c r="C8604"/>
    </row>
    <row r="8605" spans="3:3">
      <c r="C8605"/>
    </row>
    <row r="8606" spans="3:3">
      <c r="C8606"/>
    </row>
    <row r="8607" spans="3:3">
      <c r="C8607"/>
    </row>
    <row r="8608" spans="3:3">
      <c r="C8608"/>
    </row>
    <row r="8609" spans="3:3">
      <c r="C8609"/>
    </row>
    <row r="8610" spans="3:3">
      <c r="C8610"/>
    </row>
    <row r="8611" spans="3:3">
      <c r="C8611"/>
    </row>
    <row r="8612" spans="3:3">
      <c r="C8612"/>
    </row>
    <row r="8613" spans="3:3">
      <c r="C8613"/>
    </row>
    <row r="8614" spans="3:3">
      <c r="C8614"/>
    </row>
    <row r="8615" spans="3:3">
      <c r="C8615"/>
    </row>
    <row r="8616" spans="3:3">
      <c r="C8616"/>
    </row>
    <row r="8617" spans="3:3">
      <c r="C8617"/>
    </row>
    <row r="8618" spans="3:3">
      <c r="C8618"/>
    </row>
    <row r="8619" spans="3:3">
      <c r="C8619"/>
    </row>
    <row r="8620" spans="3:3">
      <c r="C8620"/>
    </row>
    <row r="8621" spans="3:3">
      <c r="C8621"/>
    </row>
    <row r="8622" spans="3:3">
      <c r="C8622"/>
    </row>
    <row r="8623" spans="3:3">
      <c r="C8623"/>
    </row>
    <row r="8624" spans="3:3">
      <c r="C8624"/>
    </row>
    <row r="8625" spans="3:3">
      <c r="C8625"/>
    </row>
    <row r="8626" spans="3:3">
      <c r="C8626"/>
    </row>
    <row r="8627" spans="3:3">
      <c r="C8627"/>
    </row>
    <row r="8628" spans="3:3">
      <c r="C8628"/>
    </row>
    <row r="8629" spans="3:3">
      <c r="C8629"/>
    </row>
    <row r="8630" spans="3:3">
      <c r="C8630"/>
    </row>
    <row r="8631" spans="3:3">
      <c r="C8631"/>
    </row>
    <row r="8632" spans="3:3">
      <c r="C8632"/>
    </row>
    <row r="8633" spans="3:3">
      <c r="C8633"/>
    </row>
    <row r="8634" spans="3:3">
      <c r="C8634"/>
    </row>
    <row r="8635" spans="3:3">
      <c r="C8635"/>
    </row>
    <row r="8636" spans="3:3">
      <c r="C8636"/>
    </row>
    <row r="8637" spans="3:3">
      <c r="C8637"/>
    </row>
    <row r="8638" spans="3:3">
      <c r="C8638"/>
    </row>
    <row r="8639" spans="3:3">
      <c r="C8639"/>
    </row>
    <row r="8640" spans="3:3">
      <c r="C8640"/>
    </row>
    <row r="8641" spans="3:3">
      <c r="C8641"/>
    </row>
    <row r="8642" spans="3:3">
      <c r="C8642"/>
    </row>
    <row r="8643" spans="3:3">
      <c r="C8643"/>
    </row>
    <row r="8644" spans="3:3">
      <c r="C8644"/>
    </row>
    <row r="8645" spans="3:3">
      <c r="C8645"/>
    </row>
    <row r="8646" spans="3:3">
      <c r="C8646"/>
    </row>
    <row r="8647" spans="3:3">
      <c r="C8647"/>
    </row>
    <row r="8648" spans="3:3">
      <c r="C8648"/>
    </row>
    <row r="8649" spans="3:3">
      <c r="C8649"/>
    </row>
    <row r="8650" spans="3:3">
      <c r="C8650"/>
    </row>
    <row r="8651" spans="3:3">
      <c r="C8651"/>
    </row>
    <row r="8652" spans="3:3">
      <c r="C8652"/>
    </row>
    <row r="8653" spans="3:3">
      <c r="C8653"/>
    </row>
    <row r="8654" spans="3:3">
      <c r="C8654"/>
    </row>
    <row r="8655" spans="3:3">
      <c r="C8655"/>
    </row>
    <row r="8656" spans="3:3">
      <c r="C8656"/>
    </row>
    <row r="8657" spans="3:3">
      <c r="C8657"/>
    </row>
    <row r="8658" spans="3:3">
      <c r="C8658"/>
    </row>
    <row r="8659" spans="3:3">
      <c r="C8659"/>
    </row>
    <row r="8660" spans="3:3">
      <c r="C8660"/>
    </row>
    <row r="8661" spans="3:3">
      <c r="C8661"/>
    </row>
    <row r="8662" spans="3:3">
      <c r="C8662"/>
    </row>
    <row r="8663" spans="3:3">
      <c r="C8663"/>
    </row>
    <row r="8664" spans="3:3">
      <c r="C8664"/>
    </row>
    <row r="8665" spans="3:3">
      <c r="C8665"/>
    </row>
    <row r="8666" spans="3:3">
      <c r="C8666"/>
    </row>
    <row r="8667" spans="3:3">
      <c r="C8667"/>
    </row>
    <row r="8668" spans="3:3">
      <c r="C8668"/>
    </row>
    <row r="8669" spans="3:3">
      <c r="C8669"/>
    </row>
    <row r="8670" spans="3:3">
      <c r="C8670"/>
    </row>
    <row r="8671" spans="3:3">
      <c r="C8671"/>
    </row>
    <row r="8672" spans="3:3">
      <c r="C8672"/>
    </row>
    <row r="8673" spans="3:3">
      <c r="C8673"/>
    </row>
    <row r="8674" spans="3:3">
      <c r="C8674"/>
    </row>
    <row r="8675" spans="3:3">
      <c r="C8675"/>
    </row>
    <row r="8676" spans="3:3">
      <c r="C8676"/>
    </row>
    <row r="8677" spans="3:3">
      <c r="C8677"/>
    </row>
    <row r="8678" spans="3:3">
      <c r="C8678"/>
    </row>
    <row r="8679" spans="3:3">
      <c r="C8679"/>
    </row>
    <row r="8680" spans="3:3">
      <c r="C8680"/>
    </row>
    <row r="8681" spans="3:3">
      <c r="C8681"/>
    </row>
    <row r="8682" spans="3:3">
      <c r="C8682"/>
    </row>
    <row r="8683" spans="3:3">
      <c r="C8683"/>
    </row>
    <row r="8684" spans="3:3">
      <c r="C8684"/>
    </row>
    <row r="8685" spans="3:3">
      <c r="C8685"/>
    </row>
    <row r="8686" spans="3:3">
      <c r="C8686"/>
    </row>
    <row r="8687" spans="3:3">
      <c r="C8687"/>
    </row>
    <row r="8688" spans="3:3">
      <c r="C8688"/>
    </row>
    <row r="8689" spans="3:3">
      <c r="C8689"/>
    </row>
    <row r="8690" spans="3:3">
      <c r="C8690"/>
    </row>
    <row r="8691" spans="3:3">
      <c r="C8691"/>
    </row>
    <row r="8692" spans="3:3">
      <c r="C8692"/>
    </row>
    <row r="8693" spans="3:3">
      <c r="C8693"/>
    </row>
    <row r="8694" spans="3:3">
      <c r="C8694"/>
    </row>
    <row r="8695" spans="3:3">
      <c r="C8695"/>
    </row>
    <row r="8696" spans="3:3">
      <c r="C8696"/>
    </row>
    <row r="8697" spans="3:3">
      <c r="C8697"/>
    </row>
    <row r="8698" spans="3:3">
      <c r="C8698"/>
    </row>
    <row r="8699" spans="3:3">
      <c r="C8699"/>
    </row>
    <row r="8700" spans="3:3">
      <c r="C8700"/>
    </row>
    <row r="8701" spans="3:3">
      <c r="C8701"/>
    </row>
    <row r="8702" spans="3:3">
      <c r="C8702"/>
    </row>
    <row r="8703" spans="3:3">
      <c r="C8703"/>
    </row>
    <row r="8704" spans="3:3">
      <c r="C8704"/>
    </row>
    <row r="8705" spans="3:3">
      <c r="C8705"/>
    </row>
    <row r="8706" spans="3:3">
      <c r="C8706"/>
    </row>
    <row r="8707" spans="3:3">
      <c r="C8707"/>
    </row>
    <row r="8708" spans="3:3">
      <c r="C8708"/>
    </row>
    <row r="8709" spans="3:3">
      <c r="C8709"/>
    </row>
    <row r="8710" spans="3:3">
      <c r="C8710"/>
    </row>
    <row r="8711" spans="3:3">
      <c r="C8711"/>
    </row>
    <row r="8712" spans="3:3">
      <c r="C8712"/>
    </row>
    <row r="8713" spans="3:3">
      <c r="C8713"/>
    </row>
    <row r="8714" spans="3:3">
      <c r="C8714"/>
    </row>
    <row r="8715" spans="3:3">
      <c r="C8715"/>
    </row>
    <row r="8716" spans="3:3">
      <c r="C8716"/>
    </row>
    <row r="8717" spans="3:3">
      <c r="C8717"/>
    </row>
    <row r="8718" spans="3:3">
      <c r="C8718"/>
    </row>
    <row r="8719" spans="3:3">
      <c r="C8719"/>
    </row>
    <row r="8720" spans="3:3">
      <c r="C8720"/>
    </row>
    <row r="8721" spans="3:3">
      <c r="C8721"/>
    </row>
    <row r="8722" spans="3:3">
      <c r="C8722"/>
    </row>
    <row r="8723" spans="3:3">
      <c r="C8723"/>
    </row>
    <row r="8724" spans="3:3">
      <c r="C8724"/>
    </row>
    <row r="8725" spans="3:3">
      <c r="C8725"/>
    </row>
    <row r="8726" spans="3:3">
      <c r="C8726"/>
    </row>
    <row r="8727" spans="3:3">
      <c r="C8727"/>
    </row>
    <row r="8728" spans="3:3">
      <c r="C8728"/>
    </row>
    <row r="8729" spans="3:3">
      <c r="C8729"/>
    </row>
    <row r="8730" spans="3:3">
      <c r="C8730"/>
    </row>
    <row r="8731" spans="3:3">
      <c r="C8731"/>
    </row>
    <row r="8732" spans="3:3">
      <c r="C8732"/>
    </row>
    <row r="8733" spans="3:3">
      <c r="C8733"/>
    </row>
    <row r="8734" spans="3:3">
      <c r="C8734"/>
    </row>
    <row r="8735" spans="3:3">
      <c r="C8735"/>
    </row>
    <row r="8736" spans="3:3">
      <c r="C8736"/>
    </row>
    <row r="8737" spans="3:3">
      <c r="C8737"/>
    </row>
    <row r="8738" spans="3:3">
      <c r="C8738"/>
    </row>
    <row r="8739" spans="3:3">
      <c r="C8739"/>
    </row>
    <row r="8740" spans="3:3">
      <c r="C8740"/>
    </row>
    <row r="8741" spans="3:3">
      <c r="C8741"/>
    </row>
    <row r="8742" spans="3:3">
      <c r="C8742"/>
    </row>
    <row r="8743" spans="3:3">
      <c r="C8743"/>
    </row>
    <row r="8744" spans="3:3">
      <c r="C8744"/>
    </row>
    <row r="8745" spans="3:3">
      <c r="C8745"/>
    </row>
    <row r="8746" spans="3:3">
      <c r="C8746"/>
    </row>
    <row r="8747" spans="3:3">
      <c r="C8747"/>
    </row>
    <row r="8748" spans="3:3">
      <c r="C8748"/>
    </row>
    <row r="8749" spans="3:3">
      <c r="C8749"/>
    </row>
    <row r="8750" spans="3:3">
      <c r="C8750"/>
    </row>
    <row r="8751" spans="3:3">
      <c r="C8751"/>
    </row>
    <row r="8752" spans="3:3">
      <c r="C8752"/>
    </row>
    <row r="8753" spans="3:3">
      <c r="C8753"/>
    </row>
    <row r="8754" spans="3:3">
      <c r="C8754"/>
    </row>
    <row r="8755" spans="3:3">
      <c r="C8755"/>
    </row>
    <row r="8756" spans="3:3">
      <c r="C8756"/>
    </row>
    <row r="8757" spans="3:3">
      <c r="C8757"/>
    </row>
    <row r="8758" spans="3:3">
      <c r="C8758"/>
    </row>
    <row r="8759" spans="3:3">
      <c r="C8759"/>
    </row>
    <row r="8760" spans="3:3">
      <c r="C8760"/>
    </row>
    <row r="8761" spans="3:3">
      <c r="C8761"/>
    </row>
    <row r="8762" spans="3:3">
      <c r="C8762"/>
    </row>
    <row r="8763" spans="3:3">
      <c r="C8763"/>
    </row>
    <row r="8764" spans="3:3">
      <c r="C8764"/>
    </row>
    <row r="8765" spans="3:3">
      <c r="C8765"/>
    </row>
    <row r="8766" spans="3:3">
      <c r="C8766"/>
    </row>
    <row r="8767" spans="3:3">
      <c r="C8767"/>
    </row>
    <row r="8768" spans="3:3">
      <c r="C8768"/>
    </row>
    <row r="8769" spans="3:3">
      <c r="C8769"/>
    </row>
    <row r="8770" spans="3:3">
      <c r="C8770"/>
    </row>
    <row r="8771" spans="3:3">
      <c r="C8771"/>
    </row>
    <row r="8772" spans="3:3">
      <c r="C8772"/>
    </row>
    <row r="8773" spans="3:3">
      <c r="C8773"/>
    </row>
    <row r="8774" spans="3:3">
      <c r="C8774"/>
    </row>
    <row r="8775" spans="3:3">
      <c r="C8775"/>
    </row>
    <row r="8776" spans="3:3">
      <c r="C8776"/>
    </row>
    <row r="8777" spans="3:3">
      <c r="C8777"/>
    </row>
    <row r="8778" spans="3:3">
      <c r="C8778"/>
    </row>
    <row r="8779" spans="3:3">
      <c r="C8779"/>
    </row>
    <row r="8780" spans="3:3">
      <c r="C8780"/>
    </row>
    <row r="8781" spans="3:3">
      <c r="C8781"/>
    </row>
    <row r="8782" spans="3:3">
      <c r="C8782"/>
    </row>
    <row r="8783" spans="3:3">
      <c r="C8783"/>
    </row>
    <row r="8784" spans="3:3">
      <c r="C8784"/>
    </row>
    <row r="8785" spans="3:3">
      <c r="C8785"/>
    </row>
    <row r="8786" spans="3:3">
      <c r="C8786"/>
    </row>
    <row r="8787" spans="3:3">
      <c r="C8787"/>
    </row>
    <row r="8788" spans="3:3">
      <c r="C8788"/>
    </row>
    <row r="8789" spans="3:3">
      <c r="C8789"/>
    </row>
    <row r="8790" spans="3:3">
      <c r="C8790"/>
    </row>
    <row r="8791" spans="3:3">
      <c r="C8791"/>
    </row>
    <row r="8792" spans="3:3">
      <c r="C8792"/>
    </row>
    <row r="8793" spans="3:3">
      <c r="C8793"/>
    </row>
    <row r="8794" spans="3:3">
      <c r="C8794"/>
    </row>
    <row r="8795" spans="3:3">
      <c r="C8795"/>
    </row>
    <row r="8796" spans="3:3">
      <c r="C8796"/>
    </row>
    <row r="8797" spans="3:3">
      <c r="C8797"/>
    </row>
    <row r="8798" spans="3:3">
      <c r="C8798"/>
    </row>
    <row r="8799" spans="3:3">
      <c r="C8799"/>
    </row>
    <row r="8800" spans="3:3">
      <c r="C8800"/>
    </row>
    <row r="8801" spans="3:3">
      <c r="C8801"/>
    </row>
    <row r="8802" spans="3:3">
      <c r="C8802"/>
    </row>
    <row r="8803" spans="3:3">
      <c r="C8803"/>
    </row>
    <row r="8804" spans="3:3">
      <c r="C8804"/>
    </row>
    <row r="8805" spans="3:3">
      <c r="C8805"/>
    </row>
    <row r="8806" spans="3:3">
      <c r="C8806"/>
    </row>
    <row r="8807" spans="3:3">
      <c r="C8807"/>
    </row>
    <row r="8808" spans="3:3">
      <c r="C8808"/>
    </row>
    <row r="8809" spans="3:3">
      <c r="C8809"/>
    </row>
    <row r="8810" spans="3:3">
      <c r="C8810"/>
    </row>
    <row r="8811" spans="3:3">
      <c r="C8811"/>
    </row>
    <row r="8812" spans="3:3">
      <c r="C8812"/>
    </row>
    <row r="8813" spans="3:3">
      <c r="C8813"/>
    </row>
    <row r="8814" spans="3:3">
      <c r="C8814"/>
    </row>
    <row r="8815" spans="3:3">
      <c r="C8815"/>
    </row>
    <row r="8816" spans="3:3">
      <c r="C8816"/>
    </row>
    <row r="8817" spans="3:3">
      <c r="C8817"/>
    </row>
    <row r="8818" spans="3:3">
      <c r="C8818"/>
    </row>
    <row r="8819" spans="3:3">
      <c r="C8819"/>
    </row>
    <row r="8820" spans="3:3">
      <c r="C8820"/>
    </row>
    <row r="8821" spans="3:3">
      <c r="C8821"/>
    </row>
    <row r="8822" spans="3:3">
      <c r="C8822"/>
    </row>
    <row r="8823" spans="3:3">
      <c r="C8823"/>
    </row>
    <row r="8824" spans="3:3">
      <c r="C8824"/>
    </row>
    <row r="8825" spans="3:3">
      <c r="C8825"/>
    </row>
    <row r="8826" spans="3:3">
      <c r="C8826"/>
    </row>
    <row r="8827" spans="3:3">
      <c r="C8827"/>
    </row>
    <row r="8828" spans="3:3">
      <c r="C8828"/>
    </row>
    <row r="8829" spans="3:3">
      <c r="C8829"/>
    </row>
    <row r="8830" spans="3:3">
      <c r="C8830"/>
    </row>
    <row r="8831" spans="3:3">
      <c r="C8831"/>
    </row>
    <row r="8832" spans="3:3">
      <c r="C8832"/>
    </row>
    <row r="8833" spans="3:3">
      <c r="C8833"/>
    </row>
    <row r="8834" spans="3:3">
      <c r="C8834"/>
    </row>
    <row r="8835" spans="3:3">
      <c r="C8835"/>
    </row>
    <row r="8836" spans="3:3">
      <c r="C8836"/>
    </row>
    <row r="8837" spans="3:3">
      <c r="C8837"/>
    </row>
    <row r="8838" spans="3:3">
      <c r="C8838"/>
    </row>
    <row r="8839" spans="3:3">
      <c r="C8839"/>
    </row>
    <row r="8840" spans="3:3">
      <c r="C8840"/>
    </row>
    <row r="8841" spans="3:3">
      <c r="C8841"/>
    </row>
    <row r="8842" spans="3:3">
      <c r="C8842"/>
    </row>
    <row r="8843" spans="3:3">
      <c r="C8843"/>
    </row>
    <row r="8844" spans="3:3">
      <c r="C8844"/>
    </row>
    <row r="8845" spans="3:3">
      <c r="C8845"/>
    </row>
    <row r="8846" spans="3:3">
      <c r="C8846"/>
    </row>
    <row r="8847" spans="3:3">
      <c r="C8847"/>
    </row>
    <row r="8848" spans="3:3">
      <c r="C8848"/>
    </row>
    <row r="8849" spans="3:3">
      <c r="C8849"/>
    </row>
    <row r="8850" spans="3:3">
      <c r="C8850"/>
    </row>
    <row r="8851" spans="3:3">
      <c r="C8851"/>
    </row>
    <row r="8852" spans="3:3">
      <c r="C8852"/>
    </row>
    <row r="8853" spans="3:3">
      <c r="C8853"/>
    </row>
    <row r="8854" spans="3:3">
      <c r="C8854"/>
    </row>
    <row r="8855" spans="3:3">
      <c r="C8855"/>
    </row>
    <row r="8856" spans="3:3">
      <c r="C8856"/>
    </row>
    <row r="8857" spans="3:3">
      <c r="C8857"/>
    </row>
    <row r="8858" spans="3:3">
      <c r="C8858"/>
    </row>
    <row r="8859" spans="3:3">
      <c r="C8859"/>
    </row>
    <row r="8860" spans="3:3">
      <c r="C8860"/>
    </row>
    <row r="8861" spans="3:3">
      <c r="C8861"/>
    </row>
    <row r="8862" spans="3:3">
      <c r="C8862"/>
    </row>
    <row r="8863" spans="3:3">
      <c r="C8863"/>
    </row>
    <row r="8864" spans="3:3">
      <c r="C8864"/>
    </row>
    <row r="8865" spans="3:3">
      <c r="C8865"/>
    </row>
    <row r="8866" spans="3:3">
      <c r="C8866"/>
    </row>
    <row r="8867" spans="3:3">
      <c r="C8867"/>
    </row>
    <row r="8868" spans="3:3">
      <c r="C8868"/>
    </row>
    <row r="8869" spans="3:3">
      <c r="C8869"/>
    </row>
    <row r="8870" spans="3:3">
      <c r="C8870"/>
    </row>
    <row r="8871" spans="3:3">
      <c r="C8871"/>
    </row>
    <row r="8872" spans="3:3">
      <c r="C8872"/>
    </row>
    <row r="8873" spans="3:3">
      <c r="C8873"/>
    </row>
    <row r="8874" spans="3:3">
      <c r="C8874"/>
    </row>
    <row r="8875" spans="3:3">
      <c r="C8875"/>
    </row>
    <row r="8876" spans="3:3">
      <c r="C8876"/>
    </row>
    <row r="8877" spans="3:3">
      <c r="C8877"/>
    </row>
    <row r="8878" spans="3:3">
      <c r="C8878"/>
    </row>
    <row r="8879" spans="3:3">
      <c r="C8879"/>
    </row>
    <row r="8880" spans="3:3">
      <c r="C8880"/>
    </row>
    <row r="8881" spans="3:3">
      <c r="C8881"/>
    </row>
    <row r="8882" spans="3:3">
      <c r="C8882"/>
    </row>
    <row r="8883" spans="3:3">
      <c r="C8883"/>
    </row>
    <row r="8884" spans="3:3">
      <c r="C8884"/>
    </row>
    <row r="8885" spans="3:3">
      <c r="C8885"/>
    </row>
    <row r="8886" spans="3:3">
      <c r="C8886"/>
    </row>
    <row r="8887" spans="3:3">
      <c r="C8887"/>
    </row>
    <row r="8888" spans="3:3">
      <c r="C8888"/>
    </row>
    <row r="8889" spans="3:3">
      <c r="C8889"/>
    </row>
    <row r="8890" spans="3:3">
      <c r="C8890"/>
    </row>
    <row r="8891" spans="3:3">
      <c r="C8891"/>
    </row>
    <row r="8892" spans="3:3">
      <c r="C8892"/>
    </row>
    <row r="8893" spans="3:3">
      <c r="C8893"/>
    </row>
    <row r="8894" spans="3:3">
      <c r="C8894"/>
    </row>
    <row r="8895" spans="3:3">
      <c r="C8895"/>
    </row>
    <row r="8896" spans="3:3">
      <c r="C8896"/>
    </row>
    <row r="8897" spans="3:3">
      <c r="C8897"/>
    </row>
    <row r="8898" spans="3:3">
      <c r="C8898"/>
    </row>
    <row r="8899" spans="3:3">
      <c r="C8899"/>
    </row>
    <row r="8900" spans="3:3">
      <c r="C8900"/>
    </row>
    <row r="8901" spans="3:3">
      <c r="C8901"/>
    </row>
    <row r="8902" spans="3:3">
      <c r="C8902"/>
    </row>
    <row r="8903" spans="3:3">
      <c r="C8903"/>
    </row>
    <row r="8904" spans="3:3">
      <c r="C8904"/>
    </row>
    <row r="8905" spans="3:3">
      <c r="C8905"/>
    </row>
    <row r="8906" spans="3:3">
      <c r="C8906"/>
    </row>
    <row r="8907" spans="3:3">
      <c r="C8907"/>
    </row>
    <row r="8908" spans="3:3">
      <c r="C8908"/>
    </row>
    <row r="8909" spans="3:3">
      <c r="C8909"/>
    </row>
    <row r="8910" spans="3:3">
      <c r="C8910"/>
    </row>
    <row r="8911" spans="3:3">
      <c r="C8911"/>
    </row>
    <row r="8912" spans="3:3">
      <c r="C8912"/>
    </row>
    <row r="8913" spans="3:3">
      <c r="C8913"/>
    </row>
    <row r="8914" spans="3:3">
      <c r="C8914"/>
    </row>
    <row r="8915" spans="3:3">
      <c r="C8915"/>
    </row>
    <row r="8916" spans="3:3">
      <c r="C8916"/>
    </row>
    <row r="8917" spans="3:3">
      <c r="C8917"/>
    </row>
    <row r="8918" spans="3:3">
      <c r="C8918"/>
    </row>
    <row r="8919" spans="3:3">
      <c r="C8919"/>
    </row>
    <row r="8920" spans="3:3">
      <c r="C8920"/>
    </row>
    <row r="8921" spans="3:3">
      <c r="C8921"/>
    </row>
    <row r="8922" spans="3:3">
      <c r="C8922"/>
    </row>
    <row r="8923" spans="3:3">
      <c r="C8923"/>
    </row>
    <row r="8924" spans="3:3">
      <c r="C8924"/>
    </row>
    <row r="8925" spans="3:3">
      <c r="C8925"/>
    </row>
    <row r="8926" spans="3:3">
      <c r="C8926"/>
    </row>
    <row r="8927" spans="3:3">
      <c r="C8927"/>
    </row>
    <row r="8928" spans="3:3">
      <c r="C8928"/>
    </row>
    <row r="8929" spans="3:3">
      <c r="C8929"/>
    </row>
    <row r="8930" spans="3:3">
      <c r="C8930"/>
    </row>
    <row r="8931" spans="3:3">
      <c r="C8931"/>
    </row>
    <row r="8932" spans="3:3">
      <c r="C8932"/>
    </row>
    <row r="8933" spans="3:3">
      <c r="C8933"/>
    </row>
    <row r="8934" spans="3:3">
      <c r="C8934"/>
    </row>
    <row r="8935" spans="3:3">
      <c r="C8935"/>
    </row>
    <row r="8936" spans="3:3">
      <c r="C8936"/>
    </row>
    <row r="8937" spans="3:3">
      <c r="C8937"/>
    </row>
    <row r="8938" spans="3:3">
      <c r="C8938"/>
    </row>
    <row r="8939" spans="3:3">
      <c r="C8939"/>
    </row>
    <row r="8940" spans="3:3">
      <c r="C8940"/>
    </row>
    <row r="8941" spans="3:3">
      <c r="C8941"/>
    </row>
    <row r="8942" spans="3:3">
      <c r="C8942"/>
    </row>
    <row r="8943" spans="3:3">
      <c r="C8943"/>
    </row>
    <row r="8944" spans="3:3">
      <c r="C8944"/>
    </row>
    <row r="8945" spans="3:3">
      <c r="C8945"/>
    </row>
    <row r="8946" spans="3:3">
      <c r="C8946"/>
    </row>
    <row r="8947" spans="3:3">
      <c r="C8947"/>
    </row>
    <row r="8948" spans="3:3">
      <c r="C8948"/>
    </row>
    <row r="8949" spans="3:3">
      <c r="C8949"/>
    </row>
    <row r="8950" spans="3:3">
      <c r="C8950"/>
    </row>
    <row r="8951" spans="3:3">
      <c r="C8951"/>
    </row>
    <row r="8952" spans="3:3">
      <c r="C8952"/>
    </row>
    <row r="8953" spans="3:3">
      <c r="C8953"/>
    </row>
    <row r="8954" spans="3:3">
      <c r="C8954"/>
    </row>
    <row r="8955" spans="3:3">
      <c r="C8955"/>
    </row>
    <row r="8956" spans="3:3">
      <c r="C8956"/>
    </row>
    <row r="8957" spans="3:3">
      <c r="C8957"/>
    </row>
    <row r="8958" spans="3:3">
      <c r="C8958"/>
    </row>
    <row r="8959" spans="3:3">
      <c r="C8959"/>
    </row>
    <row r="8960" spans="3:3">
      <c r="C8960"/>
    </row>
    <row r="8961" spans="3:3">
      <c r="C8961"/>
    </row>
    <row r="8962" spans="3:3">
      <c r="C8962"/>
    </row>
    <row r="8963" spans="3:3">
      <c r="C8963"/>
    </row>
    <row r="8964" spans="3:3">
      <c r="C8964"/>
    </row>
    <row r="8965" spans="3:3">
      <c r="C8965"/>
    </row>
    <row r="8966" spans="3:3">
      <c r="C8966"/>
    </row>
    <row r="8967" spans="3:3">
      <c r="C8967"/>
    </row>
    <row r="8968" spans="3:3">
      <c r="C8968"/>
    </row>
    <row r="8969" spans="3:3">
      <c r="C8969"/>
    </row>
    <row r="8970" spans="3:3">
      <c r="C8970"/>
    </row>
    <row r="8971" spans="3:3">
      <c r="C8971"/>
    </row>
    <row r="8972" spans="3:3">
      <c r="C8972"/>
    </row>
    <row r="8973" spans="3:3">
      <c r="C8973"/>
    </row>
    <row r="8974" spans="3:3">
      <c r="C8974"/>
    </row>
    <row r="8975" spans="3:3">
      <c r="C8975"/>
    </row>
    <row r="8976" spans="3:3">
      <c r="C8976"/>
    </row>
    <row r="8977" spans="3:3">
      <c r="C8977"/>
    </row>
    <row r="8978" spans="3:3">
      <c r="C8978"/>
    </row>
    <row r="8979" spans="3:3">
      <c r="C8979"/>
    </row>
    <row r="8980" spans="3:3">
      <c r="C8980"/>
    </row>
    <row r="8981" spans="3:3">
      <c r="C8981"/>
    </row>
    <row r="8982" spans="3:3">
      <c r="C8982"/>
    </row>
    <row r="8983" spans="3:3">
      <c r="C8983"/>
    </row>
    <row r="8984" spans="3:3">
      <c r="C8984"/>
    </row>
    <row r="8985" spans="3:3">
      <c r="C8985"/>
    </row>
    <row r="8986" spans="3:3">
      <c r="C8986"/>
    </row>
    <row r="8987" spans="3:3">
      <c r="C8987"/>
    </row>
    <row r="8988" spans="3:3">
      <c r="C8988"/>
    </row>
    <row r="8989" spans="3:3">
      <c r="C8989"/>
    </row>
    <row r="8990" spans="3:3">
      <c r="C8990"/>
    </row>
    <row r="8991" spans="3:3">
      <c r="C8991"/>
    </row>
    <row r="8992" spans="3:3">
      <c r="C8992"/>
    </row>
    <row r="8993" spans="3:3">
      <c r="C8993"/>
    </row>
    <row r="8994" spans="3:3">
      <c r="C8994"/>
    </row>
    <row r="8995" spans="3:3">
      <c r="C8995"/>
    </row>
    <row r="8996" spans="3:3">
      <c r="C8996"/>
    </row>
    <row r="8997" spans="3:3">
      <c r="C8997"/>
    </row>
    <row r="8998" spans="3:3">
      <c r="C8998"/>
    </row>
    <row r="8999" spans="3:3">
      <c r="C8999"/>
    </row>
    <row r="9000" spans="3:3">
      <c r="C9000"/>
    </row>
    <row r="9001" spans="3:3">
      <c r="C9001"/>
    </row>
    <row r="9002" spans="3:3">
      <c r="C9002"/>
    </row>
    <row r="9003" spans="3:3">
      <c r="C9003"/>
    </row>
    <row r="9004" spans="3:3">
      <c r="C9004"/>
    </row>
    <row r="9005" spans="3:3">
      <c r="C9005"/>
    </row>
    <row r="9006" spans="3:3">
      <c r="C9006"/>
    </row>
    <row r="9007" spans="3:3">
      <c r="C9007"/>
    </row>
    <row r="9008" spans="3:3">
      <c r="C9008"/>
    </row>
    <row r="9009" spans="3:3">
      <c r="C9009"/>
    </row>
    <row r="9010" spans="3:3">
      <c r="C9010"/>
    </row>
    <row r="9011" spans="3:3">
      <c r="C9011"/>
    </row>
    <row r="9012" spans="3:3">
      <c r="C9012"/>
    </row>
    <row r="9013" spans="3:3">
      <c r="C9013"/>
    </row>
    <row r="9014" spans="3:3">
      <c r="C9014"/>
    </row>
    <row r="9015" spans="3:3">
      <c r="C9015"/>
    </row>
    <row r="9016" spans="3:3">
      <c r="C9016"/>
    </row>
    <row r="9017" spans="3:3">
      <c r="C9017"/>
    </row>
    <row r="9018" spans="3:3">
      <c r="C9018"/>
    </row>
    <row r="9019" spans="3:3">
      <c r="C9019"/>
    </row>
    <row r="9020" spans="3:3">
      <c r="C9020"/>
    </row>
    <row r="9021" spans="3:3">
      <c r="C9021"/>
    </row>
    <row r="9022" spans="3:3">
      <c r="C9022"/>
    </row>
    <row r="9023" spans="3:3">
      <c r="C9023"/>
    </row>
    <row r="9024" spans="3:3">
      <c r="C9024"/>
    </row>
    <row r="9025" spans="3:3">
      <c r="C9025"/>
    </row>
    <row r="9026" spans="3:3">
      <c r="C9026"/>
    </row>
    <row r="9027" spans="3:3">
      <c r="C9027"/>
    </row>
    <row r="9028" spans="3:3">
      <c r="C9028"/>
    </row>
    <row r="9029" spans="3:3">
      <c r="C9029"/>
    </row>
    <row r="9030" spans="3:3">
      <c r="C9030"/>
    </row>
    <row r="9031" spans="3:3">
      <c r="C9031"/>
    </row>
    <row r="9032" spans="3:3">
      <c r="C9032"/>
    </row>
    <row r="9033" spans="3:3">
      <c r="C9033"/>
    </row>
    <row r="9034" spans="3:3">
      <c r="C9034"/>
    </row>
    <row r="9035" spans="3:3">
      <c r="C9035"/>
    </row>
    <row r="9036" spans="3:3">
      <c r="C9036"/>
    </row>
    <row r="9037" spans="3:3">
      <c r="C9037"/>
    </row>
    <row r="9038" spans="3:3">
      <c r="C9038"/>
    </row>
    <row r="9039" spans="3:3">
      <c r="C9039"/>
    </row>
    <row r="9040" spans="3:3">
      <c r="C9040"/>
    </row>
    <row r="9041" spans="3:3">
      <c r="C9041"/>
    </row>
    <row r="9042" spans="3:3">
      <c r="C9042"/>
    </row>
    <row r="9043" spans="3:3">
      <c r="C9043"/>
    </row>
    <row r="9044" spans="3:3">
      <c r="C9044"/>
    </row>
    <row r="9045" spans="3:3">
      <c r="C9045"/>
    </row>
    <row r="9046" spans="3:3">
      <c r="C9046"/>
    </row>
    <row r="9047" spans="3:3">
      <c r="C9047"/>
    </row>
    <row r="9048" spans="3:3">
      <c r="C9048"/>
    </row>
    <row r="9049" spans="3:3">
      <c r="C9049"/>
    </row>
    <row r="9050" spans="3:3">
      <c r="C9050"/>
    </row>
    <row r="9051" spans="3:3">
      <c r="C9051"/>
    </row>
    <row r="9052" spans="3:3">
      <c r="C9052"/>
    </row>
    <row r="9053" spans="3:3">
      <c r="C9053"/>
    </row>
    <row r="9054" spans="3:3">
      <c r="C9054"/>
    </row>
    <row r="9055" spans="3:3">
      <c r="C9055"/>
    </row>
    <row r="9056" spans="3:3">
      <c r="C9056"/>
    </row>
    <row r="9057" spans="3:3">
      <c r="C9057"/>
    </row>
    <row r="9058" spans="3:3">
      <c r="C9058"/>
    </row>
    <row r="9059" spans="3:3">
      <c r="C9059"/>
    </row>
    <row r="9060" spans="3:3">
      <c r="C9060"/>
    </row>
    <row r="9061" spans="3:3">
      <c r="C9061"/>
    </row>
    <row r="9062" spans="3:3">
      <c r="C9062"/>
    </row>
    <row r="9063" spans="3:3">
      <c r="C9063"/>
    </row>
    <row r="9064" spans="3:3">
      <c r="C9064"/>
    </row>
    <row r="9065" spans="3:3">
      <c r="C9065"/>
    </row>
    <row r="9066" spans="3:3">
      <c r="C9066"/>
    </row>
    <row r="9067" spans="3:3">
      <c r="C9067"/>
    </row>
    <row r="9068" spans="3:3">
      <c r="C9068"/>
    </row>
    <row r="9069" spans="3:3">
      <c r="C9069"/>
    </row>
    <row r="9070" spans="3:3">
      <c r="C9070"/>
    </row>
    <row r="9071" spans="3:3">
      <c r="C9071"/>
    </row>
    <row r="9072" spans="3:3">
      <c r="C9072"/>
    </row>
    <row r="9073" spans="3:3">
      <c r="C9073"/>
    </row>
    <row r="9074" spans="3:3">
      <c r="C9074"/>
    </row>
    <row r="9075" spans="3:3">
      <c r="C9075"/>
    </row>
    <row r="9076" spans="3:3">
      <c r="C9076"/>
    </row>
    <row r="9077" spans="3:3">
      <c r="C9077"/>
    </row>
    <row r="9078" spans="3:3">
      <c r="C9078"/>
    </row>
    <row r="9079" spans="3:3">
      <c r="C9079"/>
    </row>
    <row r="9080" spans="3:3">
      <c r="C9080"/>
    </row>
    <row r="9081" spans="3:3">
      <c r="C9081"/>
    </row>
    <row r="9082" spans="3:3">
      <c r="C9082"/>
    </row>
    <row r="9083" spans="3:3">
      <c r="C9083"/>
    </row>
    <row r="9084" spans="3:3">
      <c r="C9084"/>
    </row>
    <row r="9085" spans="3:3">
      <c r="C9085"/>
    </row>
    <row r="9086" spans="3:3">
      <c r="C9086"/>
    </row>
    <row r="9087" spans="3:3">
      <c r="C9087"/>
    </row>
    <row r="9088" spans="3:3">
      <c r="C9088"/>
    </row>
    <row r="9089" spans="3:3">
      <c r="C9089"/>
    </row>
    <row r="9090" spans="3:3">
      <c r="C9090"/>
    </row>
    <row r="9091" spans="3:3">
      <c r="C9091"/>
    </row>
    <row r="9092" spans="3:3">
      <c r="C9092"/>
    </row>
    <row r="9093" spans="3:3">
      <c r="C9093"/>
    </row>
    <row r="9094" spans="3:3">
      <c r="C9094"/>
    </row>
    <row r="9095" spans="3:3">
      <c r="C9095"/>
    </row>
    <row r="9096" spans="3:3">
      <c r="C9096"/>
    </row>
    <row r="9097" spans="3:3">
      <c r="C9097"/>
    </row>
    <row r="9098" spans="3:3">
      <c r="C9098"/>
    </row>
    <row r="9099" spans="3:3">
      <c r="C9099"/>
    </row>
    <row r="9100" spans="3:3">
      <c r="C9100"/>
    </row>
    <row r="9101" spans="3:3">
      <c r="C9101"/>
    </row>
    <row r="9102" spans="3:3">
      <c r="C9102"/>
    </row>
    <row r="9103" spans="3:3">
      <c r="C9103"/>
    </row>
    <row r="9104" spans="3:3">
      <c r="C9104"/>
    </row>
    <row r="9105" spans="3:3">
      <c r="C9105"/>
    </row>
    <row r="9106" spans="3:3">
      <c r="C9106"/>
    </row>
    <row r="9107" spans="3:3">
      <c r="C9107"/>
    </row>
    <row r="9108" spans="3:3">
      <c r="C9108"/>
    </row>
    <row r="9109" spans="3:3">
      <c r="C9109"/>
    </row>
    <row r="9110" spans="3:3">
      <c r="C9110"/>
    </row>
    <row r="9111" spans="3:3">
      <c r="C9111"/>
    </row>
    <row r="9112" spans="3:3">
      <c r="C9112"/>
    </row>
    <row r="9113" spans="3:3">
      <c r="C9113"/>
    </row>
    <row r="9114" spans="3:3">
      <c r="C9114"/>
    </row>
    <row r="9115" spans="3:3">
      <c r="C9115"/>
    </row>
    <row r="9116" spans="3:3">
      <c r="C9116"/>
    </row>
    <row r="9117" spans="3:3">
      <c r="C9117"/>
    </row>
    <row r="9118" spans="3:3">
      <c r="C9118"/>
    </row>
    <row r="9119" spans="3:3">
      <c r="C9119"/>
    </row>
    <row r="9120" spans="3:3">
      <c r="C9120"/>
    </row>
    <row r="9121" spans="3:3">
      <c r="C9121"/>
    </row>
    <row r="9122" spans="3:3">
      <c r="C9122"/>
    </row>
    <row r="9123" spans="3:3">
      <c r="C9123"/>
    </row>
    <row r="9124" spans="3:3">
      <c r="C9124"/>
    </row>
    <row r="9125" spans="3:3">
      <c r="C9125"/>
    </row>
    <row r="9126" spans="3:3">
      <c r="C9126"/>
    </row>
    <row r="9127" spans="3:3">
      <c r="C9127"/>
    </row>
    <row r="9128" spans="3:3">
      <c r="C9128"/>
    </row>
    <row r="9129" spans="3:3">
      <c r="C9129"/>
    </row>
    <row r="9130" spans="3:3">
      <c r="C9130"/>
    </row>
    <row r="9131" spans="3:3">
      <c r="C9131"/>
    </row>
    <row r="9132" spans="3:3">
      <c r="C9132"/>
    </row>
    <row r="9133" spans="3:3">
      <c r="C9133"/>
    </row>
    <row r="9134" spans="3:3">
      <c r="C9134"/>
    </row>
    <row r="9135" spans="3:3">
      <c r="C9135"/>
    </row>
    <row r="9136" spans="3:3">
      <c r="C9136"/>
    </row>
    <row r="9137" spans="3:3">
      <c r="C9137"/>
    </row>
    <row r="9138" spans="3:3">
      <c r="C9138"/>
    </row>
    <row r="9139" spans="3:3">
      <c r="C9139"/>
    </row>
    <row r="9140" spans="3:3">
      <c r="C9140"/>
    </row>
    <row r="9141" spans="3:3">
      <c r="C9141"/>
    </row>
    <row r="9142" spans="3:3">
      <c r="C9142"/>
    </row>
    <row r="9143" spans="3:3">
      <c r="C9143"/>
    </row>
    <row r="9144" spans="3:3">
      <c r="C9144"/>
    </row>
    <row r="9145" spans="3:3">
      <c r="C9145"/>
    </row>
    <row r="9146" spans="3:3">
      <c r="C9146"/>
    </row>
    <row r="9147" spans="3:3">
      <c r="C9147"/>
    </row>
    <row r="9148" spans="3:3">
      <c r="C9148"/>
    </row>
    <row r="9149" spans="3:3">
      <c r="C9149"/>
    </row>
    <row r="9150" spans="3:3">
      <c r="C9150"/>
    </row>
    <row r="9151" spans="3:3">
      <c r="C9151"/>
    </row>
    <row r="9152" spans="3:3">
      <c r="C9152"/>
    </row>
    <row r="9153" spans="3:3">
      <c r="C9153"/>
    </row>
    <row r="9154" spans="3:3">
      <c r="C9154"/>
    </row>
    <row r="9155" spans="3:3">
      <c r="C9155"/>
    </row>
    <row r="9156" spans="3:3">
      <c r="C9156"/>
    </row>
    <row r="9157" spans="3:3">
      <c r="C9157"/>
    </row>
    <row r="9158" spans="3:3">
      <c r="C9158"/>
    </row>
    <row r="9159" spans="3:3">
      <c r="C9159"/>
    </row>
    <row r="9160" spans="3:3">
      <c r="C9160"/>
    </row>
    <row r="9161" spans="3:3">
      <c r="C9161"/>
    </row>
    <row r="9162" spans="3:3">
      <c r="C9162"/>
    </row>
    <row r="9163" spans="3:3">
      <c r="C9163"/>
    </row>
    <row r="9164" spans="3:3">
      <c r="C9164"/>
    </row>
    <row r="9165" spans="3:3">
      <c r="C9165"/>
    </row>
    <row r="9166" spans="3:3">
      <c r="C9166"/>
    </row>
    <row r="9167" spans="3:3">
      <c r="C9167"/>
    </row>
    <row r="9168" spans="3:3">
      <c r="C9168"/>
    </row>
    <row r="9169" spans="3:3">
      <c r="C9169"/>
    </row>
    <row r="9170" spans="3:3">
      <c r="C9170"/>
    </row>
    <row r="9171" spans="3:3">
      <c r="C9171"/>
    </row>
    <row r="9172" spans="3:3">
      <c r="C9172"/>
    </row>
    <row r="9173" spans="3:3">
      <c r="C9173"/>
    </row>
    <row r="9174" spans="3:3">
      <c r="C9174"/>
    </row>
    <row r="9175" spans="3:3">
      <c r="C9175"/>
    </row>
    <row r="9176" spans="3:3">
      <c r="C9176"/>
    </row>
    <row r="9177" spans="3:3">
      <c r="C9177"/>
    </row>
    <row r="9178" spans="3:3">
      <c r="C9178"/>
    </row>
    <row r="9179" spans="3:3">
      <c r="C9179"/>
    </row>
    <row r="9180" spans="3:3">
      <c r="C9180"/>
    </row>
    <row r="9181" spans="3:3">
      <c r="C9181"/>
    </row>
    <row r="9182" spans="3:3">
      <c r="C9182"/>
    </row>
    <row r="9183" spans="3:3">
      <c r="C9183"/>
    </row>
    <row r="9184" spans="3:3">
      <c r="C9184"/>
    </row>
    <row r="9185" spans="3:3">
      <c r="C9185"/>
    </row>
    <row r="9186" spans="3:3">
      <c r="C9186"/>
    </row>
    <row r="9187" spans="3:3">
      <c r="C9187"/>
    </row>
    <row r="9188" spans="3:3">
      <c r="C9188"/>
    </row>
    <row r="9189" spans="3:3">
      <c r="C9189"/>
    </row>
    <row r="9190" spans="3:3">
      <c r="C9190"/>
    </row>
    <row r="9191" spans="3:3">
      <c r="C9191"/>
    </row>
    <row r="9192" spans="3:3">
      <c r="C9192"/>
    </row>
    <row r="9193" spans="3:3">
      <c r="C9193"/>
    </row>
    <row r="9194" spans="3:3">
      <c r="C9194"/>
    </row>
    <row r="9195" spans="3:3">
      <c r="C9195"/>
    </row>
    <row r="9196" spans="3:3">
      <c r="C9196"/>
    </row>
    <row r="9197" spans="3:3">
      <c r="C9197"/>
    </row>
    <row r="9198" spans="3:3">
      <c r="C9198"/>
    </row>
    <row r="9199" spans="3:3">
      <c r="C9199"/>
    </row>
    <row r="9200" spans="3:3">
      <c r="C9200"/>
    </row>
    <row r="9201" spans="3:3">
      <c r="C9201"/>
    </row>
    <row r="9202" spans="3:3">
      <c r="C9202"/>
    </row>
    <row r="9203" spans="3:3">
      <c r="C9203"/>
    </row>
    <row r="9204" spans="3:3">
      <c r="C9204"/>
    </row>
    <row r="9205" spans="3:3">
      <c r="C9205"/>
    </row>
    <row r="9206" spans="3:3">
      <c r="C9206"/>
    </row>
    <row r="9207" spans="3:3">
      <c r="C9207"/>
    </row>
    <row r="9208" spans="3:3">
      <c r="C9208"/>
    </row>
    <row r="9209" spans="3:3">
      <c r="C9209"/>
    </row>
    <row r="9210" spans="3:3">
      <c r="C9210"/>
    </row>
    <row r="9211" spans="3:3">
      <c r="C9211"/>
    </row>
    <row r="9212" spans="3:3">
      <c r="C9212"/>
    </row>
    <row r="9213" spans="3:3">
      <c r="C9213"/>
    </row>
    <row r="9214" spans="3:3">
      <c r="C9214"/>
    </row>
    <row r="9215" spans="3:3">
      <c r="C9215"/>
    </row>
    <row r="9216" spans="3:3">
      <c r="C9216"/>
    </row>
    <row r="9217" spans="3:3">
      <c r="C9217"/>
    </row>
    <row r="9218" spans="3:3">
      <c r="C9218"/>
    </row>
    <row r="9219" spans="3:3">
      <c r="C9219"/>
    </row>
    <row r="9220" spans="3:3">
      <c r="C9220"/>
    </row>
    <row r="9221" spans="3:3">
      <c r="C9221"/>
    </row>
    <row r="9222" spans="3:3">
      <c r="C9222"/>
    </row>
    <row r="9223" spans="3:3">
      <c r="C9223"/>
    </row>
    <row r="9224" spans="3:3">
      <c r="C9224"/>
    </row>
    <row r="9225" spans="3:3">
      <c r="C9225"/>
    </row>
    <row r="9226" spans="3:3">
      <c r="C9226"/>
    </row>
    <row r="9227" spans="3:3">
      <c r="C9227"/>
    </row>
    <row r="9228" spans="3:3">
      <c r="C9228"/>
    </row>
    <row r="9229" spans="3:3">
      <c r="C9229"/>
    </row>
    <row r="9230" spans="3:3">
      <c r="C9230"/>
    </row>
    <row r="9231" spans="3:3">
      <c r="C9231"/>
    </row>
    <row r="9232" spans="3:3">
      <c r="C9232"/>
    </row>
    <row r="9233" spans="3:3">
      <c r="C9233"/>
    </row>
    <row r="9234" spans="3:3">
      <c r="C9234"/>
    </row>
    <row r="9235" spans="3:3">
      <c r="C9235"/>
    </row>
    <row r="9236" spans="3:3">
      <c r="C9236"/>
    </row>
    <row r="9237" spans="3:3">
      <c r="C9237"/>
    </row>
    <row r="9238" spans="3:3">
      <c r="C9238"/>
    </row>
    <row r="9239" spans="3:3">
      <c r="C9239"/>
    </row>
    <row r="9240" spans="3:3">
      <c r="C9240"/>
    </row>
    <row r="9241" spans="3:3">
      <c r="C9241"/>
    </row>
    <row r="9242" spans="3:3">
      <c r="C9242"/>
    </row>
    <row r="9243" spans="3:3">
      <c r="C9243"/>
    </row>
    <row r="9244" spans="3:3">
      <c r="C9244"/>
    </row>
    <row r="9245" spans="3:3">
      <c r="C9245"/>
    </row>
    <row r="9246" spans="3:3">
      <c r="C9246"/>
    </row>
    <row r="9247" spans="3:3">
      <c r="C9247"/>
    </row>
    <row r="9248" spans="3:3">
      <c r="C9248"/>
    </row>
    <row r="9249" spans="3:3">
      <c r="C9249"/>
    </row>
    <row r="9250" spans="3:3">
      <c r="C9250"/>
    </row>
    <row r="9251" spans="3:3">
      <c r="C9251"/>
    </row>
    <row r="9252" spans="3:3">
      <c r="C9252"/>
    </row>
    <row r="9253" spans="3:3">
      <c r="C9253"/>
    </row>
    <row r="9254" spans="3:3">
      <c r="C9254"/>
    </row>
    <row r="9255" spans="3:3">
      <c r="C9255"/>
    </row>
    <row r="9256" spans="3:3">
      <c r="C9256"/>
    </row>
    <row r="9257" spans="3:3">
      <c r="C9257"/>
    </row>
    <row r="9258" spans="3:3">
      <c r="C9258"/>
    </row>
    <row r="9259" spans="3:3">
      <c r="C9259"/>
    </row>
    <row r="9260" spans="3:3">
      <c r="C9260"/>
    </row>
    <row r="9261" spans="3:3">
      <c r="C9261"/>
    </row>
    <row r="9262" spans="3:3">
      <c r="C9262"/>
    </row>
    <row r="9263" spans="3:3">
      <c r="C9263"/>
    </row>
    <row r="9264" spans="3:3">
      <c r="C9264"/>
    </row>
    <row r="9265" spans="3:3">
      <c r="C9265"/>
    </row>
    <row r="9266" spans="3:3">
      <c r="C9266"/>
    </row>
    <row r="9267" spans="3:3">
      <c r="C9267"/>
    </row>
    <row r="9268" spans="3:3">
      <c r="C9268"/>
    </row>
    <row r="9269" spans="3:3">
      <c r="C9269"/>
    </row>
    <row r="9270" spans="3:3">
      <c r="C9270"/>
    </row>
    <row r="9271" spans="3:3">
      <c r="C9271"/>
    </row>
    <row r="9272" spans="3:3">
      <c r="C9272"/>
    </row>
    <row r="9273" spans="3:3">
      <c r="C9273"/>
    </row>
    <row r="9274" spans="3:3">
      <c r="C9274"/>
    </row>
    <row r="9275" spans="3:3">
      <c r="C9275"/>
    </row>
    <row r="9276" spans="3:3">
      <c r="C9276"/>
    </row>
    <row r="9277" spans="3:3">
      <c r="C9277"/>
    </row>
    <row r="9278" spans="3:3">
      <c r="C9278"/>
    </row>
    <row r="9279" spans="3:3">
      <c r="C9279"/>
    </row>
    <row r="9280" spans="3:3">
      <c r="C9280"/>
    </row>
    <row r="9281" spans="3:3">
      <c r="C9281"/>
    </row>
    <row r="9282" spans="3:3">
      <c r="C9282"/>
    </row>
    <row r="9283" spans="3:3">
      <c r="C9283"/>
    </row>
    <row r="9284" spans="3:3">
      <c r="C9284"/>
    </row>
    <row r="9285" spans="3:3">
      <c r="C9285"/>
    </row>
    <row r="9286" spans="3:3">
      <c r="C9286"/>
    </row>
    <row r="9287" spans="3:3">
      <c r="C9287"/>
    </row>
    <row r="9288" spans="3:3">
      <c r="C9288"/>
    </row>
    <row r="9289" spans="3:3">
      <c r="C9289"/>
    </row>
    <row r="9290" spans="3:3">
      <c r="C9290"/>
    </row>
    <row r="9291" spans="3:3">
      <c r="C9291"/>
    </row>
    <row r="9292" spans="3:3">
      <c r="C9292"/>
    </row>
    <row r="9293" spans="3:3">
      <c r="C9293"/>
    </row>
    <row r="9294" spans="3:3">
      <c r="C9294"/>
    </row>
    <row r="9295" spans="3:3">
      <c r="C9295"/>
    </row>
    <row r="9296" spans="3:3">
      <c r="C9296"/>
    </row>
    <row r="9297" spans="3:3">
      <c r="C9297"/>
    </row>
    <row r="9298" spans="3:3">
      <c r="C9298"/>
    </row>
    <row r="9299" spans="3:3">
      <c r="C9299"/>
    </row>
    <row r="9300" spans="3:3">
      <c r="C9300"/>
    </row>
    <row r="9301" spans="3:3">
      <c r="C9301"/>
    </row>
    <row r="9302" spans="3:3">
      <c r="C9302"/>
    </row>
    <row r="9303" spans="3:3">
      <c r="C9303"/>
    </row>
    <row r="9304" spans="3:3">
      <c r="C9304"/>
    </row>
    <row r="9305" spans="3:3">
      <c r="C9305"/>
    </row>
    <row r="9306" spans="3:3">
      <c r="C9306"/>
    </row>
    <row r="9307" spans="3:3">
      <c r="C9307"/>
    </row>
    <row r="9308" spans="3:3">
      <c r="C9308"/>
    </row>
    <row r="9309" spans="3:3">
      <c r="C9309"/>
    </row>
    <row r="9310" spans="3:3">
      <c r="C9310"/>
    </row>
    <row r="9311" spans="3:3">
      <c r="C9311"/>
    </row>
    <row r="9312" spans="3:3">
      <c r="C9312"/>
    </row>
    <row r="9313" spans="3:3">
      <c r="C9313"/>
    </row>
    <row r="9314" spans="3:3">
      <c r="C9314"/>
    </row>
    <row r="9315" spans="3:3">
      <c r="C9315"/>
    </row>
    <row r="9316" spans="3:3">
      <c r="C9316"/>
    </row>
    <row r="9317" spans="3:3">
      <c r="C9317"/>
    </row>
    <row r="9318" spans="3:3">
      <c r="C9318"/>
    </row>
    <row r="9319" spans="3:3">
      <c r="C9319"/>
    </row>
    <row r="9320" spans="3:3">
      <c r="C9320"/>
    </row>
    <row r="9321" spans="3:3">
      <c r="C9321"/>
    </row>
    <row r="9322" spans="3:3">
      <c r="C9322"/>
    </row>
    <row r="9323" spans="3:3">
      <c r="C9323"/>
    </row>
    <row r="9324" spans="3:3">
      <c r="C9324"/>
    </row>
    <row r="9325" spans="3:3">
      <c r="C9325"/>
    </row>
    <row r="9326" spans="3:3">
      <c r="C9326"/>
    </row>
    <row r="9327" spans="3:3">
      <c r="C9327"/>
    </row>
    <row r="9328" spans="3:3">
      <c r="C9328"/>
    </row>
    <row r="9329" spans="3:3">
      <c r="C9329"/>
    </row>
    <row r="9330" spans="3:3">
      <c r="C9330"/>
    </row>
    <row r="9331" spans="3:3">
      <c r="C9331"/>
    </row>
    <row r="9332" spans="3:3">
      <c r="C9332"/>
    </row>
    <row r="9333" spans="3:3">
      <c r="C9333"/>
    </row>
    <row r="9334" spans="3:3">
      <c r="C9334"/>
    </row>
    <row r="9335" spans="3:3">
      <c r="C9335"/>
    </row>
    <row r="9336" spans="3:3">
      <c r="C9336"/>
    </row>
    <row r="9337" spans="3:3">
      <c r="C9337"/>
    </row>
    <row r="9338" spans="3:3">
      <c r="C9338"/>
    </row>
    <row r="9339" spans="3:3">
      <c r="C9339"/>
    </row>
    <row r="9340" spans="3:3">
      <c r="C9340"/>
    </row>
    <row r="9341" spans="3:3">
      <c r="C9341"/>
    </row>
    <row r="9342" spans="3:3">
      <c r="C9342"/>
    </row>
    <row r="9343" spans="3:3">
      <c r="C9343"/>
    </row>
    <row r="9344" spans="3:3">
      <c r="C9344"/>
    </row>
    <row r="9345" spans="3:3">
      <c r="C9345"/>
    </row>
    <row r="9346" spans="3:3">
      <c r="C9346"/>
    </row>
    <row r="9347" spans="3:3">
      <c r="C9347"/>
    </row>
    <row r="9348" spans="3:3">
      <c r="C9348"/>
    </row>
    <row r="9349" spans="3:3">
      <c r="C9349"/>
    </row>
    <row r="9350" spans="3:3">
      <c r="C9350"/>
    </row>
    <row r="9351" spans="3:3">
      <c r="C9351"/>
    </row>
    <row r="9352" spans="3:3">
      <c r="C9352"/>
    </row>
    <row r="9353" spans="3:3">
      <c r="C9353"/>
    </row>
    <row r="9354" spans="3:3">
      <c r="C9354"/>
    </row>
    <row r="9355" spans="3:3">
      <c r="C9355"/>
    </row>
    <row r="9356" spans="3:3">
      <c r="C9356"/>
    </row>
    <row r="9357" spans="3:3">
      <c r="C9357"/>
    </row>
    <row r="9358" spans="3:3">
      <c r="C9358"/>
    </row>
    <row r="9359" spans="3:3">
      <c r="C9359"/>
    </row>
    <row r="9360" spans="3:3">
      <c r="C9360"/>
    </row>
    <row r="9361" spans="3:3">
      <c r="C9361"/>
    </row>
    <row r="9362" spans="3:3">
      <c r="C9362"/>
    </row>
    <row r="9363" spans="3:3">
      <c r="C9363"/>
    </row>
    <row r="9364" spans="3:3">
      <c r="C9364"/>
    </row>
    <row r="9365" spans="3:3">
      <c r="C9365"/>
    </row>
    <row r="9366" spans="3:3">
      <c r="C9366"/>
    </row>
    <row r="9367" spans="3:3">
      <c r="C9367"/>
    </row>
    <row r="9368" spans="3:3">
      <c r="C9368"/>
    </row>
    <row r="9369" spans="3:3">
      <c r="C9369"/>
    </row>
    <row r="9370" spans="3:3">
      <c r="C9370"/>
    </row>
    <row r="9371" spans="3:3">
      <c r="C9371"/>
    </row>
    <row r="9372" spans="3:3">
      <c r="C9372"/>
    </row>
    <row r="9373" spans="3:3">
      <c r="C9373"/>
    </row>
    <row r="9374" spans="3:3">
      <c r="C9374"/>
    </row>
    <row r="9375" spans="3:3">
      <c r="C9375"/>
    </row>
    <row r="9376" spans="3:3">
      <c r="C9376"/>
    </row>
    <row r="9377" spans="3:3">
      <c r="C9377"/>
    </row>
    <row r="9378" spans="3:3">
      <c r="C9378"/>
    </row>
    <row r="9379" spans="3:3">
      <c r="C9379"/>
    </row>
    <row r="9380" spans="3:3">
      <c r="C9380"/>
    </row>
    <row r="9381" spans="3:3">
      <c r="C9381"/>
    </row>
    <row r="9382" spans="3:3">
      <c r="C9382"/>
    </row>
    <row r="9383" spans="3:3">
      <c r="C9383"/>
    </row>
    <row r="9384" spans="3:3">
      <c r="C9384"/>
    </row>
    <row r="9385" spans="3:3">
      <c r="C9385"/>
    </row>
    <row r="9386" spans="3:3">
      <c r="C9386"/>
    </row>
    <row r="9387" spans="3:3">
      <c r="C9387"/>
    </row>
    <row r="9388" spans="3:3">
      <c r="C9388"/>
    </row>
    <row r="9389" spans="3:3">
      <c r="C9389"/>
    </row>
    <row r="9390" spans="3:3">
      <c r="C9390"/>
    </row>
    <row r="9391" spans="3:3">
      <c r="C9391"/>
    </row>
    <row r="9392" spans="3:3">
      <c r="C9392"/>
    </row>
    <row r="9393" spans="3:3">
      <c r="C9393"/>
    </row>
    <row r="9394" spans="3:3">
      <c r="C9394"/>
    </row>
    <row r="9395" spans="3:3">
      <c r="C9395"/>
    </row>
    <row r="9396" spans="3:3">
      <c r="C9396"/>
    </row>
    <row r="9397" spans="3:3">
      <c r="C9397"/>
    </row>
    <row r="9398" spans="3:3">
      <c r="C9398"/>
    </row>
    <row r="9399" spans="3:3">
      <c r="C9399"/>
    </row>
    <row r="9400" spans="3:3">
      <c r="C9400"/>
    </row>
    <row r="9401" spans="3:3">
      <c r="C9401"/>
    </row>
    <row r="9402" spans="3:3">
      <c r="C9402"/>
    </row>
    <row r="9403" spans="3:3">
      <c r="C9403"/>
    </row>
    <row r="9404" spans="3:3">
      <c r="C9404"/>
    </row>
    <row r="9405" spans="3:3">
      <c r="C9405"/>
    </row>
    <row r="9406" spans="3:3">
      <c r="C9406"/>
    </row>
    <row r="9407" spans="3:3">
      <c r="C9407"/>
    </row>
    <row r="9408" spans="3:3">
      <c r="C9408"/>
    </row>
    <row r="9409" spans="3:3">
      <c r="C9409"/>
    </row>
    <row r="9410" spans="3:3">
      <c r="C9410"/>
    </row>
    <row r="9411" spans="3:3">
      <c r="C9411"/>
    </row>
    <row r="9412" spans="3:3">
      <c r="C9412"/>
    </row>
    <row r="9413" spans="3:3">
      <c r="C9413"/>
    </row>
    <row r="9414" spans="3:3">
      <c r="C9414"/>
    </row>
    <row r="9415" spans="3:3">
      <c r="C9415"/>
    </row>
    <row r="9416" spans="3:3">
      <c r="C9416"/>
    </row>
    <row r="9417" spans="3:3">
      <c r="C9417"/>
    </row>
    <row r="9418" spans="3:3">
      <c r="C9418"/>
    </row>
    <row r="9419" spans="3:3">
      <c r="C9419"/>
    </row>
    <row r="9420" spans="3:3">
      <c r="C9420"/>
    </row>
    <row r="9421" spans="3:3">
      <c r="C9421"/>
    </row>
    <row r="9422" spans="3:3">
      <c r="C9422"/>
    </row>
    <row r="9423" spans="3:3">
      <c r="C9423"/>
    </row>
    <row r="9424" spans="3:3">
      <c r="C9424"/>
    </row>
    <row r="9425" spans="3:3">
      <c r="C9425"/>
    </row>
    <row r="9426" spans="3:3">
      <c r="C9426"/>
    </row>
    <row r="9427" spans="3:3">
      <c r="C9427"/>
    </row>
    <row r="9428" spans="3:3">
      <c r="C9428"/>
    </row>
    <row r="9429" spans="3:3">
      <c r="C9429"/>
    </row>
    <row r="9430" spans="3:3">
      <c r="C9430"/>
    </row>
    <row r="9431" spans="3:3">
      <c r="C9431"/>
    </row>
    <row r="9432" spans="3:3">
      <c r="C9432"/>
    </row>
    <row r="9433" spans="3:3">
      <c r="C9433"/>
    </row>
    <row r="9434" spans="3:3">
      <c r="C9434"/>
    </row>
    <row r="9435" spans="3:3">
      <c r="C9435"/>
    </row>
    <row r="9436" spans="3:3">
      <c r="C9436"/>
    </row>
    <row r="9437" spans="3:3">
      <c r="C9437"/>
    </row>
    <row r="9438" spans="3:3">
      <c r="C9438"/>
    </row>
    <row r="9439" spans="3:3">
      <c r="C9439"/>
    </row>
    <row r="9440" spans="3:3">
      <c r="C9440"/>
    </row>
    <row r="9441" spans="3:3">
      <c r="C9441"/>
    </row>
    <row r="9442" spans="3:3">
      <c r="C9442"/>
    </row>
    <row r="9443" spans="3:3">
      <c r="C9443"/>
    </row>
    <row r="9444" spans="3:3">
      <c r="C9444"/>
    </row>
    <row r="9445" spans="3:3">
      <c r="C9445"/>
    </row>
    <row r="9446" spans="3:3">
      <c r="C9446"/>
    </row>
    <row r="9447" spans="3:3">
      <c r="C9447"/>
    </row>
    <row r="9448" spans="3:3">
      <c r="C9448"/>
    </row>
    <row r="9449" spans="3:3">
      <c r="C9449"/>
    </row>
    <row r="9450" spans="3:3">
      <c r="C9450"/>
    </row>
    <row r="9451" spans="3:3">
      <c r="C9451"/>
    </row>
    <row r="9452" spans="3:3">
      <c r="C9452"/>
    </row>
    <row r="9453" spans="3:3">
      <c r="C9453"/>
    </row>
    <row r="9454" spans="3:3">
      <c r="C9454"/>
    </row>
    <row r="9455" spans="3:3">
      <c r="C9455"/>
    </row>
    <row r="9456" spans="3:3">
      <c r="C9456"/>
    </row>
    <row r="9457" spans="3:3">
      <c r="C9457"/>
    </row>
    <row r="9458" spans="3:3">
      <c r="C9458"/>
    </row>
    <row r="9459" spans="3:3">
      <c r="C9459"/>
    </row>
    <row r="9460" spans="3:3">
      <c r="C9460"/>
    </row>
    <row r="9461" spans="3:3">
      <c r="C9461"/>
    </row>
    <row r="9462" spans="3:3">
      <c r="C9462"/>
    </row>
    <row r="9463" spans="3:3">
      <c r="C9463"/>
    </row>
    <row r="9464" spans="3:3">
      <c r="C9464"/>
    </row>
    <row r="9465" spans="3:3">
      <c r="C9465"/>
    </row>
    <row r="9466" spans="3:3">
      <c r="C9466"/>
    </row>
    <row r="9467" spans="3:3">
      <c r="C9467"/>
    </row>
    <row r="9468" spans="3:3">
      <c r="C9468"/>
    </row>
    <row r="9469" spans="3:3">
      <c r="C9469"/>
    </row>
    <row r="9470" spans="3:3">
      <c r="C9470"/>
    </row>
    <row r="9471" spans="3:3">
      <c r="C9471"/>
    </row>
    <row r="9472" spans="3:3">
      <c r="C9472"/>
    </row>
    <row r="9473" spans="3:3">
      <c r="C9473"/>
    </row>
    <row r="9474" spans="3:3">
      <c r="C9474"/>
    </row>
    <row r="9475" spans="3:3">
      <c r="C9475"/>
    </row>
    <row r="9476" spans="3:3">
      <c r="C9476"/>
    </row>
    <row r="9477" spans="3:3">
      <c r="C9477"/>
    </row>
    <row r="9478" spans="3:3">
      <c r="C9478"/>
    </row>
    <row r="9479" spans="3:3">
      <c r="C9479"/>
    </row>
    <row r="9480" spans="3:3">
      <c r="C9480"/>
    </row>
    <row r="9481" spans="3:3">
      <c r="C9481"/>
    </row>
    <row r="9482" spans="3:3">
      <c r="C9482"/>
    </row>
    <row r="9483" spans="3:3">
      <c r="C9483"/>
    </row>
    <row r="9484" spans="3:3">
      <c r="C9484"/>
    </row>
    <row r="9485" spans="3:3">
      <c r="C9485"/>
    </row>
    <row r="9486" spans="3:3">
      <c r="C9486"/>
    </row>
    <row r="9487" spans="3:3">
      <c r="C9487"/>
    </row>
    <row r="9488" spans="3:3">
      <c r="C9488"/>
    </row>
    <row r="9489" spans="3:3">
      <c r="C9489"/>
    </row>
    <row r="9490" spans="3:3">
      <c r="C9490"/>
    </row>
    <row r="9491" spans="3:3">
      <c r="C9491"/>
    </row>
    <row r="9492" spans="3:3">
      <c r="C9492"/>
    </row>
    <row r="9493" spans="3:3">
      <c r="C9493"/>
    </row>
    <row r="9494" spans="3:3">
      <c r="C9494"/>
    </row>
    <row r="9495" spans="3:3">
      <c r="C9495"/>
    </row>
    <row r="9496" spans="3:3">
      <c r="C9496"/>
    </row>
    <row r="9497" spans="3:3">
      <c r="C9497"/>
    </row>
    <row r="9498" spans="3:3">
      <c r="C9498"/>
    </row>
    <row r="9499" spans="3:3">
      <c r="C9499"/>
    </row>
    <row r="9500" spans="3:3">
      <c r="C9500"/>
    </row>
    <row r="9501" spans="3:3">
      <c r="C9501"/>
    </row>
    <row r="9502" spans="3:3">
      <c r="C9502"/>
    </row>
    <row r="9503" spans="3:3">
      <c r="C9503"/>
    </row>
    <row r="9504" spans="3:3">
      <c r="C9504"/>
    </row>
    <row r="9505" spans="3:3">
      <c r="C9505"/>
    </row>
    <row r="9506" spans="3:3">
      <c r="C9506"/>
    </row>
    <row r="9507" spans="3:3">
      <c r="C9507"/>
    </row>
    <row r="9508" spans="3:3">
      <c r="C9508"/>
    </row>
    <row r="9509" spans="3:3">
      <c r="C9509"/>
    </row>
    <row r="9510" spans="3:3">
      <c r="C9510"/>
    </row>
    <row r="9511" spans="3:3">
      <c r="C9511"/>
    </row>
    <row r="9512" spans="3:3">
      <c r="C9512"/>
    </row>
    <row r="9513" spans="3:3">
      <c r="C9513"/>
    </row>
    <row r="9514" spans="3:3">
      <c r="C9514"/>
    </row>
    <row r="9515" spans="3:3">
      <c r="C9515"/>
    </row>
    <row r="9516" spans="3:3">
      <c r="C9516"/>
    </row>
    <row r="9517" spans="3:3">
      <c r="C9517"/>
    </row>
    <row r="9518" spans="3:3">
      <c r="C9518"/>
    </row>
    <row r="9519" spans="3:3">
      <c r="C9519"/>
    </row>
    <row r="9520" spans="3:3">
      <c r="C9520"/>
    </row>
    <row r="9521" spans="3:3">
      <c r="C9521"/>
    </row>
    <row r="9522" spans="3:3">
      <c r="C9522"/>
    </row>
    <row r="9523" spans="3:3">
      <c r="C9523"/>
    </row>
    <row r="9524" spans="3:3">
      <c r="C9524"/>
    </row>
    <row r="9525" spans="3:3">
      <c r="C9525"/>
    </row>
    <row r="9526" spans="3:3">
      <c r="C9526"/>
    </row>
    <row r="9527" spans="3:3">
      <c r="C9527"/>
    </row>
    <row r="9528" spans="3:3">
      <c r="C9528"/>
    </row>
    <row r="9529" spans="3:3">
      <c r="C9529"/>
    </row>
    <row r="9530" spans="3:3">
      <c r="C9530"/>
    </row>
    <row r="9531" spans="3:3">
      <c r="C9531"/>
    </row>
    <row r="9532" spans="3:3">
      <c r="C9532"/>
    </row>
    <row r="9533" spans="3:3">
      <c r="C9533"/>
    </row>
    <row r="9534" spans="3:3">
      <c r="C9534"/>
    </row>
    <row r="9535" spans="3:3">
      <c r="C9535"/>
    </row>
    <row r="9536" spans="3:3">
      <c r="C9536"/>
    </row>
    <row r="9537" spans="3:3">
      <c r="C9537"/>
    </row>
    <row r="9538" spans="3:3">
      <c r="C9538"/>
    </row>
    <row r="9539" spans="3:3">
      <c r="C9539"/>
    </row>
    <row r="9540" spans="3:3">
      <c r="C9540"/>
    </row>
    <row r="9541" spans="3:3">
      <c r="C9541"/>
    </row>
    <row r="9542" spans="3:3">
      <c r="C9542"/>
    </row>
    <row r="9543" spans="3:3">
      <c r="C9543"/>
    </row>
    <row r="9544" spans="3:3">
      <c r="C9544"/>
    </row>
    <row r="9545" spans="3:3">
      <c r="C9545"/>
    </row>
    <row r="9546" spans="3:3">
      <c r="C9546"/>
    </row>
    <row r="9547" spans="3:3">
      <c r="C9547"/>
    </row>
    <row r="9548" spans="3:3">
      <c r="C9548"/>
    </row>
    <row r="9549" spans="3:3">
      <c r="C9549"/>
    </row>
    <row r="9550" spans="3:3">
      <c r="C9550"/>
    </row>
    <row r="9551" spans="3:3">
      <c r="C9551"/>
    </row>
    <row r="9552" spans="3:3">
      <c r="C9552"/>
    </row>
    <row r="9553" spans="3:3">
      <c r="C9553"/>
    </row>
    <row r="9554" spans="3:3">
      <c r="C9554"/>
    </row>
    <row r="9555" spans="3:3">
      <c r="C9555"/>
    </row>
    <row r="9556" spans="3:3">
      <c r="C9556"/>
    </row>
    <row r="9557" spans="3:3">
      <c r="C9557"/>
    </row>
    <row r="9558" spans="3:3">
      <c r="C9558"/>
    </row>
    <row r="9559" spans="3:3">
      <c r="C9559"/>
    </row>
    <row r="9560" spans="3:3">
      <c r="C9560"/>
    </row>
    <row r="9561" spans="3:3">
      <c r="C9561"/>
    </row>
    <row r="9562" spans="3:3">
      <c r="C9562"/>
    </row>
    <row r="9563" spans="3:3">
      <c r="C9563"/>
    </row>
    <row r="9564" spans="3:3">
      <c r="C9564"/>
    </row>
    <row r="9565" spans="3:3">
      <c r="C9565"/>
    </row>
    <row r="9566" spans="3:3">
      <c r="C9566"/>
    </row>
    <row r="9567" spans="3:3">
      <c r="C9567"/>
    </row>
    <row r="9568" spans="3:3">
      <c r="C9568"/>
    </row>
    <row r="9569" spans="3:3">
      <c r="C9569"/>
    </row>
    <row r="9570" spans="3:3">
      <c r="C9570"/>
    </row>
    <row r="9571" spans="3:3">
      <c r="C9571"/>
    </row>
    <row r="9572" spans="3:3">
      <c r="C9572"/>
    </row>
    <row r="9573" spans="3:3">
      <c r="C9573"/>
    </row>
    <row r="9574" spans="3:3">
      <c r="C9574"/>
    </row>
    <row r="9575" spans="3:3">
      <c r="C9575"/>
    </row>
    <row r="9576" spans="3:3">
      <c r="C9576"/>
    </row>
    <row r="9577" spans="3:3">
      <c r="C9577"/>
    </row>
    <row r="9578" spans="3:3">
      <c r="C9578"/>
    </row>
    <row r="9579" spans="3:3">
      <c r="C9579"/>
    </row>
    <row r="9580" spans="3:3">
      <c r="C9580"/>
    </row>
    <row r="9581" spans="3:3">
      <c r="C9581"/>
    </row>
    <row r="9582" spans="3:3">
      <c r="C9582"/>
    </row>
    <row r="9583" spans="3:3">
      <c r="C9583"/>
    </row>
    <row r="9584" spans="3:3">
      <c r="C9584"/>
    </row>
    <row r="9585" spans="3:3">
      <c r="C9585"/>
    </row>
    <row r="9586" spans="3:3">
      <c r="C9586"/>
    </row>
    <row r="9587" spans="3:3">
      <c r="C9587"/>
    </row>
    <row r="9588" spans="3:3">
      <c r="C9588"/>
    </row>
    <row r="9589" spans="3:3">
      <c r="C9589"/>
    </row>
    <row r="9590" spans="3:3">
      <c r="C9590"/>
    </row>
    <row r="9591" spans="3:3">
      <c r="C9591"/>
    </row>
    <row r="9592" spans="3:3">
      <c r="C9592"/>
    </row>
    <row r="9593" spans="3:3">
      <c r="C9593"/>
    </row>
    <row r="9594" spans="3:3">
      <c r="C9594"/>
    </row>
    <row r="9595" spans="3:3">
      <c r="C9595"/>
    </row>
    <row r="9596" spans="3:3">
      <c r="C9596"/>
    </row>
    <row r="9597" spans="3:3">
      <c r="C9597"/>
    </row>
    <row r="9598" spans="3:3">
      <c r="C9598"/>
    </row>
    <row r="9599" spans="3:3">
      <c r="C9599"/>
    </row>
    <row r="9600" spans="3:3">
      <c r="C9600"/>
    </row>
    <row r="9601" spans="3:3">
      <c r="C9601"/>
    </row>
    <row r="9602" spans="3:3">
      <c r="C9602"/>
    </row>
    <row r="9603" spans="3:3">
      <c r="C9603"/>
    </row>
    <row r="9604" spans="3:3">
      <c r="C9604"/>
    </row>
    <row r="9605" spans="3:3">
      <c r="C9605"/>
    </row>
    <row r="9606" spans="3:3">
      <c r="C9606"/>
    </row>
    <row r="9607" spans="3:3">
      <c r="C9607"/>
    </row>
    <row r="9608" spans="3:3">
      <c r="C9608"/>
    </row>
    <row r="9609" spans="3:3">
      <c r="C9609"/>
    </row>
    <row r="9610" spans="3:3">
      <c r="C9610"/>
    </row>
    <row r="9611" spans="3:3">
      <c r="C9611"/>
    </row>
    <row r="9612" spans="3:3">
      <c r="C9612"/>
    </row>
    <row r="9613" spans="3:3">
      <c r="C9613"/>
    </row>
    <row r="9614" spans="3:3">
      <c r="C9614"/>
    </row>
    <row r="9615" spans="3:3">
      <c r="C9615"/>
    </row>
    <row r="9616" spans="3:3">
      <c r="C9616"/>
    </row>
    <row r="9617" spans="3:3">
      <c r="C9617"/>
    </row>
    <row r="9618" spans="3:3">
      <c r="C9618"/>
    </row>
    <row r="9619" spans="3:3">
      <c r="C9619"/>
    </row>
    <row r="9620" spans="3:3">
      <c r="C9620"/>
    </row>
    <row r="9621" spans="3:3">
      <c r="C9621"/>
    </row>
    <row r="9622" spans="3:3">
      <c r="C9622"/>
    </row>
    <row r="9623" spans="3:3">
      <c r="C9623"/>
    </row>
    <row r="9624" spans="3:3">
      <c r="C9624"/>
    </row>
    <row r="9625" spans="3:3">
      <c r="C9625"/>
    </row>
    <row r="9626" spans="3:3">
      <c r="C9626"/>
    </row>
    <row r="9627" spans="3:3">
      <c r="C9627"/>
    </row>
    <row r="9628" spans="3:3">
      <c r="C9628"/>
    </row>
    <row r="9629" spans="3:3">
      <c r="C9629"/>
    </row>
    <row r="9630" spans="3:3">
      <c r="C9630"/>
    </row>
    <row r="9631" spans="3:3">
      <c r="C9631"/>
    </row>
    <row r="9632" spans="3:3">
      <c r="C9632"/>
    </row>
    <row r="9633" spans="3:3">
      <c r="C9633"/>
    </row>
    <row r="9634" spans="3:3">
      <c r="C9634"/>
    </row>
    <row r="9635" spans="3:3">
      <c r="C9635"/>
    </row>
    <row r="9636" spans="3:3">
      <c r="C9636"/>
    </row>
    <row r="9637" spans="3:3">
      <c r="C9637"/>
    </row>
    <row r="9638" spans="3:3">
      <c r="C9638"/>
    </row>
    <row r="9639" spans="3:3">
      <c r="C9639"/>
    </row>
    <row r="9640" spans="3:3">
      <c r="C9640"/>
    </row>
    <row r="9641" spans="3:3">
      <c r="C9641"/>
    </row>
    <row r="9642" spans="3:3">
      <c r="C9642"/>
    </row>
    <row r="9643" spans="3:3">
      <c r="C9643"/>
    </row>
    <row r="9644" spans="3:3">
      <c r="C9644"/>
    </row>
    <row r="9645" spans="3:3">
      <c r="C9645"/>
    </row>
    <row r="9646" spans="3:3">
      <c r="C9646"/>
    </row>
    <row r="9647" spans="3:3">
      <c r="C9647"/>
    </row>
    <row r="9648" spans="3:3">
      <c r="C9648"/>
    </row>
    <row r="9649" spans="3:3">
      <c r="C9649"/>
    </row>
    <row r="9650" spans="3:3">
      <c r="C9650"/>
    </row>
    <row r="9651" spans="3:3">
      <c r="C9651"/>
    </row>
    <row r="9652" spans="3:3">
      <c r="C9652"/>
    </row>
    <row r="9653" spans="3:3">
      <c r="C9653"/>
    </row>
    <row r="9654" spans="3:3">
      <c r="C9654"/>
    </row>
    <row r="9655" spans="3:3">
      <c r="C9655"/>
    </row>
    <row r="9656" spans="3:3">
      <c r="C9656"/>
    </row>
    <row r="9657" spans="3:3">
      <c r="C9657"/>
    </row>
    <row r="9658" spans="3:3">
      <c r="C9658"/>
    </row>
    <row r="9659" spans="3:3">
      <c r="C9659"/>
    </row>
    <row r="9660" spans="3:3">
      <c r="C9660"/>
    </row>
    <row r="9661" spans="3:3">
      <c r="C9661"/>
    </row>
    <row r="9662" spans="3:3">
      <c r="C9662"/>
    </row>
    <row r="9663" spans="3:3">
      <c r="C9663"/>
    </row>
    <row r="9664" spans="3:3">
      <c r="C9664"/>
    </row>
    <row r="9665" spans="3:3">
      <c r="C9665"/>
    </row>
    <row r="9666" spans="3:3">
      <c r="C9666"/>
    </row>
    <row r="9667" spans="3:3">
      <c r="C9667"/>
    </row>
    <row r="9668" spans="3:3">
      <c r="C9668"/>
    </row>
    <row r="9669" spans="3:3">
      <c r="C9669"/>
    </row>
    <row r="9670" spans="3:3">
      <c r="C9670"/>
    </row>
    <row r="9671" spans="3:3">
      <c r="C9671"/>
    </row>
    <row r="9672" spans="3:3">
      <c r="C9672"/>
    </row>
    <row r="9673" spans="3:3">
      <c r="C9673"/>
    </row>
    <row r="9674" spans="3:3">
      <c r="C9674"/>
    </row>
    <row r="9675" spans="3:3">
      <c r="C9675"/>
    </row>
    <row r="9676" spans="3:3">
      <c r="C9676"/>
    </row>
    <row r="9677" spans="3:3">
      <c r="C9677"/>
    </row>
    <row r="9678" spans="3:3">
      <c r="C9678"/>
    </row>
    <row r="9679" spans="3:3">
      <c r="C9679"/>
    </row>
    <row r="9680" spans="3:3">
      <c r="C9680"/>
    </row>
    <row r="9681" spans="3:3">
      <c r="C9681"/>
    </row>
    <row r="9682" spans="3:3">
      <c r="C9682"/>
    </row>
    <row r="9683" spans="3:3">
      <c r="C9683"/>
    </row>
    <row r="9684" spans="3:3">
      <c r="C9684"/>
    </row>
    <row r="9685" spans="3:3">
      <c r="C9685"/>
    </row>
    <row r="9686" spans="3:3">
      <c r="C9686"/>
    </row>
    <row r="9687" spans="3:3">
      <c r="C9687"/>
    </row>
    <row r="9688" spans="3:3">
      <c r="C9688"/>
    </row>
    <row r="9689" spans="3:3">
      <c r="C9689"/>
    </row>
    <row r="9690" spans="3:3">
      <c r="C9690"/>
    </row>
    <row r="9691" spans="3:3">
      <c r="C9691"/>
    </row>
    <row r="9692" spans="3:3">
      <c r="C9692"/>
    </row>
    <row r="9693" spans="3:3">
      <c r="C9693"/>
    </row>
    <row r="9694" spans="3:3">
      <c r="C9694"/>
    </row>
    <row r="9695" spans="3:3">
      <c r="C9695"/>
    </row>
    <row r="9696" spans="3:3">
      <c r="C9696"/>
    </row>
    <row r="9697" spans="3:3">
      <c r="C9697"/>
    </row>
    <row r="9698" spans="3:3">
      <c r="C9698"/>
    </row>
    <row r="9699" spans="3:3">
      <c r="C9699"/>
    </row>
    <row r="9700" spans="3:3">
      <c r="C9700"/>
    </row>
    <row r="9701" spans="3:3">
      <c r="C9701"/>
    </row>
    <row r="9702" spans="3:3">
      <c r="C9702"/>
    </row>
    <row r="9703" spans="3:3">
      <c r="C9703"/>
    </row>
    <row r="9704" spans="3:3">
      <c r="C9704"/>
    </row>
    <row r="9705" spans="3:3">
      <c r="C9705"/>
    </row>
    <row r="9706" spans="3:3">
      <c r="C9706"/>
    </row>
    <row r="9707" spans="3:3">
      <c r="C9707"/>
    </row>
    <row r="9708" spans="3:3">
      <c r="C9708"/>
    </row>
    <row r="9709" spans="3:3">
      <c r="C9709"/>
    </row>
    <row r="9710" spans="3:3">
      <c r="C9710"/>
    </row>
    <row r="9711" spans="3:3">
      <c r="C9711"/>
    </row>
    <row r="9712" spans="3:3">
      <c r="C9712"/>
    </row>
    <row r="9713" spans="3:3">
      <c r="C9713"/>
    </row>
    <row r="9714" spans="3:3">
      <c r="C9714"/>
    </row>
    <row r="9715" spans="3:3">
      <c r="C9715"/>
    </row>
    <row r="9716" spans="3:3">
      <c r="C9716"/>
    </row>
    <row r="9717" spans="3:3">
      <c r="C9717"/>
    </row>
    <row r="9718" spans="3:3">
      <c r="C9718"/>
    </row>
    <row r="9719" spans="3:3">
      <c r="C9719"/>
    </row>
    <row r="9720" spans="3:3">
      <c r="C9720"/>
    </row>
    <row r="9721" spans="3:3">
      <c r="C9721"/>
    </row>
    <row r="9722" spans="3:3">
      <c r="C9722"/>
    </row>
    <row r="9723" spans="3:3">
      <c r="C9723"/>
    </row>
    <row r="9724" spans="3:3">
      <c r="C9724"/>
    </row>
    <row r="9725" spans="3:3">
      <c r="C9725"/>
    </row>
    <row r="9726" spans="3:3">
      <c r="C9726"/>
    </row>
    <row r="9727" spans="3:3">
      <c r="C9727"/>
    </row>
    <row r="9728" spans="3:3">
      <c r="C9728"/>
    </row>
    <row r="9729" spans="3:3">
      <c r="C9729"/>
    </row>
    <row r="9730" spans="3:3">
      <c r="C9730"/>
    </row>
    <row r="9731" spans="3:3">
      <c r="C9731"/>
    </row>
    <row r="9732" spans="3:3">
      <c r="C9732"/>
    </row>
    <row r="9733" spans="3:3">
      <c r="C9733"/>
    </row>
    <row r="9734" spans="3:3">
      <c r="C9734"/>
    </row>
    <row r="9735" spans="3:3">
      <c r="C9735"/>
    </row>
    <row r="9736" spans="3:3">
      <c r="C9736"/>
    </row>
    <row r="9737" spans="3:3">
      <c r="C9737"/>
    </row>
    <row r="9738" spans="3:3">
      <c r="C9738"/>
    </row>
    <row r="9739" spans="3:3">
      <c r="C9739"/>
    </row>
    <row r="9740" spans="3:3">
      <c r="C9740"/>
    </row>
    <row r="9741" spans="3:3">
      <c r="C9741"/>
    </row>
    <row r="9742" spans="3:3">
      <c r="C9742"/>
    </row>
    <row r="9743" spans="3:3">
      <c r="C9743"/>
    </row>
    <row r="9744" spans="3:3">
      <c r="C9744"/>
    </row>
    <row r="9745" spans="3:3">
      <c r="C9745"/>
    </row>
    <row r="9746" spans="3:3">
      <c r="C9746"/>
    </row>
    <row r="9747" spans="3:3">
      <c r="C9747"/>
    </row>
    <row r="9748" spans="3:3">
      <c r="C9748"/>
    </row>
    <row r="9749" spans="3:3">
      <c r="C9749"/>
    </row>
    <row r="9750" spans="3:3">
      <c r="C9750"/>
    </row>
    <row r="9751" spans="3:3">
      <c r="C9751"/>
    </row>
    <row r="9752" spans="3:3">
      <c r="C9752"/>
    </row>
    <row r="9753" spans="3:3">
      <c r="C9753"/>
    </row>
    <row r="9754" spans="3:3">
      <c r="C9754"/>
    </row>
    <row r="9755" spans="3:3">
      <c r="C9755"/>
    </row>
    <row r="9756" spans="3:3">
      <c r="C9756"/>
    </row>
    <row r="9757" spans="3:3">
      <c r="C9757"/>
    </row>
    <row r="9758" spans="3:3">
      <c r="C9758"/>
    </row>
    <row r="9759" spans="3:3">
      <c r="C9759"/>
    </row>
    <row r="9760" spans="3:3">
      <c r="C9760"/>
    </row>
    <row r="9761" spans="3:3">
      <c r="C9761"/>
    </row>
    <row r="9762" spans="3:3">
      <c r="C9762"/>
    </row>
    <row r="9763" spans="3:3">
      <c r="C9763"/>
    </row>
    <row r="9764" spans="3:3">
      <c r="C9764"/>
    </row>
    <row r="9765" spans="3:3">
      <c r="C9765"/>
    </row>
    <row r="9766" spans="3:3">
      <c r="C9766"/>
    </row>
    <row r="9767" spans="3:3">
      <c r="C9767"/>
    </row>
    <row r="9768" spans="3:3">
      <c r="C9768"/>
    </row>
    <row r="9769" spans="3:3">
      <c r="C9769"/>
    </row>
    <row r="9770" spans="3:3">
      <c r="C9770"/>
    </row>
    <row r="9771" spans="3:3">
      <c r="C9771"/>
    </row>
    <row r="9772" spans="3:3">
      <c r="C9772"/>
    </row>
    <row r="9773" spans="3:3">
      <c r="C9773"/>
    </row>
    <row r="9774" spans="3:3">
      <c r="C9774"/>
    </row>
    <row r="9775" spans="3:3">
      <c r="C9775"/>
    </row>
    <row r="9776" spans="3:3">
      <c r="C9776"/>
    </row>
    <row r="9777" spans="3:3">
      <c r="C9777"/>
    </row>
    <row r="9778" spans="3:3">
      <c r="C9778"/>
    </row>
    <row r="9779" spans="3:3">
      <c r="C9779"/>
    </row>
    <row r="9780" spans="3:3">
      <c r="C9780"/>
    </row>
    <row r="9781" spans="3:3">
      <c r="C9781"/>
    </row>
    <row r="9782" spans="3:3">
      <c r="C9782"/>
    </row>
    <row r="9783" spans="3:3">
      <c r="C9783"/>
    </row>
    <row r="9784" spans="3:3">
      <c r="C9784"/>
    </row>
    <row r="9785" spans="3:3">
      <c r="C9785"/>
    </row>
    <row r="9786" spans="3:3">
      <c r="C9786"/>
    </row>
    <row r="9787" spans="3:3">
      <c r="C9787"/>
    </row>
    <row r="9788" spans="3:3">
      <c r="C9788"/>
    </row>
    <row r="9789" spans="3:3">
      <c r="C9789"/>
    </row>
    <row r="9790" spans="3:3">
      <c r="C9790"/>
    </row>
    <row r="9791" spans="3:3">
      <c r="C9791"/>
    </row>
    <row r="9792" spans="3:3">
      <c r="C9792"/>
    </row>
    <row r="9793" spans="3:3">
      <c r="C9793"/>
    </row>
    <row r="9794" spans="3:3">
      <c r="C9794"/>
    </row>
    <row r="9795" spans="3:3">
      <c r="C9795"/>
    </row>
    <row r="9796" spans="3:3">
      <c r="C9796"/>
    </row>
    <row r="9797" spans="3:3">
      <c r="C9797"/>
    </row>
    <row r="9798" spans="3:3">
      <c r="C9798"/>
    </row>
    <row r="9799" spans="3:3">
      <c r="C9799"/>
    </row>
    <row r="9800" spans="3:3">
      <c r="C9800"/>
    </row>
    <row r="9801" spans="3:3">
      <c r="C9801"/>
    </row>
    <row r="9802" spans="3:3">
      <c r="C9802"/>
    </row>
    <row r="9803" spans="3:3">
      <c r="C9803"/>
    </row>
    <row r="9804" spans="3:3">
      <c r="C9804"/>
    </row>
    <row r="9805" spans="3:3">
      <c r="C9805"/>
    </row>
    <row r="9806" spans="3:3">
      <c r="C9806"/>
    </row>
    <row r="9807" spans="3:3">
      <c r="C9807"/>
    </row>
    <row r="9808" spans="3:3">
      <c r="C9808"/>
    </row>
    <row r="9809" spans="3:3">
      <c r="C9809"/>
    </row>
    <row r="9810" spans="3:3">
      <c r="C9810"/>
    </row>
    <row r="9811" spans="3:3">
      <c r="C9811"/>
    </row>
    <row r="9812" spans="3:3">
      <c r="C9812"/>
    </row>
    <row r="9813" spans="3:3">
      <c r="C9813"/>
    </row>
    <row r="9814" spans="3:3">
      <c r="C9814"/>
    </row>
    <row r="9815" spans="3:3">
      <c r="C9815"/>
    </row>
    <row r="9816" spans="3:3">
      <c r="C9816"/>
    </row>
    <row r="9817" spans="3:3">
      <c r="C9817"/>
    </row>
    <row r="9818" spans="3:3">
      <c r="C9818"/>
    </row>
    <row r="9819" spans="3:3">
      <c r="C9819"/>
    </row>
    <row r="9820" spans="3:3">
      <c r="C9820"/>
    </row>
    <row r="9821" spans="3:3">
      <c r="C9821"/>
    </row>
    <row r="9822" spans="3:3">
      <c r="C9822"/>
    </row>
    <row r="9823" spans="3:3">
      <c r="C9823"/>
    </row>
    <row r="9824" spans="3:3">
      <c r="C9824"/>
    </row>
    <row r="9825" spans="3:3">
      <c r="C9825"/>
    </row>
    <row r="9826" spans="3:3">
      <c r="C9826"/>
    </row>
    <row r="9827" spans="3:3">
      <c r="C9827"/>
    </row>
    <row r="9828" spans="3:3">
      <c r="C9828"/>
    </row>
    <row r="9829" spans="3:3">
      <c r="C9829"/>
    </row>
    <row r="9830" spans="3:3">
      <c r="C9830"/>
    </row>
    <row r="9831" spans="3:3">
      <c r="C9831"/>
    </row>
    <row r="9832" spans="3:3">
      <c r="C9832"/>
    </row>
    <row r="9833" spans="3:3">
      <c r="C9833"/>
    </row>
    <row r="9834" spans="3:3">
      <c r="C9834"/>
    </row>
    <row r="9835" spans="3:3">
      <c r="C9835"/>
    </row>
    <row r="9836" spans="3:3">
      <c r="C9836"/>
    </row>
    <row r="9837" spans="3:3">
      <c r="C9837"/>
    </row>
    <row r="9838" spans="3:3">
      <c r="C9838"/>
    </row>
    <row r="9839" spans="3:3">
      <c r="C9839"/>
    </row>
    <row r="9840" spans="3:3">
      <c r="C9840"/>
    </row>
    <row r="9841" spans="3:3">
      <c r="C9841"/>
    </row>
    <row r="9842" spans="3:3">
      <c r="C9842"/>
    </row>
    <row r="9843" spans="3:3">
      <c r="C9843"/>
    </row>
    <row r="9844" spans="3:3">
      <c r="C9844"/>
    </row>
    <row r="9845" spans="3:3">
      <c r="C9845"/>
    </row>
    <row r="9846" spans="3:3">
      <c r="C9846"/>
    </row>
    <row r="9847" spans="3:3">
      <c r="C9847"/>
    </row>
    <row r="9848" spans="3:3">
      <c r="C9848"/>
    </row>
    <row r="9849" spans="3:3">
      <c r="C9849"/>
    </row>
    <row r="9850" spans="3:3">
      <c r="C9850"/>
    </row>
    <row r="9851" spans="3:3">
      <c r="C9851"/>
    </row>
    <row r="9852" spans="3:3">
      <c r="C9852"/>
    </row>
    <row r="9853" spans="3:3">
      <c r="C9853"/>
    </row>
    <row r="9854" spans="3:3">
      <c r="C9854"/>
    </row>
    <row r="9855" spans="3:3">
      <c r="C9855"/>
    </row>
    <row r="9856" spans="3:3">
      <c r="C9856"/>
    </row>
    <row r="9857" spans="3:3">
      <c r="C9857"/>
    </row>
    <row r="9858" spans="3:3">
      <c r="C9858"/>
    </row>
    <row r="9859" spans="3:3">
      <c r="C9859"/>
    </row>
    <row r="9860" spans="3:3">
      <c r="C9860"/>
    </row>
    <row r="9861" spans="3:3">
      <c r="C9861"/>
    </row>
    <row r="9862" spans="3:3">
      <c r="C9862"/>
    </row>
    <row r="9863" spans="3:3">
      <c r="C9863"/>
    </row>
    <row r="9864" spans="3:3">
      <c r="C9864"/>
    </row>
    <row r="9865" spans="3:3">
      <c r="C9865"/>
    </row>
    <row r="9866" spans="3:3">
      <c r="C9866"/>
    </row>
    <row r="9867" spans="3:3">
      <c r="C9867"/>
    </row>
    <row r="9868" spans="3:3">
      <c r="C9868"/>
    </row>
    <row r="9869" spans="3:3">
      <c r="C9869"/>
    </row>
    <row r="9870" spans="3:3">
      <c r="C9870"/>
    </row>
    <row r="9871" spans="3:3">
      <c r="C9871"/>
    </row>
    <row r="9872" spans="3:3">
      <c r="C9872"/>
    </row>
    <row r="9873" spans="3:3">
      <c r="C9873"/>
    </row>
    <row r="9874" spans="3:3">
      <c r="C9874"/>
    </row>
    <row r="9875" spans="3:3">
      <c r="C9875"/>
    </row>
    <row r="9876" spans="3:3">
      <c r="C9876"/>
    </row>
    <row r="9877" spans="3:3">
      <c r="C9877"/>
    </row>
    <row r="9878" spans="3:3">
      <c r="C9878"/>
    </row>
    <row r="9879" spans="3:3">
      <c r="C9879"/>
    </row>
    <row r="9880" spans="3:3">
      <c r="C9880"/>
    </row>
    <row r="9881" spans="3:3">
      <c r="C9881"/>
    </row>
    <row r="9882" spans="3:3">
      <c r="C9882"/>
    </row>
    <row r="9883" spans="3:3">
      <c r="C9883"/>
    </row>
    <row r="9884" spans="3:3">
      <c r="C9884"/>
    </row>
    <row r="9885" spans="3:3">
      <c r="C9885"/>
    </row>
    <row r="9886" spans="3:3">
      <c r="C9886"/>
    </row>
    <row r="9887" spans="3:3">
      <c r="C9887"/>
    </row>
    <row r="9888" spans="3:3">
      <c r="C9888"/>
    </row>
    <row r="9889" spans="3:3">
      <c r="C9889"/>
    </row>
    <row r="9890" spans="3:3">
      <c r="C9890"/>
    </row>
    <row r="9891" spans="3:3">
      <c r="C9891"/>
    </row>
    <row r="9892" spans="3:3">
      <c r="C9892"/>
    </row>
    <row r="9893" spans="3:3">
      <c r="C9893"/>
    </row>
    <row r="9894" spans="3:3">
      <c r="C9894"/>
    </row>
    <row r="9895" spans="3:3">
      <c r="C9895"/>
    </row>
    <row r="9896" spans="3:3">
      <c r="C9896"/>
    </row>
    <row r="9897" spans="3:3">
      <c r="C9897"/>
    </row>
    <row r="9898" spans="3:3">
      <c r="C9898"/>
    </row>
    <row r="9899" spans="3:3">
      <c r="C9899"/>
    </row>
    <row r="9900" spans="3:3">
      <c r="C9900"/>
    </row>
    <row r="9901" spans="3:3">
      <c r="C9901"/>
    </row>
    <row r="9902" spans="3:3">
      <c r="C9902"/>
    </row>
    <row r="9903" spans="3:3">
      <c r="C9903"/>
    </row>
    <row r="9904" spans="3:3">
      <c r="C9904"/>
    </row>
    <row r="9905" spans="3:3">
      <c r="C9905"/>
    </row>
    <row r="9906" spans="3:3">
      <c r="C9906"/>
    </row>
    <row r="9907" spans="3:3">
      <c r="C9907"/>
    </row>
    <row r="9908" spans="3:3">
      <c r="C9908"/>
    </row>
    <row r="9909" spans="3:3">
      <c r="C9909"/>
    </row>
    <row r="9910" spans="3:3">
      <c r="C9910"/>
    </row>
    <row r="9911" spans="3:3">
      <c r="C9911"/>
    </row>
    <row r="9912" spans="3:3">
      <c r="C9912"/>
    </row>
    <row r="9913" spans="3:3">
      <c r="C9913"/>
    </row>
    <row r="9914" spans="3:3">
      <c r="C9914"/>
    </row>
    <row r="9915" spans="3:3">
      <c r="C9915"/>
    </row>
    <row r="9916" spans="3:3">
      <c r="C9916"/>
    </row>
    <row r="9917" spans="3:3">
      <c r="C9917"/>
    </row>
    <row r="9918" spans="3:3">
      <c r="C9918"/>
    </row>
    <row r="9919" spans="3:3">
      <c r="C9919"/>
    </row>
    <row r="9920" spans="3:3">
      <c r="C9920"/>
    </row>
    <row r="9921" spans="3:3">
      <c r="C9921"/>
    </row>
    <row r="9922" spans="3:3">
      <c r="C9922"/>
    </row>
    <row r="9923" spans="3:3">
      <c r="C9923"/>
    </row>
    <row r="9924" spans="3:3">
      <c r="C9924"/>
    </row>
    <row r="9925" spans="3:3">
      <c r="C9925"/>
    </row>
    <row r="9926" spans="3:3">
      <c r="C9926"/>
    </row>
    <row r="9927" spans="3:3">
      <c r="C9927"/>
    </row>
    <row r="9928" spans="3:3">
      <c r="C9928"/>
    </row>
    <row r="9929" spans="3:3">
      <c r="C9929"/>
    </row>
    <row r="9930" spans="3:3">
      <c r="C9930"/>
    </row>
    <row r="9931" spans="3:3">
      <c r="C9931"/>
    </row>
    <row r="9932" spans="3:3">
      <c r="C9932"/>
    </row>
    <row r="9933" spans="3:3">
      <c r="C9933"/>
    </row>
    <row r="9934" spans="3:3">
      <c r="C9934"/>
    </row>
    <row r="9935" spans="3:3">
      <c r="C9935"/>
    </row>
    <row r="9936" spans="3:3">
      <c r="C9936"/>
    </row>
    <row r="9937" spans="3:3">
      <c r="C9937"/>
    </row>
    <row r="9938" spans="3:3">
      <c r="C9938"/>
    </row>
    <row r="9939" spans="3:3">
      <c r="C9939"/>
    </row>
    <row r="9940" spans="3:3">
      <c r="C9940"/>
    </row>
    <row r="9941" spans="3:3">
      <c r="C9941"/>
    </row>
    <row r="9942" spans="3:3">
      <c r="C9942"/>
    </row>
    <row r="9943" spans="3:3">
      <c r="C9943"/>
    </row>
    <row r="9944" spans="3:3">
      <c r="C9944"/>
    </row>
    <row r="9945" spans="3:3">
      <c r="C9945"/>
    </row>
    <row r="9946" spans="3:3">
      <c r="C9946"/>
    </row>
    <row r="9947" spans="3:3">
      <c r="C9947"/>
    </row>
    <row r="9948" spans="3:3">
      <c r="C9948"/>
    </row>
    <row r="9949" spans="3:3">
      <c r="C9949"/>
    </row>
    <row r="9950" spans="3:3">
      <c r="C9950"/>
    </row>
    <row r="9951" spans="3:3">
      <c r="C9951"/>
    </row>
    <row r="9952" spans="3:3">
      <c r="C9952"/>
    </row>
    <row r="9953" spans="3:3">
      <c r="C9953"/>
    </row>
    <row r="9954" spans="3:3">
      <c r="C9954"/>
    </row>
    <row r="9955" spans="3:3">
      <c r="C9955"/>
    </row>
    <row r="9956" spans="3:3">
      <c r="C9956"/>
    </row>
    <row r="9957" spans="3:3">
      <c r="C9957"/>
    </row>
    <row r="9958" spans="3:3">
      <c r="C9958"/>
    </row>
    <row r="9959" spans="3:3">
      <c r="C9959"/>
    </row>
    <row r="9960" spans="3:3">
      <c r="C9960"/>
    </row>
    <row r="9961" spans="3:3">
      <c r="C9961"/>
    </row>
    <row r="9962" spans="3:3">
      <c r="C9962"/>
    </row>
    <row r="9963" spans="3:3">
      <c r="C9963"/>
    </row>
    <row r="9964" spans="3:3">
      <c r="C9964"/>
    </row>
    <row r="9965" spans="3:3">
      <c r="C9965"/>
    </row>
    <row r="9966" spans="3:3">
      <c r="C9966"/>
    </row>
    <row r="9967" spans="3:3">
      <c r="C9967"/>
    </row>
    <row r="9968" spans="3:3">
      <c r="C9968"/>
    </row>
    <row r="9969" spans="3:3">
      <c r="C9969"/>
    </row>
    <row r="9970" spans="3:3">
      <c r="C9970"/>
    </row>
    <row r="9971" spans="3:3">
      <c r="C9971"/>
    </row>
    <row r="9972" spans="3:3">
      <c r="C9972"/>
    </row>
    <row r="9973" spans="3:3">
      <c r="C9973"/>
    </row>
    <row r="9974" spans="3:3">
      <c r="C9974"/>
    </row>
    <row r="9975" spans="3:3">
      <c r="C9975"/>
    </row>
    <row r="9976" spans="3:3">
      <c r="C9976"/>
    </row>
    <row r="9977" spans="3:3">
      <c r="C9977"/>
    </row>
    <row r="9978" spans="3:3">
      <c r="C9978"/>
    </row>
    <row r="9979" spans="3:3">
      <c r="C9979"/>
    </row>
    <row r="9980" spans="3:3">
      <c r="C9980"/>
    </row>
    <row r="9981" spans="3:3">
      <c r="C9981"/>
    </row>
    <row r="9982" spans="3:3">
      <c r="C9982"/>
    </row>
    <row r="9983" spans="3:3">
      <c r="C9983"/>
    </row>
    <row r="9984" spans="3:3">
      <c r="C9984"/>
    </row>
    <row r="9985" spans="3:3">
      <c r="C9985"/>
    </row>
    <row r="9986" spans="3:3">
      <c r="C9986"/>
    </row>
    <row r="9987" spans="3:3">
      <c r="C9987"/>
    </row>
    <row r="9988" spans="3:3">
      <c r="C9988"/>
    </row>
    <row r="9989" spans="3:3">
      <c r="C9989"/>
    </row>
    <row r="9990" spans="3:3">
      <c r="C9990"/>
    </row>
    <row r="9991" spans="3:3">
      <c r="C9991"/>
    </row>
    <row r="9992" spans="3:3">
      <c r="C9992"/>
    </row>
    <row r="9993" spans="3:3">
      <c r="C9993"/>
    </row>
    <row r="9994" spans="3:3">
      <c r="C9994"/>
    </row>
    <row r="9995" spans="3:3">
      <c r="C9995"/>
    </row>
    <row r="9996" spans="3:3">
      <c r="C9996"/>
    </row>
    <row r="9997" spans="3:3">
      <c r="C9997"/>
    </row>
    <row r="9998" spans="3:3">
      <c r="C9998"/>
    </row>
    <row r="9999" spans="3:3">
      <c r="C9999"/>
    </row>
    <row r="10000" spans="3:3">
      <c r="C10000"/>
    </row>
    <row r="10001" spans="3:3">
      <c r="C10001"/>
    </row>
    <row r="10002" spans="3:3">
      <c r="C10002"/>
    </row>
    <row r="10003" spans="3:3">
      <c r="C10003"/>
    </row>
    <row r="10004" spans="3:3">
      <c r="C10004"/>
    </row>
    <row r="10005" spans="3:3">
      <c r="C10005"/>
    </row>
    <row r="10006" spans="3:3">
      <c r="C10006"/>
    </row>
    <row r="10007" spans="3:3">
      <c r="C10007"/>
    </row>
    <row r="10008" spans="3:3">
      <c r="C10008"/>
    </row>
    <row r="10009" spans="3:3">
      <c r="C10009"/>
    </row>
    <row r="10010" spans="3:3">
      <c r="C10010"/>
    </row>
    <row r="10011" spans="3:3">
      <c r="C10011"/>
    </row>
    <row r="10012" spans="3:3">
      <c r="C10012"/>
    </row>
    <row r="10013" spans="3:3">
      <c r="C10013"/>
    </row>
    <row r="10014" spans="3:3">
      <c r="C10014"/>
    </row>
    <row r="10015" spans="3:3">
      <c r="C10015"/>
    </row>
    <row r="10016" spans="3:3">
      <c r="C10016"/>
    </row>
    <row r="10017" spans="3:3">
      <c r="C10017"/>
    </row>
    <row r="10018" spans="3:3">
      <c r="C10018"/>
    </row>
    <row r="10019" spans="3:3">
      <c r="C10019"/>
    </row>
    <row r="10020" spans="3:3">
      <c r="C10020"/>
    </row>
    <row r="10021" spans="3:3">
      <c r="C10021"/>
    </row>
    <row r="10022" spans="3:3">
      <c r="C10022"/>
    </row>
    <row r="10023" spans="3:3">
      <c r="C10023"/>
    </row>
    <row r="10024" spans="3:3">
      <c r="C10024"/>
    </row>
    <row r="10025" spans="3:3">
      <c r="C10025"/>
    </row>
    <row r="10026" spans="3:3">
      <c r="C10026"/>
    </row>
    <row r="10027" spans="3:3">
      <c r="C10027"/>
    </row>
    <row r="10028" spans="3:3">
      <c r="C10028"/>
    </row>
    <row r="10029" spans="3:3">
      <c r="C10029"/>
    </row>
    <row r="10030" spans="3:3">
      <c r="C10030"/>
    </row>
    <row r="10031" spans="3:3">
      <c r="C10031"/>
    </row>
    <row r="10032" spans="3:3">
      <c r="C10032"/>
    </row>
    <row r="10033" spans="3:3">
      <c r="C10033"/>
    </row>
    <row r="10034" spans="3:3">
      <c r="C10034"/>
    </row>
    <row r="10035" spans="3:3">
      <c r="C10035"/>
    </row>
    <row r="10036" spans="3:3">
      <c r="C10036"/>
    </row>
    <row r="10037" spans="3:3">
      <c r="C10037"/>
    </row>
    <row r="10038" spans="3:3">
      <c r="C10038"/>
    </row>
    <row r="10039" spans="3:3">
      <c r="C10039"/>
    </row>
    <row r="10040" spans="3:3">
      <c r="C10040"/>
    </row>
    <row r="10041" spans="3:3">
      <c r="C10041"/>
    </row>
    <row r="10042" spans="3:3">
      <c r="C10042"/>
    </row>
    <row r="10043" spans="3:3">
      <c r="C10043"/>
    </row>
    <row r="10044" spans="3:3">
      <c r="C10044"/>
    </row>
    <row r="10045" spans="3:3">
      <c r="C10045"/>
    </row>
    <row r="10046" spans="3:3">
      <c r="C10046"/>
    </row>
    <row r="10047" spans="3:3">
      <c r="C10047"/>
    </row>
    <row r="10048" spans="3:3">
      <c r="C10048"/>
    </row>
    <row r="10049" spans="3:3">
      <c r="C10049"/>
    </row>
    <row r="10050" spans="3:3">
      <c r="C10050"/>
    </row>
    <row r="10051" spans="3:3">
      <c r="C10051"/>
    </row>
    <row r="10052" spans="3:3">
      <c r="C10052"/>
    </row>
    <row r="10053" spans="3:3">
      <c r="C10053"/>
    </row>
    <row r="10054" spans="3:3">
      <c r="C10054"/>
    </row>
    <row r="10055" spans="3:3">
      <c r="C10055"/>
    </row>
    <row r="10056" spans="3:3">
      <c r="C10056"/>
    </row>
    <row r="10057" spans="3:3">
      <c r="C10057"/>
    </row>
    <row r="10058" spans="3:3">
      <c r="C10058"/>
    </row>
    <row r="10059" spans="3:3">
      <c r="C10059"/>
    </row>
    <row r="10060" spans="3:3">
      <c r="C10060"/>
    </row>
    <row r="10061" spans="3:3">
      <c r="C10061"/>
    </row>
    <row r="10062" spans="3:3">
      <c r="C10062"/>
    </row>
    <row r="10063" spans="3:3">
      <c r="C10063"/>
    </row>
    <row r="10064" spans="3:3">
      <c r="C10064"/>
    </row>
    <row r="10065" spans="3:3">
      <c r="C10065"/>
    </row>
    <row r="10066" spans="3:3">
      <c r="C10066"/>
    </row>
    <row r="10067" spans="3:3">
      <c r="C10067"/>
    </row>
    <row r="10068" spans="3:3">
      <c r="C10068"/>
    </row>
    <row r="10069" spans="3:3">
      <c r="C10069"/>
    </row>
    <row r="10070" spans="3:3">
      <c r="C10070"/>
    </row>
    <row r="10071" spans="3:3">
      <c r="C10071"/>
    </row>
    <row r="10072" spans="3:3">
      <c r="C10072"/>
    </row>
    <row r="10073" spans="3:3">
      <c r="C10073"/>
    </row>
    <row r="10074" spans="3:3">
      <c r="C10074"/>
    </row>
    <row r="10075" spans="3:3">
      <c r="C10075"/>
    </row>
    <row r="10076" spans="3:3">
      <c r="C10076"/>
    </row>
    <row r="10077" spans="3:3">
      <c r="C10077"/>
    </row>
    <row r="10078" spans="3:3">
      <c r="C10078"/>
    </row>
    <row r="10079" spans="3:3">
      <c r="C10079"/>
    </row>
    <row r="10080" spans="3:3">
      <c r="C10080"/>
    </row>
    <row r="10081" spans="3:3">
      <c r="C10081"/>
    </row>
    <row r="10082" spans="3:3">
      <c r="C10082"/>
    </row>
    <row r="10083" spans="3:3">
      <c r="C10083"/>
    </row>
    <row r="10084" spans="3:3">
      <c r="C10084"/>
    </row>
    <row r="10085" spans="3:3">
      <c r="C10085"/>
    </row>
    <row r="10086" spans="3:3">
      <c r="C10086"/>
    </row>
    <row r="10087" spans="3:3">
      <c r="C10087"/>
    </row>
    <row r="10088" spans="3:3">
      <c r="C10088"/>
    </row>
    <row r="10089" spans="3:3">
      <c r="C10089"/>
    </row>
    <row r="10090" spans="3:3">
      <c r="C10090"/>
    </row>
    <row r="10091" spans="3:3">
      <c r="C10091"/>
    </row>
    <row r="10092" spans="3:3">
      <c r="C10092"/>
    </row>
    <row r="10093" spans="3:3">
      <c r="C10093"/>
    </row>
    <row r="10094" spans="3:3">
      <c r="C10094"/>
    </row>
    <row r="10095" spans="3:3">
      <c r="C10095"/>
    </row>
    <row r="10096" spans="3:3">
      <c r="C10096"/>
    </row>
    <row r="10097" spans="3:3">
      <c r="C10097"/>
    </row>
    <row r="10098" spans="3:3">
      <c r="C10098"/>
    </row>
    <row r="10099" spans="3:3">
      <c r="C10099"/>
    </row>
    <row r="10100" spans="3:3">
      <c r="C10100"/>
    </row>
    <row r="10101" spans="3:3">
      <c r="C10101"/>
    </row>
    <row r="10102" spans="3:3">
      <c r="C10102"/>
    </row>
    <row r="10103" spans="3:3">
      <c r="C10103"/>
    </row>
    <row r="10104" spans="3:3">
      <c r="C10104"/>
    </row>
    <row r="10105" spans="3:3">
      <c r="C10105"/>
    </row>
    <row r="10106" spans="3:3">
      <c r="C10106"/>
    </row>
    <row r="10107" spans="3:3">
      <c r="C10107"/>
    </row>
    <row r="10108" spans="3:3">
      <c r="C10108"/>
    </row>
    <row r="10109" spans="3:3">
      <c r="C10109"/>
    </row>
    <row r="10110" spans="3:3">
      <c r="C10110"/>
    </row>
    <row r="10111" spans="3:3">
      <c r="C10111"/>
    </row>
    <row r="10112" spans="3:3">
      <c r="C10112"/>
    </row>
    <row r="10113" spans="3:3">
      <c r="C10113"/>
    </row>
    <row r="10114" spans="3:3">
      <c r="C10114"/>
    </row>
    <row r="10115" spans="3:3">
      <c r="C10115"/>
    </row>
    <row r="10116" spans="3:3">
      <c r="C10116"/>
    </row>
    <row r="10117" spans="3:3">
      <c r="C10117"/>
    </row>
    <row r="10118" spans="3:3">
      <c r="C10118"/>
    </row>
    <row r="10119" spans="3:3">
      <c r="C10119"/>
    </row>
    <row r="10120" spans="3:3">
      <c r="C10120"/>
    </row>
    <row r="10121" spans="3:3">
      <c r="C10121"/>
    </row>
    <row r="10122" spans="3:3">
      <c r="C10122"/>
    </row>
    <row r="10123" spans="3:3">
      <c r="C10123"/>
    </row>
    <row r="10124" spans="3:3">
      <c r="C10124"/>
    </row>
    <row r="10125" spans="3:3">
      <c r="C10125"/>
    </row>
    <row r="10126" spans="3:3">
      <c r="C10126"/>
    </row>
    <row r="10127" spans="3:3">
      <c r="C10127"/>
    </row>
    <row r="10128" spans="3:3">
      <c r="C10128"/>
    </row>
    <row r="10129" spans="3:3">
      <c r="C10129"/>
    </row>
    <row r="10130" spans="3:3">
      <c r="C10130"/>
    </row>
    <row r="10131" spans="3:3">
      <c r="C10131"/>
    </row>
    <row r="10132" spans="3:3">
      <c r="C10132"/>
    </row>
    <row r="10133" spans="3:3">
      <c r="C10133"/>
    </row>
    <row r="10134" spans="3:3">
      <c r="C10134"/>
    </row>
    <row r="10135" spans="3:3">
      <c r="C10135"/>
    </row>
    <row r="10136" spans="3:3">
      <c r="C10136"/>
    </row>
    <row r="10137" spans="3:3">
      <c r="C10137"/>
    </row>
    <row r="10138" spans="3:3">
      <c r="C10138"/>
    </row>
    <row r="10139" spans="3:3">
      <c r="C10139"/>
    </row>
    <row r="10140" spans="3:3">
      <c r="C10140"/>
    </row>
    <row r="10141" spans="3:3">
      <c r="C10141"/>
    </row>
    <row r="10142" spans="3:3">
      <c r="C10142"/>
    </row>
    <row r="10143" spans="3:3">
      <c r="C10143"/>
    </row>
    <row r="10144" spans="3:3">
      <c r="C10144"/>
    </row>
    <row r="10145" spans="3:3">
      <c r="C10145"/>
    </row>
    <row r="10146" spans="3:3">
      <c r="C10146"/>
    </row>
    <row r="10147" spans="3:3">
      <c r="C10147"/>
    </row>
    <row r="10148" spans="3:3">
      <c r="C10148"/>
    </row>
    <row r="10149" spans="3:3">
      <c r="C10149"/>
    </row>
    <row r="10150" spans="3:3">
      <c r="C10150"/>
    </row>
    <row r="10151" spans="3:3">
      <c r="C10151"/>
    </row>
    <row r="10152" spans="3:3">
      <c r="C10152"/>
    </row>
    <row r="10153" spans="3:3">
      <c r="C10153"/>
    </row>
    <row r="10154" spans="3:3">
      <c r="C10154"/>
    </row>
    <row r="10155" spans="3:3">
      <c r="C10155"/>
    </row>
    <row r="10156" spans="3:3">
      <c r="C10156"/>
    </row>
    <row r="10157" spans="3:3">
      <c r="C10157"/>
    </row>
    <row r="10158" spans="3:3">
      <c r="C10158"/>
    </row>
    <row r="10159" spans="3:3">
      <c r="C10159"/>
    </row>
    <row r="10160" spans="3:3">
      <c r="C10160"/>
    </row>
    <row r="10161" spans="3:3">
      <c r="C10161"/>
    </row>
    <row r="10162" spans="3:3">
      <c r="C10162"/>
    </row>
    <row r="10163" spans="3:3">
      <c r="C10163"/>
    </row>
    <row r="10164" spans="3:3">
      <c r="C10164"/>
    </row>
    <row r="10165" spans="3:3">
      <c r="C10165"/>
    </row>
    <row r="10166" spans="3:3">
      <c r="C10166"/>
    </row>
    <row r="10167" spans="3:3">
      <c r="C10167"/>
    </row>
    <row r="10168" spans="3:3">
      <c r="C10168"/>
    </row>
    <row r="10169" spans="3:3">
      <c r="C10169"/>
    </row>
    <row r="10170" spans="3:3">
      <c r="C10170"/>
    </row>
    <row r="10171" spans="3:3">
      <c r="C10171"/>
    </row>
    <row r="10172" spans="3:3">
      <c r="C10172"/>
    </row>
    <row r="10173" spans="3:3">
      <c r="C10173"/>
    </row>
    <row r="10174" spans="3:3">
      <c r="C10174"/>
    </row>
    <row r="10175" spans="3:3">
      <c r="C10175"/>
    </row>
    <row r="10176" spans="3:3">
      <c r="C10176"/>
    </row>
    <row r="10177" spans="3:3">
      <c r="C10177"/>
    </row>
    <row r="10178" spans="3:3">
      <c r="C10178"/>
    </row>
    <row r="10179" spans="3:3">
      <c r="C10179"/>
    </row>
    <row r="10180" spans="3:3">
      <c r="C10180"/>
    </row>
    <row r="10181" spans="3:3">
      <c r="C10181"/>
    </row>
    <row r="10182" spans="3:3">
      <c r="C10182"/>
    </row>
    <row r="10183" spans="3:3">
      <c r="C10183"/>
    </row>
    <row r="10184" spans="3:3">
      <c r="C10184"/>
    </row>
    <row r="10185" spans="3:3">
      <c r="C10185"/>
    </row>
    <row r="10186" spans="3:3">
      <c r="C10186"/>
    </row>
    <row r="10187" spans="3:3">
      <c r="C10187"/>
    </row>
    <row r="10188" spans="3:3">
      <c r="C10188"/>
    </row>
    <row r="10189" spans="3:3">
      <c r="C10189"/>
    </row>
    <row r="10190" spans="3:3">
      <c r="C10190"/>
    </row>
    <row r="10191" spans="3:3">
      <c r="C10191"/>
    </row>
    <row r="10192" spans="3:3">
      <c r="C10192"/>
    </row>
    <row r="10193" spans="3:3">
      <c r="C10193"/>
    </row>
    <row r="10194" spans="3:3">
      <c r="C10194"/>
    </row>
    <row r="10195" spans="3:3">
      <c r="C10195"/>
    </row>
    <row r="10196" spans="3:3">
      <c r="C10196"/>
    </row>
    <row r="10197" spans="3:3">
      <c r="C10197"/>
    </row>
    <row r="10198" spans="3:3">
      <c r="C10198"/>
    </row>
    <row r="10199" spans="3:3">
      <c r="C10199"/>
    </row>
    <row r="10200" spans="3:3">
      <c r="C10200"/>
    </row>
    <row r="10201" spans="3:3">
      <c r="C10201"/>
    </row>
    <row r="10202" spans="3:3">
      <c r="C10202"/>
    </row>
    <row r="10203" spans="3:3">
      <c r="C10203"/>
    </row>
    <row r="10204" spans="3:3">
      <c r="C10204"/>
    </row>
    <row r="10205" spans="3:3">
      <c r="C10205"/>
    </row>
    <row r="10206" spans="3:3">
      <c r="C10206"/>
    </row>
    <row r="10207" spans="3:3">
      <c r="C10207"/>
    </row>
    <row r="10208" spans="3:3">
      <c r="C10208"/>
    </row>
    <row r="10209" spans="3:3">
      <c r="C10209"/>
    </row>
    <row r="10210" spans="3:3">
      <c r="C10210"/>
    </row>
    <row r="10211" spans="3:3">
      <c r="C10211"/>
    </row>
    <row r="10212" spans="3:3">
      <c r="C10212"/>
    </row>
    <row r="10213" spans="3:3">
      <c r="C10213"/>
    </row>
    <row r="10214" spans="3:3">
      <c r="C10214"/>
    </row>
    <row r="10215" spans="3:3">
      <c r="C10215"/>
    </row>
    <row r="10216" spans="3:3">
      <c r="C10216"/>
    </row>
    <row r="10217" spans="3:3">
      <c r="C10217"/>
    </row>
    <row r="10218" spans="3:3">
      <c r="C10218"/>
    </row>
    <row r="10219" spans="3:3">
      <c r="C10219"/>
    </row>
    <row r="10220" spans="3:3">
      <c r="C10220"/>
    </row>
    <row r="10221" spans="3:3">
      <c r="C10221"/>
    </row>
    <row r="10222" spans="3:3">
      <c r="C10222"/>
    </row>
    <row r="10223" spans="3:3">
      <c r="C10223"/>
    </row>
    <row r="10224" spans="3:3">
      <c r="C10224"/>
    </row>
    <row r="10225" spans="3:3">
      <c r="C10225"/>
    </row>
    <row r="10226" spans="3:3">
      <c r="C10226"/>
    </row>
    <row r="10227" spans="3:3">
      <c r="C10227"/>
    </row>
    <row r="10228" spans="3:3">
      <c r="C10228"/>
    </row>
    <row r="10229" spans="3:3">
      <c r="C10229"/>
    </row>
    <row r="10230" spans="3:3">
      <c r="C10230"/>
    </row>
    <row r="10231" spans="3:3">
      <c r="C10231"/>
    </row>
    <row r="10232" spans="3:3">
      <c r="C10232"/>
    </row>
    <row r="10233" spans="3:3">
      <c r="C10233"/>
    </row>
    <row r="10234" spans="3:3">
      <c r="C10234"/>
    </row>
    <row r="10235" spans="3:3">
      <c r="C10235"/>
    </row>
    <row r="10236" spans="3:3">
      <c r="C10236"/>
    </row>
    <row r="10237" spans="3:3">
      <c r="C10237"/>
    </row>
    <row r="10238" spans="3:3">
      <c r="C10238"/>
    </row>
    <row r="10239" spans="3:3">
      <c r="C10239"/>
    </row>
    <row r="10240" spans="3:3">
      <c r="C10240"/>
    </row>
    <row r="10241" spans="3:3">
      <c r="C10241"/>
    </row>
    <row r="10242" spans="3:3">
      <c r="C10242"/>
    </row>
    <row r="10243" spans="3:3">
      <c r="C10243"/>
    </row>
    <row r="10244" spans="3:3">
      <c r="C10244"/>
    </row>
    <row r="10245" spans="3:3">
      <c r="C10245"/>
    </row>
    <row r="10246" spans="3:3">
      <c r="C10246"/>
    </row>
    <row r="10247" spans="3:3">
      <c r="C10247"/>
    </row>
    <row r="10248" spans="3:3">
      <c r="C10248"/>
    </row>
    <row r="10249" spans="3:3">
      <c r="C10249"/>
    </row>
    <row r="10250" spans="3:3">
      <c r="C10250"/>
    </row>
    <row r="10251" spans="3:3">
      <c r="C10251"/>
    </row>
    <row r="10252" spans="3:3">
      <c r="C10252"/>
    </row>
    <row r="10253" spans="3:3">
      <c r="C10253"/>
    </row>
    <row r="10254" spans="3:3">
      <c r="C10254"/>
    </row>
    <row r="10255" spans="3:3">
      <c r="C10255"/>
    </row>
    <row r="10256" spans="3:3">
      <c r="C10256"/>
    </row>
    <row r="10257" spans="3:3">
      <c r="C10257"/>
    </row>
    <row r="10258" spans="3:3">
      <c r="C10258"/>
    </row>
    <row r="10259" spans="3:3">
      <c r="C10259"/>
    </row>
    <row r="10260" spans="3:3">
      <c r="C10260"/>
    </row>
    <row r="10261" spans="3:3">
      <c r="C10261"/>
    </row>
    <row r="10262" spans="3:3">
      <c r="C10262"/>
    </row>
    <row r="10263" spans="3:3">
      <c r="C10263"/>
    </row>
    <row r="10264" spans="3:3">
      <c r="C10264"/>
    </row>
    <row r="10265" spans="3:3">
      <c r="C10265"/>
    </row>
    <row r="10266" spans="3:3">
      <c r="C10266"/>
    </row>
    <row r="10267" spans="3:3">
      <c r="C10267"/>
    </row>
    <row r="10268" spans="3:3">
      <c r="C10268"/>
    </row>
    <row r="10269" spans="3:3">
      <c r="C10269"/>
    </row>
    <row r="10270" spans="3:3">
      <c r="C10270"/>
    </row>
    <row r="10271" spans="3:3">
      <c r="C10271"/>
    </row>
    <row r="10272" spans="3:3">
      <c r="C10272"/>
    </row>
    <row r="10273" spans="3:3">
      <c r="C10273"/>
    </row>
    <row r="10274" spans="3:3">
      <c r="C10274"/>
    </row>
    <row r="10275" spans="3:3">
      <c r="C10275"/>
    </row>
    <row r="10276" spans="3:3">
      <c r="C10276"/>
    </row>
    <row r="10277" spans="3:3">
      <c r="C10277"/>
    </row>
    <row r="10278" spans="3:3">
      <c r="C10278"/>
    </row>
    <row r="10279" spans="3:3">
      <c r="C10279"/>
    </row>
    <row r="10280" spans="3:3">
      <c r="C10280"/>
    </row>
    <row r="10281" spans="3:3">
      <c r="C10281"/>
    </row>
    <row r="10282" spans="3:3">
      <c r="C10282"/>
    </row>
    <row r="10283" spans="3:3">
      <c r="C10283"/>
    </row>
    <row r="10284" spans="3:3">
      <c r="C10284"/>
    </row>
    <row r="10285" spans="3:3">
      <c r="C10285"/>
    </row>
    <row r="10286" spans="3:3">
      <c r="C10286"/>
    </row>
    <row r="10287" spans="3:3">
      <c r="C10287"/>
    </row>
    <row r="10288" spans="3:3">
      <c r="C10288"/>
    </row>
    <row r="10289" spans="3:3">
      <c r="C10289"/>
    </row>
    <row r="10290" spans="3:3">
      <c r="C10290"/>
    </row>
    <row r="10291" spans="3:3">
      <c r="C10291"/>
    </row>
    <row r="10292" spans="3:3">
      <c r="C10292"/>
    </row>
    <row r="10293" spans="3:3">
      <c r="C10293"/>
    </row>
    <row r="10294" spans="3:3">
      <c r="C10294"/>
    </row>
    <row r="10295" spans="3:3">
      <c r="C10295"/>
    </row>
    <row r="10296" spans="3:3">
      <c r="C10296"/>
    </row>
    <row r="10297" spans="3:3">
      <c r="C10297"/>
    </row>
    <row r="10298" spans="3:3">
      <c r="C10298"/>
    </row>
    <row r="10299" spans="3:3">
      <c r="C10299"/>
    </row>
    <row r="10300" spans="3:3">
      <c r="C10300"/>
    </row>
    <row r="10301" spans="3:3">
      <c r="C10301"/>
    </row>
    <row r="10302" spans="3:3">
      <c r="C10302"/>
    </row>
    <row r="10303" spans="3:3">
      <c r="C10303"/>
    </row>
    <row r="10304" spans="3:3">
      <c r="C10304"/>
    </row>
    <row r="10305" spans="3:3">
      <c r="C10305"/>
    </row>
    <row r="10306" spans="3:3">
      <c r="C10306"/>
    </row>
    <row r="10307" spans="3:3">
      <c r="C10307"/>
    </row>
    <row r="10308" spans="3:3">
      <c r="C10308"/>
    </row>
    <row r="10309" spans="3:3">
      <c r="C10309"/>
    </row>
    <row r="10310" spans="3:3">
      <c r="C10310"/>
    </row>
    <row r="10311" spans="3:3">
      <c r="C10311"/>
    </row>
    <row r="10312" spans="3:3">
      <c r="C10312"/>
    </row>
    <row r="10313" spans="3:3">
      <c r="C10313"/>
    </row>
    <row r="10314" spans="3:3">
      <c r="C10314"/>
    </row>
    <row r="10315" spans="3:3">
      <c r="C10315"/>
    </row>
    <row r="10316" spans="3:3">
      <c r="C10316"/>
    </row>
    <row r="10317" spans="3:3">
      <c r="C10317"/>
    </row>
    <row r="10318" spans="3:3">
      <c r="C10318"/>
    </row>
    <row r="10319" spans="3:3">
      <c r="C10319"/>
    </row>
    <row r="10320" spans="3:3">
      <c r="C10320"/>
    </row>
    <row r="10321" spans="3:3">
      <c r="C10321"/>
    </row>
    <row r="10322" spans="3:3">
      <c r="C10322"/>
    </row>
    <row r="10323" spans="3:3">
      <c r="C10323"/>
    </row>
    <row r="10324" spans="3:3">
      <c r="C10324"/>
    </row>
    <row r="10325" spans="3:3">
      <c r="C10325"/>
    </row>
    <row r="10326" spans="3:3">
      <c r="C10326"/>
    </row>
    <row r="10327" spans="3:3">
      <c r="C10327"/>
    </row>
    <row r="10328" spans="3:3">
      <c r="C10328"/>
    </row>
    <row r="10329" spans="3:3">
      <c r="C10329"/>
    </row>
    <row r="10330" spans="3:3">
      <c r="C10330"/>
    </row>
    <row r="10331" spans="3:3">
      <c r="C10331"/>
    </row>
    <row r="10332" spans="3:3">
      <c r="C10332"/>
    </row>
    <row r="10333" spans="3:3">
      <c r="C10333"/>
    </row>
    <row r="10334" spans="3:3">
      <c r="C10334"/>
    </row>
    <row r="10335" spans="3:3">
      <c r="C10335"/>
    </row>
    <row r="10336" spans="3:3">
      <c r="C10336"/>
    </row>
    <row r="10337" spans="3:3">
      <c r="C10337"/>
    </row>
    <row r="10338" spans="3:3">
      <c r="C10338"/>
    </row>
    <row r="10339" spans="3:3">
      <c r="C10339"/>
    </row>
    <row r="10340" spans="3:3">
      <c r="C10340"/>
    </row>
    <row r="10341" spans="3:3">
      <c r="C10341"/>
    </row>
    <row r="10342" spans="3:3">
      <c r="C10342"/>
    </row>
    <row r="10343" spans="3:3">
      <c r="C10343"/>
    </row>
    <row r="10344" spans="3:3">
      <c r="C10344"/>
    </row>
    <row r="10345" spans="3:3">
      <c r="C10345"/>
    </row>
    <row r="10346" spans="3:3">
      <c r="C10346"/>
    </row>
    <row r="10347" spans="3:3">
      <c r="C10347"/>
    </row>
    <row r="10348" spans="3:3">
      <c r="C10348"/>
    </row>
    <row r="10349" spans="3:3">
      <c r="C10349"/>
    </row>
    <row r="10350" spans="3:3">
      <c r="C10350"/>
    </row>
    <row r="10351" spans="3:3">
      <c r="C10351"/>
    </row>
    <row r="10352" spans="3:3">
      <c r="C10352"/>
    </row>
    <row r="10353" spans="3:3">
      <c r="C10353"/>
    </row>
    <row r="10354" spans="3:3">
      <c r="C10354"/>
    </row>
    <row r="10355" spans="3:3">
      <c r="C10355"/>
    </row>
    <row r="10356" spans="3:3">
      <c r="C10356"/>
    </row>
    <row r="10357" spans="3:3">
      <c r="C10357"/>
    </row>
    <row r="10358" spans="3:3">
      <c r="C10358"/>
    </row>
    <row r="10359" spans="3:3">
      <c r="C10359"/>
    </row>
    <row r="10360" spans="3:3">
      <c r="C10360"/>
    </row>
    <row r="10361" spans="3:3">
      <c r="C10361"/>
    </row>
    <row r="10362" spans="3:3">
      <c r="C10362"/>
    </row>
    <row r="10363" spans="3:3">
      <c r="C10363"/>
    </row>
    <row r="10364" spans="3:3">
      <c r="C10364"/>
    </row>
    <row r="10365" spans="3:3">
      <c r="C10365"/>
    </row>
    <row r="10366" spans="3:3">
      <c r="C10366"/>
    </row>
    <row r="10367" spans="3:3">
      <c r="C10367"/>
    </row>
    <row r="10368" spans="3:3">
      <c r="C10368"/>
    </row>
    <row r="10369" spans="3:3">
      <c r="C10369"/>
    </row>
    <row r="10370" spans="3:3">
      <c r="C10370"/>
    </row>
    <row r="10371" spans="3:3">
      <c r="C10371"/>
    </row>
    <row r="10372" spans="3:3">
      <c r="C10372"/>
    </row>
    <row r="10373" spans="3:3">
      <c r="C10373"/>
    </row>
    <row r="10374" spans="3:3">
      <c r="C10374"/>
    </row>
    <row r="10375" spans="3:3">
      <c r="C10375"/>
    </row>
    <row r="10376" spans="3:3">
      <c r="C10376"/>
    </row>
    <row r="10377" spans="3:3">
      <c r="C10377"/>
    </row>
    <row r="10378" spans="3:3">
      <c r="C10378"/>
    </row>
    <row r="10379" spans="3:3">
      <c r="C10379"/>
    </row>
    <row r="10380" spans="3:3">
      <c r="C10380"/>
    </row>
    <row r="10381" spans="3:3">
      <c r="C10381"/>
    </row>
    <row r="10382" spans="3:3">
      <c r="C10382"/>
    </row>
    <row r="10383" spans="3:3">
      <c r="C10383"/>
    </row>
    <row r="10384" spans="3:3">
      <c r="C10384"/>
    </row>
    <row r="10385" spans="3:3">
      <c r="C10385"/>
    </row>
    <row r="10386" spans="3:3">
      <c r="C10386"/>
    </row>
    <row r="10387" spans="3:3">
      <c r="C10387"/>
    </row>
    <row r="10388" spans="3:3">
      <c r="C10388"/>
    </row>
    <row r="10389" spans="3:3">
      <c r="C10389"/>
    </row>
    <row r="10390" spans="3:3">
      <c r="C10390"/>
    </row>
    <row r="10391" spans="3:3">
      <c r="C10391"/>
    </row>
    <row r="10392" spans="3:3">
      <c r="C10392"/>
    </row>
    <row r="10393" spans="3:3">
      <c r="C10393"/>
    </row>
    <row r="10394" spans="3:3">
      <c r="C10394"/>
    </row>
    <row r="10395" spans="3:3">
      <c r="C10395"/>
    </row>
    <row r="10396" spans="3:3">
      <c r="C10396"/>
    </row>
    <row r="10397" spans="3:3">
      <c r="C10397"/>
    </row>
    <row r="10398" spans="3:3">
      <c r="C10398"/>
    </row>
    <row r="10399" spans="3:3">
      <c r="C10399"/>
    </row>
    <row r="10400" spans="3:3">
      <c r="C10400"/>
    </row>
    <row r="10401" spans="3:3">
      <c r="C10401"/>
    </row>
    <row r="10402" spans="3:3">
      <c r="C10402"/>
    </row>
    <row r="10403" spans="3:3">
      <c r="C10403"/>
    </row>
    <row r="10404" spans="3:3">
      <c r="C10404"/>
    </row>
    <row r="10405" spans="3:3">
      <c r="C10405"/>
    </row>
    <row r="10406" spans="3:3">
      <c r="C10406"/>
    </row>
    <row r="10407" spans="3:3">
      <c r="C10407"/>
    </row>
    <row r="10408" spans="3:3">
      <c r="C10408"/>
    </row>
    <row r="10409" spans="3:3">
      <c r="C10409"/>
    </row>
    <row r="10410" spans="3:3">
      <c r="C10410"/>
    </row>
    <row r="10411" spans="3:3">
      <c r="C10411"/>
    </row>
    <row r="10412" spans="3:3">
      <c r="C10412"/>
    </row>
    <row r="10413" spans="3:3">
      <c r="C10413"/>
    </row>
    <row r="10414" spans="3:3">
      <c r="C10414"/>
    </row>
    <row r="10415" spans="3:3">
      <c r="C10415"/>
    </row>
    <row r="10416" spans="3:3">
      <c r="C10416"/>
    </row>
    <row r="10417" spans="3:3">
      <c r="C10417"/>
    </row>
    <row r="10418" spans="3:3">
      <c r="C10418"/>
    </row>
    <row r="10419" spans="3:3">
      <c r="C10419"/>
    </row>
    <row r="10420" spans="3:3">
      <c r="C10420"/>
    </row>
    <row r="10421" spans="3:3">
      <c r="C10421"/>
    </row>
    <row r="10422" spans="3:3">
      <c r="C10422"/>
    </row>
    <row r="10423" spans="3:3">
      <c r="C10423"/>
    </row>
    <row r="10424" spans="3:3">
      <c r="C10424"/>
    </row>
    <row r="10425" spans="3:3">
      <c r="C10425"/>
    </row>
    <row r="10426" spans="3:3">
      <c r="C10426"/>
    </row>
    <row r="10427" spans="3:3">
      <c r="C10427"/>
    </row>
    <row r="10428" spans="3:3">
      <c r="C10428"/>
    </row>
    <row r="10429" spans="3:3">
      <c r="C10429"/>
    </row>
    <row r="10430" spans="3:3">
      <c r="C10430"/>
    </row>
    <row r="10431" spans="3:3">
      <c r="C10431"/>
    </row>
    <row r="10432" spans="3:3">
      <c r="C10432"/>
    </row>
    <row r="10433" spans="3:3">
      <c r="C10433"/>
    </row>
    <row r="10434" spans="3:3">
      <c r="C10434"/>
    </row>
    <row r="10435" spans="3:3">
      <c r="C10435"/>
    </row>
    <row r="10436" spans="3:3">
      <c r="C10436"/>
    </row>
    <row r="10437" spans="3:3">
      <c r="C10437"/>
    </row>
    <row r="10438" spans="3:3">
      <c r="C10438"/>
    </row>
    <row r="10439" spans="3:3">
      <c r="C10439"/>
    </row>
    <row r="10440" spans="3:3">
      <c r="C10440"/>
    </row>
    <row r="10441" spans="3:3">
      <c r="C10441"/>
    </row>
    <row r="10442" spans="3:3">
      <c r="C10442"/>
    </row>
    <row r="10443" spans="3:3">
      <c r="C10443"/>
    </row>
    <row r="10444" spans="3:3">
      <c r="C10444"/>
    </row>
    <row r="10445" spans="3:3">
      <c r="C10445"/>
    </row>
    <row r="10446" spans="3:3">
      <c r="C10446"/>
    </row>
    <row r="10447" spans="3:3">
      <c r="C10447"/>
    </row>
    <row r="10448" spans="3:3">
      <c r="C10448"/>
    </row>
    <row r="10449" spans="3:3">
      <c r="C10449"/>
    </row>
    <row r="10450" spans="3:3">
      <c r="C10450"/>
    </row>
    <row r="10451" spans="3:3">
      <c r="C10451"/>
    </row>
    <row r="10452" spans="3:3">
      <c r="C10452"/>
    </row>
    <row r="10453" spans="3:3">
      <c r="C10453"/>
    </row>
    <row r="10454" spans="3:3">
      <c r="C10454"/>
    </row>
    <row r="10455" spans="3:3">
      <c r="C10455"/>
    </row>
    <row r="10456" spans="3:3">
      <c r="C10456"/>
    </row>
    <row r="10457" spans="3:3">
      <c r="C10457"/>
    </row>
    <row r="10458" spans="3:3">
      <c r="C10458"/>
    </row>
    <row r="10459" spans="3:3">
      <c r="C10459"/>
    </row>
    <row r="10460" spans="3:3">
      <c r="C10460"/>
    </row>
    <row r="10461" spans="3:3">
      <c r="C10461"/>
    </row>
    <row r="10462" spans="3:3">
      <c r="C10462"/>
    </row>
    <row r="10463" spans="3:3">
      <c r="C10463"/>
    </row>
    <row r="10464" spans="3:3">
      <c r="C10464"/>
    </row>
    <row r="10465" spans="3:3">
      <c r="C10465"/>
    </row>
    <row r="10466" spans="3:3">
      <c r="C10466"/>
    </row>
    <row r="10467" spans="3:3">
      <c r="C10467"/>
    </row>
    <row r="10468" spans="3:3">
      <c r="C10468"/>
    </row>
    <row r="10469" spans="3:3">
      <c r="C10469"/>
    </row>
    <row r="10470" spans="3:3">
      <c r="C10470"/>
    </row>
    <row r="10471" spans="3:3">
      <c r="C10471"/>
    </row>
    <row r="10472" spans="3:3">
      <c r="C10472"/>
    </row>
    <row r="10473" spans="3:3">
      <c r="C10473"/>
    </row>
    <row r="10474" spans="3:3">
      <c r="C10474"/>
    </row>
    <row r="10475" spans="3:3">
      <c r="C10475"/>
    </row>
    <row r="10476" spans="3:3">
      <c r="C10476"/>
    </row>
    <row r="10477" spans="3:3">
      <c r="C10477"/>
    </row>
    <row r="10478" spans="3:3">
      <c r="C10478"/>
    </row>
    <row r="10479" spans="3:3">
      <c r="C10479"/>
    </row>
    <row r="10480" spans="3:3">
      <c r="C10480"/>
    </row>
    <row r="10481" spans="3:3">
      <c r="C10481"/>
    </row>
    <row r="10482" spans="3:3">
      <c r="C10482"/>
    </row>
    <row r="10483" spans="3:3">
      <c r="C10483"/>
    </row>
    <row r="10484" spans="3:3">
      <c r="C10484"/>
    </row>
    <row r="10485" spans="3:3">
      <c r="C10485"/>
    </row>
    <row r="10486" spans="3:3">
      <c r="C10486"/>
    </row>
    <row r="10487" spans="3:3">
      <c r="C10487"/>
    </row>
    <row r="10488" spans="3:3">
      <c r="C10488"/>
    </row>
    <row r="10489" spans="3:3">
      <c r="C10489"/>
    </row>
    <row r="10490" spans="3:3">
      <c r="C10490"/>
    </row>
    <row r="10491" spans="3:3">
      <c r="C10491"/>
    </row>
    <row r="10492" spans="3:3">
      <c r="C10492"/>
    </row>
    <row r="10493" spans="3:3">
      <c r="C10493"/>
    </row>
    <row r="10494" spans="3:3">
      <c r="C10494"/>
    </row>
    <row r="10495" spans="3:3">
      <c r="C10495"/>
    </row>
    <row r="10496" spans="3:3">
      <c r="C10496"/>
    </row>
    <row r="10497" spans="3:3">
      <c r="C10497"/>
    </row>
    <row r="10498" spans="3:3">
      <c r="C10498"/>
    </row>
    <row r="10499" spans="3:3">
      <c r="C10499"/>
    </row>
    <row r="10500" spans="3:3">
      <c r="C10500"/>
    </row>
    <row r="10501" spans="3:3">
      <c r="C10501"/>
    </row>
    <row r="10502" spans="3:3">
      <c r="C10502"/>
    </row>
    <row r="10503" spans="3:3">
      <c r="C10503"/>
    </row>
    <row r="10504" spans="3:3">
      <c r="C10504"/>
    </row>
    <row r="10505" spans="3:3">
      <c r="C10505"/>
    </row>
    <row r="10506" spans="3:3">
      <c r="C10506"/>
    </row>
    <row r="10507" spans="3:3">
      <c r="C10507"/>
    </row>
    <row r="10508" spans="3:3">
      <c r="C10508"/>
    </row>
    <row r="10509" spans="3:3">
      <c r="C10509"/>
    </row>
    <row r="10510" spans="3:3">
      <c r="C10510"/>
    </row>
    <row r="10511" spans="3:3">
      <c r="C10511"/>
    </row>
    <row r="10512" spans="3:3">
      <c r="C10512"/>
    </row>
    <row r="10513" spans="3:3">
      <c r="C10513"/>
    </row>
    <row r="10514" spans="3:3">
      <c r="C10514"/>
    </row>
    <row r="10515" spans="3:3">
      <c r="C10515"/>
    </row>
    <row r="10516" spans="3:3">
      <c r="C10516"/>
    </row>
    <row r="10517" spans="3:3">
      <c r="C10517"/>
    </row>
    <row r="10518" spans="3:3">
      <c r="C10518"/>
    </row>
    <row r="10519" spans="3:3">
      <c r="C10519"/>
    </row>
    <row r="10520" spans="3:3">
      <c r="C10520"/>
    </row>
    <row r="10521" spans="3:3">
      <c r="C10521"/>
    </row>
    <row r="10522" spans="3:3">
      <c r="C10522"/>
    </row>
    <row r="10523" spans="3:3">
      <c r="C10523"/>
    </row>
    <row r="10524" spans="3:3">
      <c r="C10524"/>
    </row>
    <row r="10525" spans="3:3">
      <c r="C10525"/>
    </row>
    <row r="10526" spans="3:3">
      <c r="C10526"/>
    </row>
    <row r="10527" spans="3:3">
      <c r="C10527"/>
    </row>
    <row r="10528" spans="3:3">
      <c r="C10528"/>
    </row>
    <row r="10529" spans="3:3">
      <c r="C10529"/>
    </row>
    <row r="10530" spans="3:3">
      <c r="C10530"/>
    </row>
    <row r="10531" spans="3:3">
      <c r="C10531"/>
    </row>
    <row r="10532" spans="3:3">
      <c r="C10532"/>
    </row>
    <row r="10533" spans="3:3">
      <c r="C10533"/>
    </row>
    <row r="10534" spans="3:3">
      <c r="C10534"/>
    </row>
    <row r="10535" spans="3:3">
      <c r="C10535"/>
    </row>
    <row r="10536" spans="3:3">
      <c r="C10536"/>
    </row>
    <row r="10537" spans="3:3">
      <c r="C10537"/>
    </row>
    <row r="10538" spans="3:3">
      <c r="C10538"/>
    </row>
    <row r="10539" spans="3:3">
      <c r="C10539"/>
    </row>
    <row r="10540" spans="3:3">
      <c r="C10540"/>
    </row>
    <row r="10541" spans="3:3">
      <c r="C10541"/>
    </row>
    <row r="10542" spans="3:3">
      <c r="C10542"/>
    </row>
    <row r="10543" spans="3:3">
      <c r="C10543"/>
    </row>
    <row r="10544" spans="3:3">
      <c r="C10544"/>
    </row>
    <row r="10545" spans="3:3">
      <c r="C10545"/>
    </row>
    <row r="10546" spans="3:3">
      <c r="C10546"/>
    </row>
    <row r="10547" spans="3:3">
      <c r="C10547"/>
    </row>
    <row r="10548" spans="3:3">
      <c r="C10548"/>
    </row>
    <row r="10549" spans="3:3">
      <c r="C10549"/>
    </row>
    <row r="10550" spans="3:3">
      <c r="C10550"/>
    </row>
    <row r="10551" spans="3:3">
      <c r="C10551"/>
    </row>
    <row r="10552" spans="3:3">
      <c r="C10552"/>
    </row>
    <row r="10553" spans="3:3">
      <c r="C10553"/>
    </row>
    <row r="10554" spans="3:3">
      <c r="C10554"/>
    </row>
    <row r="10555" spans="3:3">
      <c r="C10555"/>
    </row>
    <row r="10556" spans="3:3">
      <c r="C10556"/>
    </row>
    <row r="10557" spans="3:3">
      <c r="C10557"/>
    </row>
    <row r="10558" spans="3:3">
      <c r="C10558"/>
    </row>
    <row r="10559" spans="3:3">
      <c r="C10559"/>
    </row>
    <row r="10560" spans="3:3">
      <c r="C10560"/>
    </row>
    <row r="10561" spans="3:3">
      <c r="C10561"/>
    </row>
    <row r="10562" spans="3:3">
      <c r="C10562"/>
    </row>
    <row r="10563" spans="3:3">
      <c r="C10563"/>
    </row>
    <row r="10564" spans="3:3">
      <c r="C10564"/>
    </row>
    <row r="10565" spans="3:3">
      <c r="C10565"/>
    </row>
    <row r="10566" spans="3:3">
      <c r="C10566"/>
    </row>
    <row r="10567" spans="3:3">
      <c r="C10567"/>
    </row>
    <row r="10568" spans="3:3">
      <c r="C10568"/>
    </row>
    <row r="10569" spans="3:3">
      <c r="C10569"/>
    </row>
    <row r="10570" spans="3:3">
      <c r="C10570"/>
    </row>
    <row r="10571" spans="3:3">
      <c r="C10571"/>
    </row>
    <row r="10572" spans="3:3">
      <c r="C10572"/>
    </row>
    <row r="10573" spans="3:3">
      <c r="C10573"/>
    </row>
    <row r="10574" spans="3:3">
      <c r="C10574"/>
    </row>
    <row r="10575" spans="3:3">
      <c r="C10575"/>
    </row>
    <row r="10576" spans="3:3">
      <c r="C10576"/>
    </row>
    <row r="10577" spans="3:3">
      <c r="C10577"/>
    </row>
    <row r="10578" spans="3:3">
      <c r="C10578"/>
    </row>
    <row r="10579" spans="3:3">
      <c r="C10579"/>
    </row>
    <row r="10580" spans="3:3">
      <c r="C10580"/>
    </row>
    <row r="10581" spans="3:3">
      <c r="C10581"/>
    </row>
    <row r="10582" spans="3:3">
      <c r="C10582"/>
    </row>
    <row r="10583" spans="3:3">
      <c r="C10583"/>
    </row>
    <row r="10584" spans="3:3">
      <c r="C10584"/>
    </row>
    <row r="10585" spans="3:3">
      <c r="C10585"/>
    </row>
    <row r="10586" spans="3:3">
      <c r="C10586"/>
    </row>
    <row r="10587" spans="3:3">
      <c r="C10587"/>
    </row>
    <row r="10588" spans="3:3">
      <c r="C10588"/>
    </row>
    <row r="10589" spans="3:3">
      <c r="C10589"/>
    </row>
    <row r="10590" spans="3:3">
      <c r="C10590"/>
    </row>
    <row r="10591" spans="3:3">
      <c r="C10591"/>
    </row>
    <row r="10592" spans="3:3">
      <c r="C10592"/>
    </row>
    <row r="10593" spans="3:3">
      <c r="C10593"/>
    </row>
    <row r="10594" spans="3:3">
      <c r="C10594"/>
    </row>
    <row r="10595" spans="3:3">
      <c r="C10595"/>
    </row>
    <row r="10596" spans="3:3">
      <c r="C10596"/>
    </row>
    <row r="10597" spans="3:3">
      <c r="C10597"/>
    </row>
    <row r="10598" spans="3:3">
      <c r="C10598"/>
    </row>
    <row r="10599" spans="3:3">
      <c r="C10599"/>
    </row>
    <row r="10600" spans="3:3">
      <c r="C10600"/>
    </row>
    <row r="10601" spans="3:3">
      <c r="C10601"/>
    </row>
    <row r="10602" spans="3:3">
      <c r="C10602"/>
    </row>
    <row r="10603" spans="3:3">
      <c r="C10603"/>
    </row>
    <row r="10604" spans="3:3">
      <c r="C10604"/>
    </row>
    <row r="10605" spans="3:3">
      <c r="C10605"/>
    </row>
    <row r="10606" spans="3:3">
      <c r="C10606"/>
    </row>
    <row r="10607" spans="3:3">
      <c r="C10607"/>
    </row>
    <row r="10608" spans="3:3">
      <c r="C10608"/>
    </row>
    <row r="10609" spans="3:3">
      <c r="C10609"/>
    </row>
    <row r="10610" spans="3:3">
      <c r="C10610"/>
    </row>
    <row r="10611" spans="3:3">
      <c r="C10611"/>
    </row>
    <row r="10612" spans="3:3">
      <c r="C10612"/>
    </row>
    <row r="10613" spans="3:3">
      <c r="C10613"/>
    </row>
    <row r="10614" spans="3:3">
      <c r="C10614"/>
    </row>
    <row r="10615" spans="3:3">
      <c r="C10615"/>
    </row>
    <row r="10616" spans="3:3">
      <c r="C10616"/>
    </row>
    <row r="10617" spans="3:3">
      <c r="C10617"/>
    </row>
    <row r="10618" spans="3:3">
      <c r="C10618"/>
    </row>
    <row r="10619" spans="3:3">
      <c r="C10619"/>
    </row>
    <row r="10620" spans="3:3">
      <c r="C10620"/>
    </row>
    <row r="10621" spans="3:3">
      <c r="C10621"/>
    </row>
    <row r="10622" spans="3:3">
      <c r="C10622"/>
    </row>
    <row r="10623" spans="3:3">
      <c r="C10623"/>
    </row>
    <row r="10624" spans="3:3">
      <c r="C10624"/>
    </row>
    <row r="10625" spans="3:3">
      <c r="C10625"/>
    </row>
    <row r="10626" spans="3:3">
      <c r="C10626"/>
    </row>
    <row r="10627" spans="3:3">
      <c r="C10627"/>
    </row>
    <row r="10628" spans="3:3">
      <c r="C10628"/>
    </row>
    <row r="10629" spans="3:3">
      <c r="C10629"/>
    </row>
    <row r="10630" spans="3:3">
      <c r="C10630"/>
    </row>
    <row r="10631" spans="3:3">
      <c r="C10631"/>
    </row>
    <row r="10632" spans="3:3">
      <c r="C10632"/>
    </row>
    <row r="10633" spans="3:3">
      <c r="C10633"/>
    </row>
    <row r="10634" spans="3:3">
      <c r="C10634"/>
    </row>
    <row r="10635" spans="3:3">
      <c r="C10635"/>
    </row>
    <row r="10636" spans="3:3">
      <c r="C10636"/>
    </row>
    <row r="10637" spans="3:3">
      <c r="C10637"/>
    </row>
    <row r="10638" spans="3:3">
      <c r="C10638"/>
    </row>
    <row r="10639" spans="3:3">
      <c r="C10639"/>
    </row>
    <row r="10640" spans="3:3">
      <c r="C10640"/>
    </row>
    <row r="10641" spans="3:3">
      <c r="C10641"/>
    </row>
    <row r="10642" spans="3:3">
      <c r="C10642"/>
    </row>
    <row r="10643" spans="3:3">
      <c r="C10643"/>
    </row>
    <row r="10644" spans="3:3">
      <c r="C10644"/>
    </row>
    <row r="10645" spans="3:3">
      <c r="C10645"/>
    </row>
    <row r="10646" spans="3:3">
      <c r="C10646"/>
    </row>
    <row r="10647" spans="3:3">
      <c r="C10647"/>
    </row>
    <row r="10648" spans="3:3">
      <c r="C10648"/>
    </row>
    <row r="10649" spans="3:3">
      <c r="C10649"/>
    </row>
    <row r="10650" spans="3:3">
      <c r="C10650"/>
    </row>
    <row r="10651" spans="3:3">
      <c r="C10651"/>
    </row>
    <row r="10652" spans="3:3">
      <c r="C10652"/>
    </row>
    <row r="10653" spans="3:3">
      <c r="C10653"/>
    </row>
    <row r="10654" spans="3:3">
      <c r="C10654"/>
    </row>
    <row r="10655" spans="3:3">
      <c r="C10655"/>
    </row>
    <row r="10656" spans="3:3">
      <c r="C10656"/>
    </row>
    <row r="10657" spans="3:3">
      <c r="C10657"/>
    </row>
    <row r="10658" spans="3:3">
      <c r="C10658"/>
    </row>
    <row r="10659" spans="3:3">
      <c r="C10659"/>
    </row>
    <row r="10660" spans="3:3">
      <c r="C10660"/>
    </row>
    <row r="10661" spans="3:3">
      <c r="C10661"/>
    </row>
    <row r="10662" spans="3:3">
      <c r="C10662"/>
    </row>
    <row r="10663" spans="3:3">
      <c r="C10663"/>
    </row>
    <row r="10664" spans="3:3">
      <c r="C10664"/>
    </row>
    <row r="10665" spans="3:3">
      <c r="C10665"/>
    </row>
    <row r="10666" spans="3:3">
      <c r="C10666"/>
    </row>
    <row r="10667" spans="3:3">
      <c r="C10667"/>
    </row>
    <row r="10668" spans="3:3">
      <c r="C10668"/>
    </row>
    <row r="10669" spans="3:3">
      <c r="C10669"/>
    </row>
    <row r="10670" spans="3:3">
      <c r="C10670"/>
    </row>
    <row r="10671" spans="3:3">
      <c r="C10671"/>
    </row>
    <row r="10672" spans="3:3">
      <c r="C10672"/>
    </row>
    <row r="10673" spans="3:3">
      <c r="C10673"/>
    </row>
    <row r="10674" spans="3:3">
      <c r="C10674"/>
    </row>
    <row r="10675" spans="3:3">
      <c r="C10675"/>
    </row>
    <row r="10676" spans="3:3">
      <c r="C10676"/>
    </row>
    <row r="10677" spans="3:3">
      <c r="C10677"/>
    </row>
    <row r="10678" spans="3:3">
      <c r="C10678"/>
    </row>
    <row r="10679" spans="3:3">
      <c r="C10679"/>
    </row>
    <row r="10680" spans="3:3">
      <c r="C10680"/>
    </row>
    <row r="10681" spans="3:3">
      <c r="C10681"/>
    </row>
    <row r="10682" spans="3:3">
      <c r="C10682"/>
    </row>
    <row r="10683" spans="3:3">
      <c r="C10683"/>
    </row>
    <row r="10684" spans="3:3">
      <c r="C10684"/>
    </row>
    <row r="10685" spans="3:3">
      <c r="C10685"/>
    </row>
    <row r="10686" spans="3:3">
      <c r="C10686"/>
    </row>
    <row r="10687" spans="3:3">
      <c r="C10687"/>
    </row>
    <row r="10688" spans="3:3">
      <c r="C10688"/>
    </row>
    <row r="10689" spans="3:3">
      <c r="C10689"/>
    </row>
    <row r="10690" spans="3:3">
      <c r="C10690"/>
    </row>
    <row r="10691" spans="3:3">
      <c r="C10691"/>
    </row>
    <row r="10692" spans="3:3">
      <c r="C10692"/>
    </row>
    <row r="10693" spans="3:3">
      <c r="C10693"/>
    </row>
    <row r="10694" spans="3:3">
      <c r="C10694"/>
    </row>
    <row r="10695" spans="3:3">
      <c r="C10695"/>
    </row>
    <row r="10696" spans="3:3">
      <c r="C10696"/>
    </row>
    <row r="10697" spans="3:3">
      <c r="C10697"/>
    </row>
    <row r="10698" spans="3:3">
      <c r="C10698"/>
    </row>
    <row r="10699" spans="3:3">
      <c r="C10699"/>
    </row>
    <row r="10700" spans="3:3">
      <c r="C10700"/>
    </row>
    <row r="10701" spans="3:3">
      <c r="C10701"/>
    </row>
    <row r="10702" spans="3:3">
      <c r="C10702"/>
    </row>
    <row r="10703" spans="3:3">
      <c r="C10703"/>
    </row>
    <row r="10704" spans="3:3">
      <c r="C10704"/>
    </row>
    <row r="10705" spans="3:3">
      <c r="C10705"/>
    </row>
    <row r="10706" spans="3:3">
      <c r="C10706"/>
    </row>
    <row r="10707" spans="3:3">
      <c r="C10707"/>
    </row>
    <row r="10708" spans="3:3">
      <c r="C10708"/>
    </row>
    <row r="10709" spans="3:3">
      <c r="C10709"/>
    </row>
    <row r="10710" spans="3:3">
      <c r="C10710"/>
    </row>
    <row r="10711" spans="3:3">
      <c r="C10711"/>
    </row>
    <row r="10712" spans="3:3">
      <c r="C10712"/>
    </row>
    <row r="10713" spans="3:3">
      <c r="C10713"/>
    </row>
    <row r="10714" spans="3:3">
      <c r="C10714"/>
    </row>
    <row r="10715" spans="3:3">
      <c r="C10715"/>
    </row>
    <row r="10716" spans="3:3">
      <c r="C10716"/>
    </row>
    <row r="10717" spans="3:3">
      <c r="C10717"/>
    </row>
    <row r="10718" spans="3:3">
      <c r="C10718"/>
    </row>
    <row r="10719" spans="3:3">
      <c r="C10719"/>
    </row>
    <row r="10720" spans="3:3">
      <c r="C10720"/>
    </row>
    <row r="10721" spans="3:3">
      <c r="C10721"/>
    </row>
    <row r="10722" spans="3:3">
      <c r="C10722"/>
    </row>
    <row r="10723" spans="3:3">
      <c r="C10723"/>
    </row>
    <row r="10724" spans="3:3">
      <c r="C10724"/>
    </row>
    <row r="10725" spans="3:3">
      <c r="C10725"/>
    </row>
    <row r="10726" spans="3:3">
      <c r="C10726"/>
    </row>
    <row r="10727" spans="3:3">
      <c r="C10727"/>
    </row>
    <row r="10728" spans="3:3">
      <c r="C10728"/>
    </row>
    <row r="10729" spans="3:3">
      <c r="C10729"/>
    </row>
    <row r="10730" spans="3:3">
      <c r="C10730"/>
    </row>
    <row r="10731" spans="3:3">
      <c r="C10731"/>
    </row>
    <row r="10732" spans="3:3">
      <c r="C10732"/>
    </row>
    <row r="10733" spans="3:3">
      <c r="C10733"/>
    </row>
    <row r="10734" spans="3:3">
      <c r="C10734"/>
    </row>
    <row r="10735" spans="3:3">
      <c r="C10735"/>
    </row>
    <row r="10736" spans="3:3">
      <c r="C10736"/>
    </row>
    <row r="10737" spans="3:3">
      <c r="C10737"/>
    </row>
    <row r="10738" spans="3:3">
      <c r="C10738"/>
    </row>
    <row r="10739" spans="3:3">
      <c r="C10739"/>
    </row>
    <row r="10740" spans="3:3">
      <c r="C10740"/>
    </row>
    <row r="10741" spans="3:3">
      <c r="C10741"/>
    </row>
    <row r="10742" spans="3:3">
      <c r="C10742"/>
    </row>
    <row r="10743" spans="3:3">
      <c r="C10743"/>
    </row>
    <row r="10744" spans="3:3">
      <c r="C10744"/>
    </row>
    <row r="10745" spans="3:3">
      <c r="C10745"/>
    </row>
    <row r="10746" spans="3:3">
      <c r="C10746"/>
    </row>
    <row r="10747" spans="3:3">
      <c r="C10747"/>
    </row>
    <row r="10748" spans="3:3">
      <c r="C10748"/>
    </row>
    <row r="10749" spans="3:3">
      <c r="C10749"/>
    </row>
    <row r="10750" spans="3:3">
      <c r="C10750"/>
    </row>
    <row r="10751" spans="3:3">
      <c r="C10751"/>
    </row>
    <row r="10752" spans="3:3">
      <c r="C10752"/>
    </row>
    <row r="10753" spans="3:3">
      <c r="C10753"/>
    </row>
    <row r="10754" spans="3:3">
      <c r="C10754"/>
    </row>
    <row r="10755" spans="3:3">
      <c r="C10755"/>
    </row>
    <row r="10756" spans="3:3">
      <c r="C10756"/>
    </row>
    <row r="10757" spans="3:3">
      <c r="C10757"/>
    </row>
    <row r="10758" spans="3:3">
      <c r="C10758"/>
    </row>
    <row r="10759" spans="3:3">
      <c r="C10759"/>
    </row>
    <row r="10760" spans="3:3">
      <c r="C10760"/>
    </row>
    <row r="10761" spans="3:3">
      <c r="C10761"/>
    </row>
    <row r="10762" spans="3:3">
      <c r="C10762"/>
    </row>
    <row r="10763" spans="3:3">
      <c r="C10763"/>
    </row>
    <row r="10764" spans="3:3">
      <c r="C10764"/>
    </row>
    <row r="10765" spans="3:3">
      <c r="C10765"/>
    </row>
    <row r="10766" spans="3:3">
      <c r="C10766"/>
    </row>
    <row r="10767" spans="3:3">
      <c r="C10767"/>
    </row>
    <row r="10768" spans="3:3">
      <c r="C10768"/>
    </row>
    <row r="10769" spans="3:3">
      <c r="C10769"/>
    </row>
    <row r="10770" spans="3:3">
      <c r="C10770"/>
    </row>
    <row r="10771" spans="3:3">
      <c r="C10771"/>
    </row>
    <row r="10772" spans="3:3">
      <c r="C10772"/>
    </row>
    <row r="10773" spans="3:3">
      <c r="C10773"/>
    </row>
    <row r="10774" spans="3:3">
      <c r="C10774"/>
    </row>
    <row r="10775" spans="3:3">
      <c r="C10775"/>
    </row>
    <row r="10776" spans="3:3">
      <c r="C10776"/>
    </row>
    <row r="10777" spans="3:3">
      <c r="C10777"/>
    </row>
    <row r="10778" spans="3:3">
      <c r="C10778"/>
    </row>
    <row r="10779" spans="3:3">
      <c r="C10779"/>
    </row>
    <row r="10780" spans="3:3">
      <c r="C10780"/>
    </row>
    <row r="10781" spans="3:3">
      <c r="C10781"/>
    </row>
    <row r="10782" spans="3:3">
      <c r="C10782"/>
    </row>
    <row r="10783" spans="3:3">
      <c r="C10783"/>
    </row>
    <row r="10784" spans="3:3">
      <c r="C10784"/>
    </row>
    <row r="10785" spans="3:3">
      <c r="C10785"/>
    </row>
    <row r="10786" spans="3:3">
      <c r="C10786"/>
    </row>
    <row r="10787" spans="3:3">
      <c r="C10787"/>
    </row>
    <row r="10788" spans="3:3">
      <c r="C10788"/>
    </row>
    <row r="10789" spans="3:3">
      <c r="C10789"/>
    </row>
    <row r="10790" spans="3:3">
      <c r="C10790"/>
    </row>
    <row r="10791" spans="3:3">
      <c r="C10791"/>
    </row>
    <row r="10792" spans="3:3">
      <c r="C10792"/>
    </row>
    <row r="10793" spans="3:3">
      <c r="C10793"/>
    </row>
    <row r="10794" spans="3:3">
      <c r="C10794"/>
    </row>
    <row r="10795" spans="3:3">
      <c r="C10795"/>
    </row>
    <row r="10796" spans="3:3">
      <c r="C10796"/>
    </row>
    <row r="10797" spans="3:3">
      <c r="C10797"/>
    </row>
    <row r="10798" spans="3:3">
      <c r="C10798"/>
    </row>
    <row r="10799" spans="3:3">
      <c r="C10799"/>
    </row>
    <row r="10800" spans="3:3">
      <c r="C10800"/>
    </row>
    <row r="10801" spans="3:3">
      <c r="C10801"/>
    </row>
    <row r="10802" spans="3:3">
      <c r="C10802"/>
    </row>
    <row r="10803" spans="3:3">
      <c r="C10803"/>
    </row>
    <row r="10804" spans="3:3">
      <c r="C10804"/>
    </row>
    <row r="10805" spans="3:3">
      <c r="C10805"/>
    </row>
    <row r="10806" spans="3:3">
      <c r="C10806"/>
    </row>
    <row r="10807" spans="3:3">
      <c r="C10807"/>
    </row>
    <row r="10808" spans="3:3">
      <c r="C10808"/>
    </row>
    <row r="10809" spans="3:3">
      <c r="C10809"/>
    </row>
    <row r="10810" spans="3:3">
      <c r="C10810"/>
    </row>
    <row r="10811" spans="3:3">
      <c r="C10811"/>
    </row>
    <row r="10812" spans="3:3">
      <c r="C10812"/>
    </row>
    <row r="10813" spans="3:3">
      <c r="C10813"/>
    </row>
    <row r="10814" spans="3:3">
      <c r="C10814"/>
    </row>
    <row r="10815" spans="3:3">
      <c r="C10815"/>
    </row>
    <row r="10816" spans="3:3">
      <c r="C10816"/>
    </row>
    <row r="10817" spans="3:3">
      <c r="C10817"/>
    </row>
    <row r="10818" spans="3:3">
      <c r="C10818"/>
    </row>
    <row r="10819" spans="3:3">
      <c r="C10819"/>
    </row>
    <row r="10820" spans="3:3">
      <c r="C10820"/>
    </row>
    <row r="10821" spans="3:3">
      <c r="C10821"/>
    </row>
    <row r="10822" spans="3:3">
      <c r="C10822"/>
    </row>
    <row r="10823" spans="3:3">
      <c r="C10823"/>
    </row>
    <row r="10824" spans="3:3">
      <c r="C10824"/>
    </row>
    <row r="10825" spans="3:3">
      <c r="C10825"/>
    </row>
    <row r="10826" spans="3:3">
      <c r="C10826"/>
    </row>
    <row r="10827" spans="3:3">
      <c r="C10827"/>
    </row>
    <row r="10828" spans="3:3">
      <c r="C10828"/>
    </row>
    <row r="10829" spans="3:3">
      <c r="C10829"/>
    </row>
    <row r="10830" spans="3:3">
      <c r="C10830"/>
    </row>
    <row r="10831" spans="3:3">
      <c r="C10831"/>
    </row>
    <row r="10832" spans="3:3">
      <c r="C10832"/>
    </row>
    <row r="10833" spans="3:3">
      <c r="C10833"/>
    </row>
    <row r="10834" spans="3:3">
      <c r="C10834"/>
    </row>
    <row r="10835" spans="3:3">
      <c r="C10835"/>
    </row>
    <row r="10836" spans="3:3">
      <c r="C10836"/>
    </row>
    <row r="10837" spans="3:3">
      <c r="C10837"/>
    </row>
    <row r="10838" spans="3:3">
      <c r="C10838"/>
    </row>
    <row r="10839" spans="3:3">
      <c r="C10839"/>
    </row>
    <row r="10840" spans="3:3">
      <c r="C10840"/>
    </row>
    <row r="10841" spans="3:3">
      <c r="C10841"/>
    </row>
    <row r="10842" spans="3:3">
      <c r="C10842"/>
    </row>
    <row r="10843" spans="3:3">
      <c r="C10843"/>
    </row>
    <row r="10844" spans="3:3">
      <c r="C10844"/>
    </row>
    <row r="10845" spans="3:3">
      <c r="C10845"/>
    </row>
    <row r="10846" spans="3:3">
      <c r="C10846"/>
    </row>
    <row r="10847" spans="3:3">
      <c r="C10847"/>
    </row>
    <row r="10848" spans="3:3">
      <c r="C10848"/>
    </row>
    <row r="10849" spans="3:3">
      <c r="C10849"/>
    </row>
    <row r="10850" spans="3:3">
      <c r="C10850"/>
    </row>
    <row r="10851" spans="3:3">
      <c r="C10851"/>
    </row>
    <row r="10852" spans="3:3">
      <c r="C10852"/>
    </row>
    <row r="10853" spans="3:3">
      <c r="C10853"/>
    </row>
    <row r="10854" spans="3:3">
      <c r="C10854"/>
    </row>
    <row r="10855" spans="3:3">
      <c r="C10855"/>
    </row>
    <row r="10856" spans="3:3">
      <c r="C10856"/>
    </row>
    <row r="10857" spans="3:3">
      <c r="C10857"/>
    </row>
    <row r="10858" spans="3:3">
      <c r="C10858"/>
    </row>
    <row r="10859" spans="3:3">
      <c r="C10859"/>
    </row>
    <row r="10860" spans="3:3">
      <c r="C10860"/>
    </row>
    <row r="10861" spans="3:3">
      <c r="C10861"/>
    </row>
    <row r="10862" spans="3:3">
      <c r="C10862"/>
    </row>
    <row r="10863" spans="3:3">
      <c r="C10863"/>
    </row>
    <row r="10864" spans="3:3">
      <c r="C10864"/>
    </row>
    <row r="10865" spans="3:3">
      <c r="C10865"/>
    </row>
    <row r="10866" spans="3:3">
      <c r="C10866"/>
    </row>
    <row r="10867" spans="3:3">
      <c r="C10867"/>
    </row>
    <row r="10868" spans="3:3">
      <c r="C10868"/>
    </row>
    <row r="10869" spans="3:3">
      <c r="C10869"/>
    </row>
    <row r="10870" spans="3:3">
      <c r="C10870"/>
    </row>
    <row r="10871" spans="3:3">
      <c r="C10871"/>
    </row>
    <row r="10872" spans="3:3">
      <c r="C10872"/>
    </row>
    <row r="10873" spans="3:3">
      <c r="C10873"/>
    </row>
    <row r="10874" spans="3:3">
      <c r="C10874"/>
    </row>
    <row r="10875" spans="3:3">
      <c r="C10875"/>
    </row>
    <row r="10876" spans="3:3">
      <c r="C10876"/>
    </row>
    <row r="10877" spans="3:3">
      <c r="C10877"/>
    </row>
    <row r="10878" spans="3:3">
      <c r="C10878"/>
    </row>
    <row r="10879" spans="3:3">
      <c r="C10879"/>
    </row>
    <row r="10880" spans="3:3">
      <c r="C10880"/>
    </row>
    <row r="10881" spans="3:3">
      <c r="C10881"/>
    </row>
    <row r="10882" spans="3:3">
      <c r="C10882"/>
    </row>
    <row r="10883" spans="3:3">
      <c r="C10883"/>
    </row>
    <row r="10884" spans="3:3">
      <c r="C10884"/>
    </row>
    <row r="10885" spans="3:3">
      <c r="C10885"/>
    </row>
    <row r="10886" spans="3:3">
      <c r="C10886"/>
    </row>
    <row r="10887" spans="3:3">
      <c r="C10887"/>
    </row>
    <row r="10888" spans="3:3">
      <c r="C10888"/>
    </row>
    <row r="10889" spans="3:3">
      <c r="C10889"/>
    </row>
    <row r="10890" spans="3:3">
      <c r="C10890"/>
    </row>
    <row r="10891" spans="3:3">
      <c r="C10891"/>
    </row>
    <row r="10892" spans="3:3">
      <c r="C10892"/>
    </row>
    <row r="10893" spans="3:3">
      <c r="C10893"/>
    </row>
    <row r="10894" spans="3:3">
      <c r="C10894"/>
    </row>
    <row r="10895" spans="3:3">
      <c r="C10895"/>
    </row>
    <row r="10896" spans="3:3">
      <c r="C10896"/>
    </row>
    <row r="10897" spans="3:3">
      <c r="C10897"/>
    </row>
    <row r="10898" spans="3:3">
      <c r="C10898"/>
    </row>
    <row r="10899" spans="3:3">
      <c r="C10899"/>
    </row>
    <row r="10900" spans="3:3">
      <c r="C10900"/>
    </row>
    <row r="10901" spans="3:3">
      <c r="C10901"/>
    </row>
    <row r="10902" spans="3:3">
      <c r="C10902"/>
    </row>
    <row r="10903" spans="3:3">
      <c r="C10903"/>
    </row>
    <row r="10904" spans="3:3">
      <c r="C10904"/>
    </row>
    <row r="10905" spans="3:3">
      <c r="C10905"/>
    </row>
    <row r="10906" spans="3:3">
      <c r="C10906"/>
    </row>
    <row r="10907" spans="3:3">
      <c r="C10907"/>
    </row>
    <row r="10908" spans="3:3">
      <c r="C10908"/>
    </row>
    <row r="10909" spans="3:3">
      <c r="C10909"/>
    </row>
    <row r="10910" spans="3:3">
      <c r="C10910"/>
    </row>
    <row r="10911" spans="3:3">
      <c r="C10911"/>
    </row>
    <row r="10912" spans="3:3">
      <c r="C10912"/>
    </row>
    <row r="10913" spans="3:3">
      <c r="C10913"/>
    </row>
    <row r="10914" spans="3:3">
      <c r="C10914"/>
    </row>
    <row r="10915" spans="3:3">
      <c r="C10915"/>
    </row>
    <row r="10916" spans="3:3">
      <c r="C10916"/>
    </row>
    <row r="10917" spans="3:3">
      <c r="C10917"/>
    </row>
    <row r="10918" spans="3:3">
      <c r="C10918"/>
    </row>
    <row r="10919" spans="3:3">
      <c r="C10919"/>
    </row>
    <row r="10920" spans="3:3">
      <c r="C10920"/>
    </row>
    <row r="10921" spans="3:3">
      <c r="C10921"/>
    </row>
    <row r="10922" spans="3:3">
      <c r="C10922"/>
    </row>
    <row r="10923" spans="3:3">
      <c r="C10923"/>
    </row>
    <row r="10924" spans="3:3">
      <c r="C10924"/>
    </row>
    <row r="10925" spans="3:3">
      <c r="C10925"/>
    </row>
    <row r="10926" spans="3:3">
      <c r="C10926"/>
    </row>
    <row r="10927" spans="3:3">
      <c r="C10927"/>
    </row>
    <row r="10928" spans="3:3">
      <c r="C10928"/>
    </row>
    <row r="10929" spans="3:3">
      <c r="C10929"/>
    </row>
    <row r="10930" spans="3:3">
      <c r="C10930"/>
    </row>
    <row r="10931" spans="3:3">
      <c r="C10931"/>
    </row>
    <row r="10932" spans="3:3">
      <c r="C10932"/>
    </row>
    <row r="10933" spans="3:3">
      <c r="C10933"/>
    </row>
    <row r="10934" spans="3:3">
      <c r="C10934"/>
    </row>
    <row r="10935" spans="3:3">
      <c r="C10935"/>
    </row>
    <row r="10936" spans="3:3">
      <c r="C10936"/>
    </row>
    <row r="10937" spans="3:3">
      <c r="C10937"/>
    </row>
    <row r="10938" spans="3:3">
      <c r="C10938"/>
    </row>
    <row r="10939" spans="3:3">
      <c r="C10939"/>
    </row>
    <row r="10940" spans="3:3">
      <c r="C10940"/>
    </row>
    <row r="10941" spans="3:3">
      <c r="C10941"/>
    </row>
    <row r="10942" spans="3:3">
      <c r="C10942"/>
    </row>
    <row r="10943" spans="3:3">
      <c r="C10943"/>
    </row>
    <row r="10944" spans="3:3">
      <c r="C10944"/>
    </row>
    <row r="10945" spans="3:3">
      <c r="C10945"/>
    </row>
    <row r="10946" spans="3:3">
      <c r="C10946"/>
    </row>
    <row r="10947" spans="3:3">
      <c r="C10947"/>
    </row>
    <row r="10948" spans="3:3">
      <c r="C10948"/>
    </row>
    <row r="10949" spans="3:3">
      <c r="C10949"/>
    </row>
    <row r="10950" spans="3:3">
      <c r="C10950"/>
    </row>
    <row r="10951" spans="3:3">
      <c r="C10951"/>
    </row>
    <row r="10952" spans="3:3">
      <c r="C10952"/>
    </row>
    <row r="10953" spans="3:3">
      <c r="C10953"/>
    </row>
    <row r="10954" spans="3:3">
      <c r="C10954"/>
    </row>
    <row r="10955" spans="3:3">
      <c r="C10955"/>
    </row>
    <row r="10956" spans="3:3">
      <c r="C10956"/>
    </row>
    <row r="10957" spans="3:3">
      <c r="C10957"/>
    </row>
    <row r="10958" spans="3:3">
      <c r="C10958"/>
    </row>
    <row r="10959" spans="3:3">
      <c r="C10959"/>
    </row>
    <row r="10960" spans="3:3">
      <c r="C10960"/>
    </row>
    <row r="10961" spans="3:3">
      <c r="C10961"/>
    </row>
    <row r="10962" spans="3:3">
      <c r="C10962"/>
    </row>
    <row r="10963" spans="3:3">
      <c r="C10963"/>
    </row>
    <row r="10964" spans="3:3">
      <c r="C10964"/>
    </row>
    <row r="10965" spans="3:3">
      <c r="C10965"/>
    </row>
    <row r="10966" spans="3:3">
      <c r="C10966"/>
    </row>
    <row r="10967" spans="3:3">
      <c r="C10967"/>
    </row>
    <row r="10968" spans="3:3">
      <c r="C10968"/>
    </row>
    <row r="10969" spans="3:3">
      <c r="C10969"/>
    </row>
    <row r="10970" spans="3:3">
      <c r="C10970"/>
    </row>
    <row r="10971" spans="3:3">
      <c r="C10971"/>
    </row>
    <row r="10972" spans="3:3">
      <c r="C10972"/>
    </row>
    <row r="10973" spans="3:3">
      <c r="C10973"/>
    </row>
    <row r="10974" spans="3:3">
      <c r="C10974"/>
    </row>
    <row r="10975" spans="3:3">
      <c r="C10975"/>
    </row>
    <row r="10976" spans="3:3">
      <c r="C10976"/>
    </row>
    <row r="10977" spans="3:3">
      <c r="C10977"/>
    </row>
    <row r="10978" spans="3:3">
      <c r="C10978"/>
    </row>
    <row r="10979" spans="3:3">
      <c r="C10979"/>
    </row>
    <row r="10980" spans="3:3">
      <c r="C10980"/>
    </row>
    <row r="10981" spans="3:3">
      <c r="C10981"/>
    </row>
    <row r="10982" spans="3:3">
      <c r="C10982"/>
    </row>
    <row r="10983" spans="3:3">
      <c r="C10983"/>
    </row>
    <row r="10984" spans="3:3">
      <c r="C10984"/>
    </row>
    <row r="10985" spans="3:3">
      <c r="C10985"/>
    </row>
    <row r="10986" spans="3:3">
      <c r="C10986"/>
    </row>
    <row r="10987" spans="3:3">
      <c r="C10987"/>
    </row>
    <row r="10988" spans="3:3">
      <c r="C10988"/>
    </row>
    <row r="10989" spans="3:3">
      <c r="C10989"/>
    </row>
    <row r="10990" spans="3:3">
      <c r="C10990"/>
    </row>
    <row r="10991" spans="3:3">
      <c r="C10991"/>
    </row>
    <row r="10992" spans="3:3">
      <c r="C10992"/>
    </row>
    <row r="10993" spans="3:3">
      <c r="C10993"/>
    </row>
    <row r="10994" spans="3:3">
      <c r="C10994"/>
    </row>
    <row r="10995" spans="3:3">
      <c r="C10995"/>
    </row>
    <row r="10996" spans="3:3">
      <c r="C10996"/>
    </row>
    <row r="10997" spans="3:3">
      <c r="C10997"/>
    </row>
    <row r="10998" spans="3:3">
      <c r="C10998"/>
    </row>
    <row r="10999" spans="3:3">
      <c r="C10999"/>
    </row>
    <row r="11000" spans="3:3">
      <c r="C11000"/>
    </row>
    <row r="11001" spans="3:3">
      <c r="C11001"/>
    </row>
    <row r="11002" spans="3:3">
      <c r="C11002"/>
    </row>
    <row r="11003" spans="3:3">
      <c r="C11003"/>
    </row>
    <row r="11004" spans="3:3">
      <c r="C11004"/>
    </row>
    <row r="11005" spans="3:3">
      <c r="C11005"/>
    </row>
    <row r="11006" spans="3:3">
      <c r="C11006"/>
    </row>
    <row r="11007" spans="3:3">
      <c r="C11007"/>
    </row>
    <row r="11008" spans="3:3">
      <c r="C11008"/>
    </row>
    <row r="11009" spans="3:3">
      <c r="C11009"/>
    </row>
    <row r="11010" spans="3:3">
      <c r="C11010"/>
    </row>
    <row r="11011" spans="3:3">
      <c r="C11011"/>
    </row>
    <row r="11012" spans="3:3">
      <c r="C11012"/>
    </row>
    <row r="11013" spans="3:3">
      <c r="C11013"/>
    </row>
    <row r="11014" spans="3:3">
      <c r="C11014"/>
    </row>
    <row r="11015" spans="3:3">
      <c r="C11015"/>
    </row>
    <row r="11016" spans="3:3">
      <c r="C11016"/>
    </row>
    <row r="11017" spans="3:3">
      <c r="C11017"/>
    </row>
    <row r="11018" spans="3:3">
      <c r="C11018"/>
    </row>
    <row r="11019" spans="3:3">
      <c r="C11019"/>
    </row>
    <row r="11020" spans="3:3">
      <c r="C11020"/>
    </row>
    <row r="11021" spans="3:3">
      <c r="C11021"/>
    </row>
    <row r="11022" spans="3:3">
      <c r="C11022"/>
    </row>
    <row r="11023" spans="3:3">
      <c r="C11023"/>
    </row>
    <row r="11024" spans="3:3">
      <c r="C11024"/>
    </row>
    <row r="11025" spans="3:3">
      <c r="C11025"/>
    </row>
    <row r="11026" spans="3:3">
      <c r="C11026"/>
    </row>
    <row r="11027" spans="3:3">
      <c r="C11027"/>
    </row>
    <row r="11028" spans="3:3">
      <c r="C11028"/>
    </row>
    <row r="11029" spans="3:3">
      <c r="C11029"/>
    </row>
    <row r="11030" spans="3:3">
      <c r="C11030"/>
    </row>
    <row r="11031" spans="3:3">
      <c r="C11031"/>
    </row>
    <row r="11032" spans="3:3">
      <c r="C11032"/>
    </row>
    <row r="11033" spans="3:3">
      <c r="C11033"/>
    </row>
    <row r="11034" spans="3:3">
      <c r="C11034"/>
    </row>
    <row r="11035" spans="3:3">
      <c r="C11035"/>
    </row>
    <row r="11036" spans="3:3">
      <c r="C11036"/>
    </row>
    <row r="11037" spans="3:3">
      <c r="C11037"/>
    </row>
    <row r="11038" spans="3:3">
      <c r="C11038"/>
    </row>
    <row r="11039" spans="3:3">
      <c r="C11039"/>
    </row>
    <row r="11040" spans="3:3">
      <c r="C11040"/>
    </row>
    <row r="11041" spans="3:3">
      <c r="C11041"/>
    </row>
    <row r="11042" spans="3:3">
      <c r="C11042"/>
    </row>
    <row r="11043" spans="3:3">
      <c r="C11043"/>
    </row>
    <row r="11044" spans="3:3">
      <c r="C11044"/>
    </row>
    <row r="11045" spans="3:3">
      <c r="C11045"/>
    </row>
    <row r="11046" spans="3:3">
      <c r="C11046"/>
    </row>
    <row r="11047" spans="3:3">
      <c r="C11047"/>
    </row>
    <row r="11048" spans="3:3">
      <c r="C11048"/>
    </row>
    <row r="11049" spans="3:3">
      <c r="C11049"/>
    </row>
    <row r="11050" spans="3:3">
      <c r="C11050"/>
    </row>
    <row r="11051" spans="3:3">
      <c r="C11051"/>
    </row>
    <row r="11052" spans="3:3">
      <c r="C11052"/>
    </row>
    <row r="11053" spans="3:3">
      <c r="C11053"/>
    </row>
    <row r="11054" spans="3:3">
      <c r="C11054"/>
    </row>
    <row r="11055" spans="3:3">
      <c r="C11055"/>
    </row>
    <row r="11056" spans="3:3">
      <c r="C11056"/>
    </row>
    <row r="11057" spans="3:3">
      <c r="C11057"/>
    </row>
    <row r="11058" spans="3:3">
      <c r="C11058"/>
    </row>
    <row r="11059" spans="3:3">
      <c r="C11059"/>
    </row>
    <row r="11060" spans="3:3">
      <c r="C11060"/>
    </row>
    <row r="11061" spans="3:3">
      <c r="C11061"/>
    </row>
    <row r="11062" spans="3:3">
      <c r="C11062"/>
    </row>
    <row r="11063" spans="3:3">
      <c r="C11063"/>
    </row>
    <row r="11064" spans="3:3">
      <c r="C11064"/>
    </row>
    <row r="11065" spans="3:3">
      <c r="C11065"/>
    </row>
    <row r="11066" spans="3:3">
      <c r="C11066"/>
    </row>
    <row r="11067" spans="3:3">
      <c r="C11067"/>
    </row>
    <row r="11068" spans="3:3">
      <c r="C11068"/>
    </row>
    <row r="11069" spans="3:3">
      <c r="C11069"/>
    </row>
    <row r="11070" spans="3:3">
      <c r="C11070"/>
    </row>
    <row r="11071" spans="3:3">
      <c r="C11071"/>
    </row>
    <row r="11072" spans="3:3">
      <c r="C11072"/>
    </row>
    <row r="11073" spans="3:3">
      <c r="C11073"/>
    </row>
    <row r="11074" spans="3:3">
      <c r="C11074"/>
    </row>
    <row r="11075" spans="3:3">
      <c r="C11075"/>
    </row>
    <row r="11076" spans="3:3">
      <c r="C11076"/>
    </row>
    <row r="11077" spans="3:3">
      <c r="C11077"/>
    </row>
    <row r="11078" spans="3:3">
      <c r="C11078"/>
    </row>
    <row r="11079" spans="3:3">
      <c r="C11079"/>
    </row>
    <row r="11080" spans="3:3">
      <c r="C11080"/>
    </row>
    <row r="11081" spans="3:3">
      <c r="C11081"/>
    </row>
    <row r="11082" spans="3:3">
      <c r="C11082"/>
    </row>
    <row r="11083" spans="3:3">
      <c r="C11083"/>
    </row>
    <row r="11084" spans="3:3">
      <c r="C11084"/>
    </row>
    <row r="11085" spans="3:3">
      <c r="C11085"/>
    </row>
    <row r="11086" spans="3:3">
      <c r="C11086"/>
    </row>
    <row r="11087" spans="3:3">
      <c r="C11087"/>
    </row>
    <row r="11088" spans="3:3">
      <c r="C11088"/>
    </row>
    <row r="11089" spans="3:3">
      <c r="C11089"/>
    </row>
    <row r="11090" spans="3:3">
      <c r="C11090"/>
    </row>
    <row r="11091" spans="3:3">
      <c r="C11091"/>
    </row>
    <row r="11092" spans="3:3">
      <c r="C11092"/>
    </row>
    <row r="11093" spans="3:3">
      <c r="C11093"/>
    </row>
    <row r="11094" spans="3:3">
      <c r="C11094"/>
    </row>
    <row r="11095" spans="3:3">
      <c r="C11095"/>
    </row>
    <row r="11096" spans="3:3">
      <c r="C11096"/>
    </row>
    <row r="11097" spans="3:3">
      <c r="C11097"/>
    </row>
    <row r="11098" spans="3:3">
      <c r="C11098"/>
    </row>
    <row r="11099" spans="3:3">
      <c r="C11099"/>
    </row>
    <row r="11100" spans="3:3">
      <c r="C11100"/>
    </row>
    <row r="11101" spans="3:3">
      <c r="C11101"/>
    </row>
    <row r="11102" spans="3:3">
      <c r="C11102"/>
    </row>
    <row r="11103" spans="3:3">
      <c r="C11103"/>
    </row>
    <row r="11104" spans="3:3">
      <c r="C11104"/>
    </row>
    <row r="11105" spans="3:3">
      <c r="C11105"/>
    </row>
    <row r="11106" spans="3:3">
      <c r="C11106"/>
    </row>
    <row r="11107" spans="3:3">
      <c r="C11107"/>
    </row>
    <row r="11108" spans="3:3">
      <c r="C11108"/>
    </row>
    <row r="11109" spans="3:3">
      <c r="C11109"/>
    </row>
    <row r="11110" spans="3:3">
      <c r="C11110"/>
    </row>
    <row r="11111" spans="3:3">
      <c r="C11111"/>
    </row>
    <row r="11112" spans="3:3">
      <c r="C11112"/>
    </row>
    <row r="11113" spans="3:3">
      <c r="C11113"/>
    </row>
    <row r="11114" spans="3:3">
      <c r="C11114"/>
    </row>
    <row r="11115" spans="3:3">
      <c r="C11115"/>
    </row>
    <row r="11116" spans="3:3">
      <c r="C11116"/>
    </row>
    <row r="11117" spans="3:3">
      <c r="C11117"/>
    </row>
    <row r="11118" spans="3:3">
      <c r="C11118"/>
    </row>
    <row r="11119" spans="3:3">
      <c r="C11119"/>
    </row>
    <row r="11120" spans="3:3">
      <c r="C11120"/>
    </row>
    <row r="11121" spans="3:3">
      <c r="C11121"/>
    </row>
    <row r="11122" spans="3:3">
      <c r="C11122"/>
    </row>
    <row r="11123" spans="3:3">
      <c r="C11123"/>
    </row>
    <row r="11124" spans="3:3">
      <c r="C11124"/>
    </row>
    <row r="11125" spans="3:3">
      <c r="C11125"/>
    </row>
    <row r="11126" spans="3:3">
      <c r="C11126"/>
    </row>
    <row r="11127" spans="3:3">
      <c r="C11127"/>
    </row>
    <row r="11128" spans="3:3">
      <c r="C11128"/>
    </row>
    <row r="11129" spans="3:3">
      <c r="C11129"/>
    </row>
    <row r="11130" spans="3:3">
      <c r="C11130"/>
    </row>
    <row r="11131" spans="3:3">
      <c r="C11131"/>
    </row>
    <row r="11132" spans="3:3">
      <c r="C11132"/>
    </row>
    <row r="11133" spans="3:3">
      <c r="C11133"/>
    </row>
    <row r="11134" spans="3:3">
      <c r="C11134"/>
    </row>
    <row r="11135" spans="3:3">
      <c r="C11135"/>
    </row>
    <row r="11136" spans="3:3">
      <c r="C11136"/>
    </row>
    <row r="11137" spans="3:3">
      <c r="C11137"/>
    </row>
    <row r="11138" spans="3:3">
      <c r="C11138"/>
    </row>
    <row r="11139" spans="3:3">
      <c r="C11139"/>
    </row>
    <row r="11140" spans="3:3">
      <c r="C11140"/>
    </row>
    <row r="11141" spans="3:3">
      <c r="C11141"/>
    </row>
    <row r="11142" spans="3:3">
      <c r="C11142"/>
    </row>
    <row r="11143" spans="3:3">
      <c r="C11143"/>
    </row>
    <row r="11144" spans="3:3">
      <c r="C11144"/>
    </row>
    <row r="11145" spans="3:3">
      <c r="C11145"/>
    </row>
    <row r="11146" spans="3:3">
      <c r="C11146"/>
    </row>
    <row r="11147" spans="3:3">
      <c r="C11147"/>
    </row>
    <row r="11148" spans="3:3">
      <c r="C11148"/>
    </row>
    <row r="11149" spans="3:3">
      <c r="C11149"/>
    </row>
    <row r="11150" spans="3:3">
      <c r="C11150"/>
    </row>
    <row r="11151" spans="3:3">
      <c r="C11151"/>
    </row>
    <row r="11152" spans="3:3">
      <c r="C11152"/>
    </row>
    <row r="11153" spans="3:3">
      <c r="C11153"/>
    </row>
    <row r="11154" spans="3:3">
      <c r="C11154"/>
    </row>
    <row r="11155" spans="3:3">
      <c r="C11155"/>
    </row>
    <row r="11156" spans="3:3">
      <c r="C11156"/>
    </row>
    <row r="11157" spans="3:3">
      <c r="C11157"/>
    </row>
    <row r="11158" spans="3:3">
      <c r="C11158"/>
    </row>
    <row r="11159" spans="3:3">
      <c r="C11159"/>
    </row>
    <row r="11160" spans="3:3">
      <c r="C11160"/>
    </row>
    <row r="11161" spans="3:3">
      <c r="C11161"/>
    </row>
    <row r="11162" spans="3:3">
      <c r="C11162"/>
    </row>
    <row r="11163" spans="3:3">
      <c r="C11163"/>
    </row>
    <row r="11164" spans="3:3">
      <c r="C11164"/>
    </row>
    <row r="11165" spans="3:3">
      <c r="C11165"/>
    </row>
    <row r="11166" spans="3:3">
      <c r="C11166"/>
    </row>
    <row r="11167" spans="3:3">
      <c r="C11167"/>
    </row>
    <row r="11168" spans="3:3">
      <c r="C11168"/>
    </row>
    <row r="11169" spans="3:3">
      <c r="C11169"/>
    </row>
    <row r="11170" spans="3:3">
      <c r="C11170"/>
    </row>
    <row r="11171" spans="3:3">
      <c r="C11171"/>
    </row>
    <row r="11172" spans="3:3">
      <c r="C11172"/>
    </row>
    <row r="11173" spans="3:3">
      <c r="C11173"/>
    </row>
    <row r="11174" spans="3:3">
      <c r="C11174"/>
    </row>
    <row r="11175" spans="3:3">
      <c r="C11175"/>
    </row>
    <row r="11176" spans="3:3">
      <c r="C11176"/>
    </row>
    <row r="11177" spans="3:3">
      <c r="C11177"/>
    </row>
    <row r="11178" spans="3:3">
      <c r="C11178"/>
    </row>
    <row r="11179" spans="3:3">
      <c r="C11179"/>
    </row>
    <row r="11180" spans="3:3">
      <c r="C11180"/>
    </row>
    <row r="11181" spans="3:3">
      <c r="C11181"/>
    </row>
    <row r="11182" spans="3:3">
      <c r="C11182"/>
    </row>
    <row r="11183" spans="3:3">
      <c r="C11183"/>
    </row>
    <row r="11184" spans="3:3">
      <c r="C11184"/>
    </row>
    <row r="11185" spans="3:3">
      <c r="C11185"/>
    </row>
    <row r="11186" spans="3:3">
      <c r="C11186"/>
    </row>
    <row r="11187" spans="3:3">
      <c r="C11187"/>
    </row>
    <row r="11188" spans="3:3">
      <c r="C11188"/>
    </row>
    <row r="11189" spans="3:3">
      <c r="C11189"/>
    </row>
    <row r="11190" spans="3:3">
      <c r="C11190"/>
    </row>
    <row r="11191" spans="3:3">
      <c r="C11191"/>
    </row>
    <row r="11192" spans="3:3">
      <c r="C11192"/>
    </row>
    <row r="11193" spans="3:3">
      <c r="C11193"/>
    </row>
    <row r="11194" spans="3:3">
      <c r="C11194"/>
    </row>
    <row r="11195" spans="3:3">
      <c r="C11195"/>
    </row>
    <row r="11196" spans="3:3">
      <c r="C11196"/>
    </row>
    <row r="11197" spans="3:3">
      <c r="C11197"/>
    </row>
    <row r="11198" spans="3:3">
      <c r="C11198"/>
    </row>
    <row r="11199" spans="3:3">
      <c r="C11199"/>
    </row>
    <row r="11200" spans="3:3">
      <c r="C11200"/>
    </row>
    <row r="11201" spans="3:3">
      <c r="C11201"/>
    </row>
    <row r="11202" spans="3:3">
      <c r="C11202"/>
    </row>
    <row r="11203" spans="3:3">
      <c r="C11203"/>
    </row>
    <row r="11204" spans="3:3">
      <c r="C11204"/>
    </row>
    <row r="11205" spans="3:3">
      <c r="C11205"/>
    </row>
    <row r="11206" spans="3:3">
      <c r="C11206"/>
    </row>
    <row r="11207" spans="3:3">
      <c r="C11207"/>
    </row>
    <row r="11208" spans="3:3">
      <c r="C11208"/>
    </row>
    <row r="11209" spans="3:3">
      <c r="C11209"/>
    </row>
    <row r="11210" spans="3:3">
      <c r="C11210"/>
    </row>
    <row r="11211" spans="3:3">
      <c r="C11211"/>
    </row>
    <row r="11212" spans="3:3">
      <c r="C11212"/>
    </row>
    <row r="11213" spans="3:3">
      <c r="C11213"/>
    </row>
    <row r="11214" spans="3:3">
      <c r="C11214"/>
    </row>
    <row r="11215" spans="3:3">
      <c r="C11215"/>
    </row>
    <row r="11216" spans="3:3">
      <c r="C11216"/>
    </row>
    <row r="11217" spans="3:3">
      <c r="C11217"/>
    </row>
    <row r="11218" spans="3:3">
      <c r="C11218"/>
    </row>
    <row r="11219" spans="3:3">
      <c r="C11219"/>
    </row>
    <row r="11220" spans="3:3">
      <c r="C11220"/>
    </row>
    <row r="11221" spans="3:3">
      <c r="C11221"/>
    </row>
    <row r="11222" spans="3:3">
      <c r="C11222"/>
    </row>
    <row r="11223" spans="3:3">
      <c r="C11223"/>
    </row>
    <row r="11224" spans="3:3">
      <c r="C11224"/>
    </row>
    <row r="11225" spans="3:3">
      <c r="C11225"/>
    </row>
    <row r="11226" spans="3:3">
      <c r="C11226"/>
    </row>
    <row r="11227" spans="3:3">
      <c r="C11227"/>
    </row>
    <row r="11228" spans="3:3">
      <c r="C11228"/>
    </row>
    <row r="11229" spans="3:3">
      <c r="C11229"/>
    </row>
    <row r="11230" spans="3:3">
      <c r="C11230"/>
    </row>
    <row r="11231" spans="3:3">
      <c r="C11231"/>
    </row>
    <row r="11232" spans="3:3">
      <c r="C11232"/>
    </row>
    <row r="11233" spans="3:3">
      <c r="C11233"/>
    </row>
    <row r="11234" spans="3:3">
      <c r="C11234"/>
    </row>
    <row r="11235" spans="3:3">
      <c r="C11235"/>
    </row>
    <row r="11236" spans="3:3">
      <c r="C11236"/>
    </row>
    <row r="11237" spans="3:3">
      <c r="C11237"/>
    </row>
    <row r="11238" spans="3:3">
      <c r="C11238"/>
    </row>
    <row r="11239" spans="3:3">
      <c r="C11239"/>
    </row>
    <row r="11240" spans="3:3">
      <c r="C11240"/>
    </row>
    <row r="11241" spans="3:3">
      <c r="C11241"/>
    </row>
    <row r="11242" spans="3:3">
      <c r="C11242"/>
    </row>
    <row r="11243" spans="3:3">
      <c r="C11243"/>
    </row>
    <row r="11244" spans="3:3">
      <c r="C11244"/>
    </row>
    <row r="11245" spans="3:3">
      <c r="C11245"/>
    </row>
    <row r="11246" spans="3:3">
      <c r="C11246"/>
    </row>
    <row r="11247" spans="3:3">
      <c r="C11247"/>
    </row>
    <row r="11248" spans="3:3">
      <c r="C11248"/>
    </row>
    <row r="11249" spans="3:3">
      <c r="C11249"/>
    </row>
    <row r="11250" spans="3:3">
      <c r="C11250"/>
    </row>
    <row r="11251" spans="3:3">
      <c r="C11251"/>
    </row>
    <row r="11252" spans="3:3">
      <c r="C11252"/>
    </row>
    <row r="11253" spans="3:3">
      <c r="C11253"/>
    </row>
    <row r="11254" spans="3:3">
      <c r="C11254"/>
    </row>
    <row r="11255" spans="3:3">
      <c r="C11255"/>
    </row>
    <row r="11256" spans="3:3">
      <c r="C11256"/>
    </row>
    <row r="11257" spans="3:3">
      <c r="C11257"/>
    </row>
    <row r="11258" spans="3:3">
      <c r="C11258"/>
    </row>
    <row r="11259" spans="3:3">
      <c r="C11259"/>
    </row>
    <row r="11260" spans="3:3">
      <c r="C11260"/>
    </row>
    <row r="11261" spans="3:3">
      <c r="C11261"/>
    </row>
    <row r="11262" spans="3:3">
      <c r="C11262"/>
    </row>
    <row r="11263" spans="3:3">
      <c r="C11263"/>
    </row>
    <row r="11264" spans="3:3">
      <c r="C11264"/>
    </row>
    <row r="11265" spans="3:3">
      <c r="C11265"/>
    </row>
    <row r="11266" spans="3:3">
      <c r="C11266"/>
    </row>
    <row r="11267" spans="3:3">
      <c r="C11267"/>
    </row>
    <row r="11268" spans="3:3">
      <c r="C11268"/>
    </row>
    <row r="11269" spans="3:3">
      <c r="C11269"/>
    </row>
    <row r="11270" spans="3:3">
      <c r="C11270"/>
    </row>
    <row r="11271" spans="3:3">
      <c r="C11271"/>
    </row>
    <row r="11272" spans="3:3">
      <c r="C11272"/>
    </row>
    <row r="11273" spans="3:3">
      <c r="C11273"/>
    </row>
    <row r="11274" spans="3:3">
      <c r="C11274"/>
    </row>
    <row r="11275" spans="3:3">
      <c r="C11275"/>
    </row>
    <row r="11276" spans="3:3">
      <c r="C11276"/>
    </row>
    <row r="11277" spans="3:3">
      <c r="C11277"/>
    </row>
    <row r="11278" spans="3:3">
      <c r="C11278"/>
    </row>
    <row r="11279" spans="3:3">
      <c r="C11279"/>
    </row>
    <row r="11280" spans="3:3">
      <c r="C11280"/>
    </row>
    <row r="11281" spans="3:3">
      <c r="C11281"/>
    </row>
    <row r="11282" spans="3:3">
      <c r="C11282"/>
    </row>
    <row r="11283" spans="3:3">
      <c r="C11283"/>
    </row>
    <row r="11284" spans="3:3">
      <c r="C11284"/>
    </row>
    <row r="11285" spans="3:3">
      <c r="C11285"/>
    </row>
    <row r="11286" spans="3:3">
      <c r="C11286"/>
    </row>
    <row r="11287" spans="3:3">
      <c r="C11287"/>
    </row>
    <row r="11288" spans="3:3">
      <c r="C11288"/>
    </row>
    <row r="11289" spans="3:3">
      <c r="C11289"/>
    </row>
    <row r="11290" spans="3:3">
      <c r="C11290"/>
    </row>
    <row r="11291" spans="3:3">
      <c r="C11291"/>
    </row>
    <row r="11292" spans="3:3">
      <c r="C11292"/>
    </row>
    <row r="11293" spans="3:3">
      <c r="C11293"/>
    </row>
    <row r="11294" spans="3:3">
      <c r="C11294"/>
    </row>
    <row r="11295" spans="3:3">
      <c r="C11295"/>
    </row>
    <row r="11296" spans="3:3">
      <c r="C11296"/>
    </row>
    <row r="11297" spans="3:3">
      <c r="C11297"/>
    </row>
    <row r="11298" spans="3:3">
      <c r="C11298"/>
    </row>
    <row r="11299" spans="3:3">
      <c r="C11299"/>
    </row>
    <row r="11300" spans="3:3">
      <c r="C11300"/>
    </row>
    <row r="11301" spans="3:3">
      <c r="C11301"/>
    </row>
    <row r="11302" spans="3:3">
      <c r="C11302"/>
    </row>
    <row r="11303" spans="3:3">
      <c r="C11303"/>
    </row>
    <row r="11304" spans="3:3">
      <c r="C11304"/>
    </row>
    <row r="11305" spans="3:3">
      <c r="C11305"/>
    </row>
    <row r="11306" spans="3:3">
      <c r="C11306"/>
    </row>
    <row r="11307" spans="3:3">
      <c r="C11307"/>
    </row>
    <row r="11308" spans="3:3">
      <c r="C11308"/>
    </row>
    <row r="11309" spans="3:3">
      <c r="C11309"/>
    </row>
    <row r="11310" spans="3:3">
      <c r="C11310"/>
    </row>
    <row r="11311" spans="3:3">
      <c r="C11311"/>
    </row>
    <row r="11312" spans="3:3">
      <c r="C11312"/>
    </row>
    <row r="11313" spans="3:3">
      <c r="C11313"/>
    </row>
    <row r="11314" spans="3:3">
      <c r="C11314"/>
    </row>
    <row r="11315" spans="3:3">
      <c r="C11315"/>
    </row>
    <row r="11316" spans="3:3">
      <c r="C11316"/>
    </row>
    <row r="11317" spans="3:3">
      <c r="C11317"/>
    </row>
    <row r="11318" spans="3:3">
      <c r="C11318"/>
    </row>
    <row r="11319" spans="3:3">
      <c r="C11319"/>
    </row>
    <row r="11320" spans="3:3">
      <c r="C11320"/>
    </row>
    <row r="11321" spans="3:3">
      <c r="C11321"/>
    </row>
    <row r="11322" spans="3:3">
      <c r="C11322"/>
    </row>
    <row r="11323" spans="3:3">
      <c r="C11323"/>
    </row>
    <row r="11324" spans="3:3">
      <c r="C11324"/>
    </row>
    <row r="11325" spans="3:3">
      <c r="C11325"/>
    </row>
    <row r="11326" spans="3:3">
      <c r="C11326"/>
    </row>
    <row r="11327" spans="3:3">
      <c r="C11327"/>
    </row>
    <row r="11328" spans="3:3">
      <c r="C11328"/>
    </row>
    <row r="11329" spans="3:3">
      <c r="C11329"/>
    </row>
    <row r="11330" spans="3:3">
      <c r="C11330"/>
    </row>
    <row r="11331" spans="3:3">
      <c r="C11331"/>
    </row>
    <row r="11332" spans="3:3">
      <c r="C11332"/>
    </row>
    <row r="11333" spans="3:3">
      <c r="C11333"/>
    </row>
    <row r="11334" spans="3:3">
      <c r="C11334"/>
    </row>
    <row r="11335" spans="3:3">
      <c r="C11335"/>
    </row>
    <row r="11336" spans="3:3">
      <c r="C11336"/>
    </row>
    <row r="11337" spans="3:3">
      <c r="C11337"/>
    </row>
    <row r="11338" spans="3:3">
      <c r="C11338"/>
    </row>
    <row r="11339" spans="3:3">
      <c r="C11339"/>
    </row>
    <row r="11340" spans="3:3">
      <c r="C11340"/>
    </row>
    <row r="11341" spans="3:3">
      <c r="C11341"/>
    </row>
    <row r="11342" spans="3:3">
      <c r="C11342"/>
    </row>
    <row r="11343" spans="3:3">
      <c r="C11343"/>
    </row>
    <row r="11344" spans="3:3">
      <c r="C11344"/>
    </row>
    <row r="11345" spans="3:3">
      <c r="C11345"/>
    </row>
    <row r="11346" spans="3:3">
      <c r="C11346"/>
    </row>
    <row r="11347" spans="3:3">
      <c r="C11347"/>
    </row>
    <row r="11348" spans="3:3">
      <c r="C11348"/>
    </row>
    <row r="11349" spans="3:3">
      <c r="C11349"/>
    </row>
    <row r="11350" spans="3:3">
      <c r="C11350"/>
    </row>
    <row r="11351" spans="3:3">
      <c r="C11351"/>
    </row>
    <row r="11352" spans="3:3">
      <c r="C11352"/>
    </row>
    <row r="11353" spans="3:3">
      <c r="C11353"/>
    </row>
    <row r="11354" spans="3:3">
      <c r="C11354"/>
    </row>
    <row r="11355" spans="3:3">
      <c r="C11355"/>
    </row>
    <row r="11356" spans="3:3">
      <c r="C11356"/>
    </row>
    <row r="11357" spans="3:3">
      <c r="C11357"/>
    </row>
    <row r="11358" spans="3:3">
      <c r="C11358"/>
    </row>
    <row r="11359" spans="3:3">
      <c r="C11359"/>
    </row>
    <row r="11360" spans="3:3">
      <c r="C11360"/>
    </row>
    <row r="11361" spans="3:3">
      <c r="C11361"/>
    </row>
    <row r="11362" spans="3:3">
      <c r="C11362"/>
    </row>
    <row r="11363" spans="3:3">
      <c r="C11363"/>
    </row>
    <row r="11364" spans="3:3">
      <c r="C11364"/>
    </row>
    <row r="11365" spans="3:3">
      <c r="C11365"/>
    </row>
    <row r="11366" spans="3:3">
      <c r="C11366"/>
    </row>
    <row r="11367" spans="3:3">
      <c r="C11367"/>
    </row>
    <row r="11368" spans="3:3">
      <c r="C11368"/>
    </row>
    <row r="11369" spans="3:3">
      <c r="C11369"/>
    </row>
    <row r="11370" spans="3:3">
      <c r="C11370"/>
    </row>
    <row r="11371" spans="3:3">
      <c r="C11371"/>
    </row>
    <row r="11372" spans="3:3">
      <c r="C11372"/>
    </row>
    <row r="11373" spans="3:3">
      <c r="C11373"/>
    </row>
    <row r="11374" spans="3:3">
      <c r="C11374"/>
    </row>
    <row r="11375" spans="3:3">
      <c r="C11375"/>
    </row>
    <row r="11376" spans="3:3">
      <c r="C11376"/>
    </row>
    <row r="11377" spans="3:3">
      <c r="C11377"/>
    </row>
    <row r="11378" spans="3:3">
      <c r="C11378"/>
    </row>
    <row r="11379" spans="3:3">
      <c r="C11379"/>
    </row>
    <row r="11380" spans="3:3">
      <c r="C11380"/>
    </row>
    <row r="11381" spans="3:3">
      <c r="C11381"/>
    </row>
    <row r="11382" spans="3:3">
      <c r="C11382"/>
    </row>
    <row r="11383" spans="3:3">
      <c r="C11383"/>
    </row>
    <row r="11384" spans="3:3">
      <c r="C11384"/>
    </row>
    <row r="11385" spans="3:3">
      <c r="C11385"/>
    </row>
    <row r="11386" spans="3:3">
      <c r="C11386"/>
    </row>
    <row r="11387" spans="3:3">
      <c r="C11387"/>
    </row>
    <row r="11388" spans="3:3">
      <c r="C11388"/>
    </row>
    <row r="11389" spans="3:3">
      <c r="C11389"/>
    </row>
    <row r="11390" spans="3:3">
      <c r="C11390"/>
    </row>
    <row r="11391" spans="3:3">
      <c r="C11391"/>
    </row>
    <row r="11392" spans="3:3">
      <c r="C11392"/>
    </row>
    <row r="11393" spans="3:3">
      <c r="C11393"/>
    </row>
    <row r="11394" spans="3:3">
      <c r="C11394"/>
    </row>
    <row r="11395" spans="3:3">
      <c r="C11395"/>
    </row>
    <row r="11396" spans="3:3">
      <c r="C11396"/>
    </row>
    <row r="11397" spans="3:3">
      <c r="C11397"/>
    </row>
    <row r="11398" spans="3:3">
      <c r="C11398"/>
    </row>
    <row r="11399" spans="3:3">
      <c r="C11399"/>
    </row>
    <row r="11400" spans="3:3">
      <c r="C11400"/>
    </row>
    <row r="11401" spans="3:3">
      <c r="C11401"/>
    </row>
    <row r="11402" spans="3:3">
      <c r="C11402"/>
    </row>
    <row r="11403" spans="3:3">
      <c r="C11403"/>
    </row>
    <row r="11404" spans="3:3">
      <c r="C11404"/>
    </row>
    <row r="11405" spans="3:3">
      <c r="C11405"/>
    </row>
    <row r="11406" spans="3:3">
      <c r="C11406"/>
    </row>
    <row r="11407" spans="3:3">
      <c r="C11407"/>
    </row>
    <row r="11408" spans="3:3">
      <c r="C11408"/>
    </row>
    <row r="11409" spans="3:3">
      <c r="C11409"/>
    </row>
    <row r="11410" spans="3:3">
      <c r="C11410"/>
    </row>
    <row r="11411" spans="3:3">
      <c r="C11411"/>
    </row>
    <row r="11412" spans="3:3">
      <c r="C11412"/>
    </row>
    <row r="11413" spans="3:3">
      <c r="C11413"/>
    </row>
    <row r="11414" spans="3:3">
      <c r="C11414"/>
    </row>
    <row r="11415" spans="3:3">
      <c r="C11415"/>
    </row>
    <row r="11416" spans="3:3">
      <c r="C11416"/>
    </row>
    <row r="11417" spans="3:3">
      <c r="C11417"/>
    </row>
    <row r="11418" spans="3:3">
      <c r="C11418"/>
    </row>
    <row r="11419" spans="3:3">
      <c r="C11419"/>
    </row>
    <row r="11420" spans="3:3">
      <c r="C11420"/>
    </row>
    <row r="11421" spans="3:3">
      <c r="C11421"/>
    </row>
    <row r="11422" spans="3:3">
      <c r="C11422"/>
    </row>
    <row r="11423" spans="3:3">
      <c r="C11423"/>
    </row>
    <row r="11424" spans="3:3">
      <c r="C11424"/>
    </row>
    <row r="11425" spans="3:3">
      <c r="C11425"/>
    </row>
    <row r="11426" spans="3:3">
      <c r="C11426"/>
    </row>
    <row r="11427" spans="3:3">
      <c r="C11427"/>
    </row>
    <row r="11428" spans="3:3">
      <c r="C11428"/>
    </row>
    <row r="11429" spans="3:3">
      <c r="C11429"/>
    </row>
    <row r="11430" spans="3:3">
      <c r="C11430"/>
    </row>
    <row r="11431" spans="3:3">
      <c r="C11431"/>
    </row>
    <row r="11432" spans="3:3">
      <c r="C11432"/>
    </row>
    <row r="11433" spans="3:3">
      <c r="C11433"/>
    </row>
    <row r="11434" spans="3:3">
      <c r="C11434"/>
    </row>
    <row r="11435" spans="3:3">
      <c r="C11435"/>
    </row>
    <row r="11436" spans="3:3">
      <c r="C11436"/>
    </row>
    <row r="11437" spans="3:3">
      <c r="C11437"/>
    </row>
    <row r="11438" spans="3:3">
      <c r="C11438"/>
    </row>
    <row r="11439" spans="3:3">
      <c r="C11439"/>
    </row>
    <row r="11440" spans="3:3">
      <c r="C11440"/>
    </row>
    <row r="11441" spans="3:3">
      <c r="C11441"/>
    </row>
    <row r="11442" spans="3:3">
      <c r="C11442"/>
    </row>
    <row r="11443" spans="3:3">
      <c r="C11443"/>
    </row>
    <row r="11444" spans="3:3">
      <c r="C11444"/>
    </row>
    <row r="11445" spans="3:3">
      <c r="C11445"/>
    </row>
    <row r="11446" spans="3:3">
      <c r="C11446"/>
    </row>
    <row r="11447" spans="3:3">
      <c r="C11447"/>
    </row>
    <row r="11448" spans="3:3">
      <c r="C11448"/>
    </row>
    <row r="11449" spans="3:3">
      <c r="C11449"/>
    </row>
    <row r="11450" spans="3:3">
      <c r="C11450"/>
    </row>
    <row r="11451" spans="3:3">
      <c r="C11451"/>
    </row>
    <row r="11452" spans="3:3">
      <c r="C11452"/>
    </row>
    <row r="11453" spans="3:3">
      <c r="C11453"/>
    </row>
    <row r="11454" spans="3:3">
      <c r="C11454"/>
    </row>
    <row r="11455" spans="3:3">
      <c r="C11455"/>
    </row>
    <row r="11456" spans="3:3">
      <c r="C11456"/>
    </row>
    <row r="11457" spans="3:3">
      <c r="C11457"/>
    </row>
    <row r="11458" spans="3:3">
      <c r="C11458"/>
    </row>
    <row r="11459" spans="3:3">
      <c r="C11459"/>
    </row>
    <row r="11460" spans="3:3">
      <c r="C11460"/>
    </row>
    <row r="11461" spans="3:3">
      <c r="C11461"/>
    </row>
    <row r="11462" spans="3:3">
      <c r="C11462"/>
    </row>
    <row r="11463" spans="3:3">
      <c r="C11463"/>
    </row>
    <row r="11464" spans="3:3">
      <c r="C11464"/>
    </row>
    <row r="11465" spans="3:3">
      <c r="C11465"/>
    </row>
    <row r="11466" spans="3:3">
      <c r="C11466"/>
    </row>
    <row r="11467" spans="3:3">
      <c r="C11467"/>
    </row>
    <row r="11468" spans="3:3">
      <c r="C11468"/>
    </row>
    <row r="11469" spans="3:3">
      <c r="C11469"/>
    </row>
    <row r="11470" spans="3:3">
      <c r="C11470"/>
    </row>
    <row r="11471" spans="3:3">
      <c r="C11471"/>
    </row>
    <row r="11472" spans="3:3">
      <c r="C11472"/>
    </row>
    <row r="11473" spans="3:3">
      <c r="C11473"/>
    </row>
    <row r="11474" spans="3:3">
      <c r="C11474"/>
    </row>
    <row r="11475" spans="3:3">
      <c r="C11475"/>
    </row>
    <row r="11476" spans="3:3">
      <c r="C11476"/>
    </row>
    <row r="11477" spans="3:3">
      <c r="C11477"/>
    </row>
    <row r="11478" spans="3:3">
      <c r="C11478"/>
    </row>
    <row r="11479" spans="3:3">
      <c r="C11479"/>
    </row>
    <row r="11480" spans="3:3">
      <c r="C11480"/>
    </row>
    <row r="11481" spans="3:3">
      <c r="C11481"/>
    </row>
    <row r="11482" spans="3:3">
      <c r="C11482"/>
    </row>
    <row r="11483" spans="3:3">
      <c r="C11483"/>
    </row>
    <row r="11484" spans="3:3">
      <c r="C11484"/>
    </row>
    <row r="11485" spans="3:3">
      <c r="C11485"/>
    </row>
    <row r="11486" spans="3:3">
      <c r="C11486"/>
    </row>
    <row r="11487" spans="3:3">
      <c r="C11487"/>
    </row>
    <row r="11488" spans="3:3">
      <c r="C11488"/>
    </row>
    <row r="11489" spans="3:3">
      <c r="C11489"/>
    </row>
    <row r="11490" spans="3:3">
      <c r="C11490"/>
    </row>
    <row r="11491" spans="3:3">
      <c r="C11491"/>
    </row>
    <row r="11492" spans="3:3">
      <c r="C11492"/>
    </row>
    <row r="11493" spans="3:3">
      <c r="C11493"/>
    </row>
    <row r="11494" spans="3:3">
      <c r="C11494"/>
    </row>
    <row r="11495" spans="3:3">
      <c r="C11495"/>
    </row>
    <row r="11496" spans="3:3">
      <c r="C11496"/>
    </row>
    <row r="11497" spans="3:3">
      <c r="C11497"/>
    </row>
    <row r="11498" spans="3:3">
      <c r="C11498"/>
    </row>
    <row r="11499" spans="3:3">
      <c r="C11499"/>
    </row>
    <row r="11500" spans="3:3">
      <c r="C11500"/>
    </row>
    <row r="11501" spans="3:3">
      <c r="C11501"/>
    </row>
    <row r="11502" spans="3:3">
      <c r="C11502"/>
    </row>
    <row r="11503" spans="3:3">
      <c r="C11503"/>
    </row>
    <row r="11504" spans="3:3">
      <c r="C11504"/>
    </row>
    <row r="11505" spans="3:3">
      <c r="C11505"/>
    </row>
    <row r="11506" spans="3:3">
      <c r="C11506"/>
    </row>
    <row r="11507" spans="3:3">
      <c r="C11507"/>
    </row>
    <row r="11508" spans="3:3">
      <c r="C11508"/>
    </row>
    <row r="11509" spans="3:3">
      <c r="C11509"/>
    </row>
    <row r="11510" spans="3:3">
      <c r="C11510"/>
    </row>
    <row r="11511" spans="3:3">
      <c r="C11511"/>
    </row>
    <row r="11512" spans="3:3">
      <c r="C11512"/>
    </row>
    <row r="11513" spans="3:3">
      <c r="C11513"/>
    </row>
    <row r="11514" spans="3:3">
      <c r="C11514"/>
    </row>
    <row r="11515" spans="3:3">
      <c r="C11515"/>
    </row>
    <row r="11516" spans="3:3">
      <c r="C11516"/>
    </row>
    <row r="11517" spans="3:3">
      <c r="C11517"/>
    </row>
    <row r="11518" spans="3:3">
      <c r="C11518"/>
    </row>
    <row r="11519" spans="3:3">
      <c r="C11519"/>
    </row>
    <row r="11520" spans="3:3">
      <c r="C11520"/>
    </row>
    <row r="11521" spans="3:3">
      <c r="C11521"/>
    </row>
    <row r="11522" spans="3:3">
      <c r="C11522"/>
    </row>
    <row r="11523" spans="3:3">
      <c r="C11523"/>
    </row>
    <row r="11524" spans="3:3">
      <c r="C11524"/>
    </row>
    <row r="11525" spans="3:3">
      <c r="C11525"/>
    </row>
    <row r="11526" spans="3:3">
      <c r="C11526"/>
    </row>
    <row r="11527" spans="3:3">
      <c r="C11527"/>
    </row>
    <row r="11528" spans="3:3">
      <c r="C11528"/>
    </row>
    <row r="11529" spans="3:3">
      <c r="C11529"/>
    </row>
    <row r="11530" spans="3:3">
      <c r="C11530"/>
    </row>
    <row r="11531" spans="3:3">
      <c r="C11531"/>
    </row>
    <row r="11532" spans="3:3">
      <c r="C11532"/>
    </row>
    <row r="11533" spans="3:3">
      <c r="C11533"/>
    </row>
    <row r="11534" spans="3:3">
      <c r="C11534"/>
    </row>
    <row r="11535" spans="3:3">
      <c r="C11535"/>
    </row>
    <row r="11536" spans="3:3">
      <c r="C11536"/>
    </row>
    <row r="11537" spans="3:3">
      <c r="C11537"/>
    </row>
    <row r="11538" spans="3:3">
      <c r="C11538"/>
    </row>
    <row r="11539" spans="3:3">
      <c r="C11539"/>
    </row>
    <row r="11540" spans="3:3">
      <c r="C11540"/>
    </row>
    <row r="11541" spans="3:3">
      <c r="C11541"/>
    </row>
    <row r="11542" spans="3:3">
      <c r="C11542"/>
    </row>
    <row r="11543" spans="3:3">
      <c r="C11543"/>
    </row>
    <row r="11544" spans="3:3">
      <c r="C11544"/>
    </row>
    <row r="11545" spans="3:3">
      <c r="C11545"/>
    </row>
    <row r="11546" spans="3:3">
      <c r="C11546"/>
    </row>
    <row r="11547" spans="3:3">
      <c r="C11547"/>
    </row>
    <row r="11548" spans="3:3">
      <c r="C11548"/>
    </row>
    <row r="11549" spans="3:3">
      <c r="C11549"/>
    </row>
    <row r="11550" spans="3:3">
      <c r="C11550"/>
    </row>
    <row r="11551" spans="3:3">
      <c r="C11551"/>
    </row>
    <row r="11552" spans="3:3">
      <c r="C11552"/>
    </row>
    <row r="11553" spans="3:3">
      <c r="C11553"/>
    </row>
    <row r="11554" spans="3:3">
      <c r="C11554"/>
    </row>
    <row r="11555" spans="3:3">
      <c r="C11555"/>
    </row>
    <row r="11556" spans="3:3">
      <c r="C11556"/>
    </row>
    <row r="11557" spans="3:3">
      <c r="C11557"/>
    </row>
    <row r="11558" spans="3:3">
      <c r="C11558"/>
    </row>
    <row r="11559" spans="3:3">
      <c r="C11559"/>
    </row>
    <row r="11560" spans="3:3">
      <c r="C11560"/>
    </row>
    <row r="11561" spans="3:3">
      <c r="C11561"/>
    </row>
    <row r="11562" spans="3:3">
      <c r="C11562"/>
    </row>
    <row r="11563" spans="3:3">
      <c r="C11563"/>
    </row>
    <row r="11564" spans="3:3">
      <c r="C11564"/>
    </row>
    <row r="11565" spans="3:3">
      <c r="C11565"/>
    </row>
    <row r="11566" spans="3:3">
      <c r="C11566"/>
    </row>
    <row r="11567" spans="3:3">
      <c r="C11567"/>
    </row>
    <row r="11568" spans="3:3">
      <c r="C11568"/>
    </row>
    <row r="11569" spans="3:3">
      <c r="C11569"/>
    </row>
    <row r="11570" spans="3:3">
      <c r="C11570"/>
    </row>
    <row r="11571" spans="3:3">
      <c r="C11571"/>
    </row>
    <row r="11572" spans="3:3">
      <c r="C11572"/>
    </row>
    <row r="11573" spans="3:3">
      <c r="C11573"/>
    </row>
    <row r="11574" spans="3:3">
      <c r="C11574"/>
    </row>
    <row r="11575" spans="3:3">
      <c r="C11575"/>
    </row>
    <row r="11576" spans="3:3">
      <c r="C11576"/>
    </row>
    <row r="11577" spans="3:3">
      <c r="C11577"/>
    </row>
    <row r="11578" spans="3:3">
      <c r="C11578"/>
    </row>
    <row r="11579" spans="3:3">
      <c r="C11579"/>
    </row>
    <row r="11580" spans="3:3">
      <c r="C11580"/>
    </row>
    <row r="11581" spans="3:3">
      <c r="C11581"/>
    </row>
    <row r="11582" spans="3:3">
      <c r="C11582"/>
    </row>
    <row r="11583" spans="3:3">
      <c r="C11583"/>
    </row>
    <row r="11584" spans="3:3">
      <c r="C11584"/>
    </row>
    <row r="11585" spans="3:3">
      <c r="C11585"/>
    </row>
    <row r="11586" spans="3:3">
      <c r="C11586"/>
    </row>
    <row r="11587" spans="3:3">
      <c r="C11587"/>
    </row>
    <row r="11588" spans="3:3">
      <c r="C11588"/>
    </row>
    <row r="11589" spans="3:3">
      <c r="C11589"/>
    </row>
    <row r="11590" spans="3:3">
      <c r="C11590"/>
    </row>
    <row r="11591" spans="3:3">
      <c r="C11591"/>
    </row>
    <row r="11592" spans="3:3">
      <c r="C11592"/>
    </row>
    <row r="11593" spans="3:3">
      <c r="C11593"/>
    </row>
    <row r="11594" spans="3:3">
      <c r="C11594"/>
    </row>
    <row r="11595" spans="3:3">
      <c r="C11595"/>
    </row>
    <row r="11596" spans="3:3">
      <c r="C11596"/>
    </row>
    <row r="11597" spans="3:3">
      <c r="C11597"/>
    </row>
    <row r="11598" spans="3:3">
      <c r="C11598"/>
    </row>
    <row r="11599" spans="3:3">
      <c r="C11599"/>
    </row>
    <row r="11600" spans="3:3">
      <c r="C11600"/>
    </row>
    <row r="11601" spans="3:3">
      <c r="C11601"/>
    </row>
    <row r="11602" spans="3:3">
      <c r="C11602"/>
    </row>
    <row r="11603" spans="3:3">
      <c r="C11603"/>
    </row>
    <row r="11604" spans="3:3">
      <c r="C11604"/>
    </row>
    <row r="11605" spans="3:3">
      <c r="C11605"/>
    </row>
    <row r="11606" spans="3:3">
      <c r="C11606"/>
    </row>
    <row r="11607" spans="3:3">
      <c r="C11607"/>
    </row>
    <row r="11608" spans="3:3">
      <c r="C11608"/>
    </row>
    <row r="11609" spans="3:3">
      <c r="C11609"/>
    </row>
    <row r="11610" spans="3:3">
      <c r="C11610"/>
    </row>
    <row r="11611" spans="3:3">
      <c r="C11611"/>
    </row>
    <row r="11612" spans="3:3">
      <c r="C11612"/>
    </row>
    <row r="11613" spans="3:3">
      <c r="C11613"/>
    </row>
    <row r="11614" spans="3:3">
      <c r="C11614"/>
    </row>
    <row r="11615" spans="3:3">
      <c r="C11615"/>
    </row>
    <row r="11616" spans="3:3">
      <c r="C11616"/>
    </row>
    <row r="11617" spans="3:3">
      <c r="C11617"/>
    </row>
    <row r="11618" spans="3:3">
      <c r="C11618"/>
    </row>
    <row r="11619" spans="3:3">
      <c r="C11619"/>
    </row>
    <row r="11620" spans="3:3">
      <c r="C11620"/>
    </row>
    <row r="11621" spans="3:3">
      <c r="C11621"/>
    </row>
    <row r="11622" spans="3:3">
      <c r="C11622"/>
    </row>
    <row r="11623" spans="3:3">
      <c r="C11623"/>
    </row>
    <row r="11624" spans="3:3">
      <c r="C11624"/>
    </row>
    <row r="11625" spans="3:3">
      <c r="C11625"/>
    </row>
    <row r="11626" spans="3:3">
      <c r="C11626"/>
    </row>
    <row r="11627" spans="3:3">
      <c r="C11627"/>
    </row>
    <row r="11628" spans="3:3">
      <c r="C11628"/>
    </row>
    <row r="11629" spans="3:3">
      <c r="C11629"/>
    </row>
    <row r="11630" spans="3:3">
      <c r="C11630"/>
    </row>
    <row r="11631" spans="3:3">
      <c r="C11631"/>
    </row>
    <row r="11632" spans="3:3">
      <c r="C11632"/>
    </row>
    <row r="11633" spans="3:3">
      <c r="C11633"/>
    </row>
    <row r="11634" spans="3:3">
      <c r="C11634"/>
    </row>
    <row r="11635" spans="3:3">
      <c r="C11635"/>
    </row>
    <row r="11636" spans="3:3">
      <c r="C11636"/>
    </row>
    <row r="11637" spans="3:3">
      <c r="C11637"/>
    </row>
    <row r="11638" spans="3:3">
      <c r="C11638"/>
    </row>
    <row r="11639" spans="3:3">
      <c r="C11639"/>
    </row>
    <row r="11640" spans="3:3">
      <c r="C11640"/>
    </row>
    <row r="11641" spans="3:3">
      <c r="C11641"/>
    </row>
    <row r="11642" spans="3:3">
      <c r="C11642"/>
    </row>
    <row r="11643" spans="3:3">
      <c r="C11643"/>
    </row>
    <row r="11644" spans="3:3">
      <c r="C11644"/>
    </row>
    <row r="11645" spans="3:3">
      <c r="C11645"/>
    </row>
    <row r="11646" spans="3:3">
      <c r="C11646"/>
    </row>
    <row r="11647" spans="3:3">
      <c r="C11647"/>
    </row>
    <row r="11648" spans="3:3">
      <c r="C11648"/>
    </row>
    <row r="11649" spans="3:3">
      <c r="C11649"/>
    </row>
    <row r="11650" spans="3:3">
      <c r="C11650"/>
    </row>
    <row r="11651" spans="3:3">
      <c r="C11651"/>
    </row>
    <row r="11652" spans="3:3">
      <c r="C11652"/>
    </row>
    <row r="11653" spans="3:3">
      <c r="C11653"/>
    </row>
    <row r="11654" spans="3:3">
      <c r="C11654"/>
    </row>
    <row r="11655" spans="3:3">
      <c r="C11655"/>
    </row>
    <row r="11656" spans="3:3">
      <c r="C11656"/>
    </row>
    <row r="11657" spans="3:3">
      <c r="C11657"/>
    </row>
    <row r="11658" spans="3:3">
      <c r="C11658"/>
    </row>
    <row r="11659" spans="3:3">
      <c r="C11659"/>
    </row>
    <row r="11660" spans="3:3">
      <c r="C11660"/>
    </row>
    <row r="11661" spans="3:3">
      <c r="C11661"/>
    </row>
    <row r="11662" spans="3:3">
      <c r="C11662"/>
    </row>
    <row r="11663" spans="3:3">
      <c r="C11663"/>
    </row>
    <row r="11664" spans="3:3">
      <c r="C11664"/>
    </row>
    <row r="11665" spans="3:3">
      <c r="C11665"/>
    </row>
    <row r="11666" spans="3:3">
      <c r="C11666"/>
    </row>
    <row r="11667" spans="3:3">
      <c r="C11667"/>
    </row>
    <row r="11668" spans="3:3">
      <c r="C11668"/>
    </row>
    <row r="11669" spans="3:3">
      <c r="C11669"/>
    </row>
    <row r="11670" spans="3:3">
      <c r="C11670"/>
    </row>
    <row r="11671" spans="3:3">
      <c r="C11671"/>
    </row>
    <row r="11672" spans="3:3">
      <c r="C11672"/>
    </row>
    <row r="11673" spans="3:3">
      <c r="C11673"/>
    </row>
    <row r="11674" spans="3:3">
      <c r="C11674"/>
    </row>
    <row r="11675" spans="3:3">
      <c r="C11675"/>
    </row>
    <row r="11676" spans="3:3">
      <c r="C11676"/>
    </row>
    <row r="11677" spans="3:3">
      <c r="C11677"/>
    </row>
    <row r="11678" spans="3:3">
      <c r="C11678"/>
    </row>
    <row r="11679" spans="3:3">
      <c r="C11679"/>
    </row>
    <row r="11680" spans="3:3">
      <c r="C11680"/>
    </row>
    <row r="11681" spans="3:3">
      <c r="C11681"/>
    </row>
    <row r="11682" spans="3:3">
      <c r="C11682"/>
    </row>
    <row r="11683" spans="3:3">
      <c r="C11683"/>
    </row>
    <row r="11684" spans="3:3">
      <c r="C11684"/>
    </row>
    <row r="11685" spans="3:3">
      <c r="C11685"/>
    </row>
    <row r="11686" spans="3:3">
      <c r="C11686"/>
    </row>
    <row r="11687" spans="3:3">
      <c r="C11687"/>
    </row>
    <row r="11688" spans="3:3">
      <c r="C11688"/>
    </row>
    <row r="11689" spans="3:3">
      <c r="C11689"/>
    </row>
    <row r="11690" spans="3:3">
      <c r="C11690"/>
    </row>
    <row r="11691" spans="3:3">
      <c r="C11691"/>
    </row>
    <row r="11692" spans="3:3">
      <c r="C11692"/>
    </row>
    <row r="11693" spans="3:3">
      <c r="C11693"/>
    </row>
    <row r="11694" spans="3:3">
      <c r="C11694"/>
    </row>
    <row r="11695" spans="3:3">
      <c r="C11695"/>
    </row>
    <row r="11696" spans="3:3">
      <c r="C11696"/>
    </row>
    <row r="11697" spans="3:3">
      <c r="C11697"/>
    </row>
    <row r="11698" spans="3:3">
      <c r="C11698"/>
    </row>
    <row r="11699" spans="3:3">
      <c r="C11699"/>
    </row>
    <row r="11700" spans="3:3">
      <c r="C11700"/>
    </row>
    <row r="11701" spans="3:3">
      <c r="C11701"/>
    </row>
    <row r="11702" spans="3:3">
      <c r="C11702"/>
    </row>
    <row r="11703" spans="3:3">
      <c r="C11703"/>
    </row>
    <row r="11704" spans="3:3">
      <c r="C11704"/>
    </row>
    <row r="11705" spans="3:3">
      <c r="C11705"/>
    </row>
    <row r="11706" spans="3:3">
      <c r="C11706"/>
    </row>
    <row r="11707" spans="3:3">
      <c r="C11707"/>
    </row>
    <row r="11708" spans="3:3">
      <c r="C11708"/>
    </row>
    <row r="11709" spans="3:3">
      <c r="C11709"/>
    </row>
    <row r="11710" spans="3:3">
      <c r="C11710"/>
    </row>
    <row r="11711" spans="3:3">
      <c r="C11711"/>
    </row>
    <row r="11712" spans="3:3">
      <c r="C11712"/>
    </row>
    <row r="11713" spans="3:3">
      <c r="C11713"/>
    </row>
    <row r="11714" spans="3:3">
      <c r="C11714"/>
    </row>
    <row r="11715" spans="3:3">
      <c r="C11715"/>
    </row>
    <row r="11716" spans="3:3">
      <c r="C11716"/>
    </row>
    <row r="11717" spans="3:3">
      <c r="C11717"/>
    </row>
    <row r="11718" spans="3:3">
      <c r="C11718"/>
    </row>
    <row r="11719" spans="3:3">
      <c r="C11719"/>
    </row>
    <row r="11720" spans="3:3">
      <c r="C11720"/>
    </row>
    <row r="11721" spans="3:3">
      <c r="C11721"/>
    </row>
    <row r="11722" spans="3:3">
      <c r="C11722"/>
    </row>
    <row r="11723" spans="3:3">
      <c r="C11723"/>
    </row>
    <row r="11724" spans="3:3">
      <c r="C11724"/>
    </row>
    <row r="11725" spans="3:3">
      <c r="C11725"/>
    </row>
    <row r="11726" spans="3:3">
      <c r="C11726"/>
    </row>
    <row r="11727" spans="3:3">
      <c r="C11727"/>
    </row>
    <row r="11728" spans="3:3">
      <c r="C11728"/>
    </row>
    <row r="11729" spans="3:3">
      <c r="C11729"/>
    </row>
    <row r="11730" spans="3:3">
      <c r="C11730"/>
    </row>
    <row r="11731" spans="3:3">
      <c r="C11731"/>
    </row>
    <row r="11732" spans="3:3">
      <c r="C11732"/>
    </row>
    <row r="11733" spans="3:3">
      <c r="C11733"/>
    </row>
    <row r="11734" spans="3:3">
      <c r="C11734"/>
    </row>
    <row r="11735" spans="3:3">
      <c r="C11735"/>
    </row>
    <row r="11736" spans="3:3">
      <c r="C11736"/>
    </row>
    <row r="11737" spans="3:3">
      <c r="C11737"/>
    </row>
    <row r="11738" spans="3:3">
      <c r="C11738"/>
    </row>
    <row r="11739" spans="3:3">
      <c r="C11739"/>
    </row>
    <row r="11740" spans="3:3">
      <c r="C11740"/>
    </row>
    <row r="11741" spans="3:3">
      <c r="C11741"/>
    </row>
    <row r="11742" spans="3:3">
      <c r="C11742"/>
    </row>
    <row r="11743" spans="3:3">
      <c r="C11743"/>
    </row>
    <row r="11744" spans="3:3">
      <c r="C11744"/>
    </row>
    <row r="11745" spans="3:3">
      <c r="C11745"/>
    </row>
    <row r="11746" spans="3:3">
      <c r="C11746"/>
    </row>
    <row r="11747" spans="3:3">
      <c r="C11747"/>
    </row>
    <row r="11748" spans="3:3">
      <c r="C11748"/>
    </row>
    <row r="11749" spans="3:3">
      <c r="C11749"/>
    </row>
    <row r="11750" spans="3:3">
      <c r="C11750"/>
    </row>
    <row r="11751" spans="3:3">
      <c r="C11751"/>
    </row>
    <row r="11752" spans="3:3">
      <c r="C11752"/>
    </row>
    <row r="11753" spans="3:3">
      <c r="C11753"/>
    </row>
    <row r="11754" spans="3:3">
      <c r="C11754"/>
    </row>
    <row r="11755" spans="3:3">
      <c r="C11755"/>
    </row>
    <row r="11756" spans="3:3">
      <c r="C11756"/>
    </row>
    <row r="11757" spans="3:3">
      <c r="C11757"/>
    </row>
    <row r="11758" spans="3:3">
      <c r="C11758"/>
    </row>
    <row r="11759" spans="3:3">
      <c r="C11759"/>
    </row>
    <row r="11760" spans="3:3">
      <c r="C11760"/>
    </row>
    <row r="11761" spans="3:3">
      <c r="C11761"/>
    </row>
    <row r="11762" spans="3:3">
      <c r="C11762"/>
    </row>
    <row r="11763" spans="3:3">
      <c r="C11763"/>
    </row>
    <row r="11764" spans="3:3">
      <c r="C11764"/>
    </row>
    <row r="11765" spans="3:3">
      <c r="C11765"/>
    </row>
    <row r="11766" spans="3:3">
      <c r="C11766"/>
    </row>
    <row r="11767" spans="3:3">
      <c r="C11767"/>
    </row>
    <row r="11768" spans="3:3">
      <c r="C11768"/>
    </row>
    <row r="11769" spans="3:3">
      <c r="C11769"/>
    </row>
    <row r="11770" spans="3:3">
      <c r="C11770"/>
    </row>
    <row r="11771" spans="3:3">
      <c r="C11771"/>
    </row>
    <row r="11772" spans="3:3">
      <c r="C11772"/>
    </row>
    <row r="11773" spans="3:3">
      <c r="C11773"/>
    </row>
    <row r="11774" spans="3:3">
      <c r="C11774"/>
    </row>
    <row r="11775" spans="3:3">
      <c r="C11775"/>
    </row>
    <row r="11776" spans="3:3">
      <c r="C11776"/>
    </row>
    <row r="11777" spans="3:3">
      <c r="C11777"/>
    </row>
    <row r="11778" spans="3:3">
      <c r="C11778"/>
    </row>
    <row r="11779" spans="3:3">
      <c r="C11779"/>
    </row>
    <row r="11780" spans="3:3">
      <c r="C11780"/>
    </row>
    <row r="11781" spans="3:3">
      <c r="C11781"/>
    </row>
    <row r="11782" spans="3:3">
      <c r="C11782"/>
    </row>
    <row r="11783" spans="3:3">
      <c r="C11783"/>
    </row>
    <row r="11784" spans="3:3">
      <c r="C11784"/>
    </row>
    <row r="11785" spans="3:3">
      <c r="C11785"/>
    </row>
    <row r="11786" spans="3:3">
      <c r="C11786"/>
    </row>
    <row r="11787" spans="3:3">
      <c r="C11787"/>
    </row>
    <row r="11788" spans="3:3">
      <c r="C11788"/>
    </row>
    <row r="11789" spans="3:3">
      <c r="C11789"/>
    </row>
    <row r="11790" spans="3:3">
      <c r="C11790"/>
    </row>
    <row r="11791" spans="3:3">
      <c r="C11791"/>
    </row>
    <row r="11792" spans="3:3">
      <c r="C11792"/>
    </row>
    <row r="11793" spans="3:3">
      <c r="C11793"/>
    </row>
    <row r="11794" spans="3:3">
      <c r="C11794"/>
    </row>
    <row r="11795" spans="3:3">
      <c r="C11795"/>
    </row>
    <row r="11796" spans="3:3">
      <c r="C11796"/>
    </row>
    <row r="11797" spans="3:3">
      <c r="C11797"/>
    </row>
    <row r="11798" spans="3:3">
      <c r="C11798"/>
    </row>
    <row r="11799" spans="3:3">
      <c r="C11799"/>
    </row>
    <row r="11800" spans="3:3">
      <c r="C11800"/>
    </row>
    <row r="11801" spans="3:3">
      <c r="C11801"/>
    </row>
    <row r="11802" spans="3:3">
      <c r="C11802"/>
    </row>
    <row r="11803" spans="3:3">
      <c r="C11803"/>
    </row>
    <row r="11804" spans="3:3">
      <c r="C11804"/>
    </row>
    <row r="11805" spans="3:3">
      <c r="C11805"/>
    </row>
    <row r="11806" spans="3:3">
      <c r="C11806"/>
    </row>
    <row r="11807" spans="3:3">
      <c r="C11807"/>
    </row>
    <row r="11808" spans="3:3">
      <c r="C11808"/>
    </row>
    <row r="11809" spans="3:3">
      <c r="C11809"/>
    </row>
    <row r="11810" spans="3:3">
      <c r="C11810"/>
    </row>
    <row r="11811" spans="3:3">
      <c r="C11811"/>
    </row>
    <row r="11812" spans="3:3">
      <c r="C11812"/>
    </row>
    <row r="11813" spans="3:3">
      <c r="C11813"/>
    </row>
    <row r="11814" spans="3:3">
      <c r="C11814"/>
    </row>
    <row r="11815" spans="3:3">
      <c r="C11815"/>
    </row>
    <row r="11816" spans="3:3">
      <c r="C11816"/>
    </row>
    <row r="11817" spans="3:3">
      <c r="C11817"/>
    </row>
    <row r="11818" spans="3:3">
      <c r="C11818"/>
    </row>
    <row r="11819" spans="3:3">
      <c r="C11819"/>
    </row>
    <row r="11820" spans="3:3">
      <c r="C11820"/>
    </row>
    <row r="11821" spans="3:3">
      <c r="C11821"/>
    </row>
    <row r="11822" spans="3:3">
      <c r="C11822"/>
    </row>
    <row r="11823" spans="3:3">
      <c r="C11823"/>
    </row>
    <row r="11824" spans="3:3">
      <c r="C11824"/>
    </row>
    <row r="11825" spans="3:3">
      <c r="C11825"/>
    </row>
    <row r="11826" spans="3:3">
      <c r="C11826"/>
    </row>
    <row r="11827" spans="3:3">
      <c r="C11827"/>
    </row>
    <row r="11828" spans="3:3">
      <c r="C11828"/>
    </row>
    <row r="11829" spans="3:3">
      <c r="C11829"/>
    </row>
    <row r="11830" spans="3:3">
      <c r="C11830"/>
    </row>
    <row r="11831" spans="3:3">
      <c r="C11831"/>
    </row>
    <row r="11832" spans="3:3">
      <c r="C11832"/>
    </row>
    <row r="11833" spans="3:3">
      <c r="C11833"/>
    </row>
    <row r="11834" spans="3:3">
      <c r="C11834"/>
    </row>
    <row r="11835" spans="3:3">
      <c r="C11835"/>
    </row>
    <row r="11836" spans="3:3">
      <c r="C11836"/>
    </row>
    <row r="11837" spans="3:3">
      <c r="C11837"/>
    </row>
    <row r="11838" spans="3:3">
      <c r="C11838"/>
    </row>
    <row r="11839" spans="3:3">
      <c r="C11839"/>
    </row>
    <row r="11840" spans="3:3">
      <c r="C11840"/>
    </row>
    <row r="11841" spans="3:3">
      <c r="C11841"/>
    </row>
    <row r="11842" spans="3:3">
      <c r="C11842"/>
    </row>
    <row r="11843" spans="3:3">
      <c r="C11843"/>
    </row>
    <row r="11844" spans="3:3">
      <c r="C11844"/>
    </row>
    <row r="11845" spans="3:3">
      <c r="C11845"/>
    </row>
    <row r="11846" spans="3:3">
      <c r="C11846"/>
    </row>
    <row r="11847" spans="3:3">
      <c r="C11847"/>
    </row>
    <row r="11848" spans="3:3">
      <c r="C11848"/>
    </row>
    <row r="11849" spans="3:3">
      <c r="C11849"/>
    </row>
    <row r="11850" spans="3:3">
      <c r="C11850"/>
    </row>
    <row r="11851" spans="3:3">
      <c r="C11851"/>
    </row>
    <row r="11852" spans="3:3">
      <c r="C11852"/>
    </row>
    <row r="11853" spans="3:3">
      <c r="C11853"/>
    </row>
    <row r="11854" spans="3:3">
      <c r="C11854"/>
    </row>
    <row r="11855" spans="3:3">
      <c r="C11855"/>
    </row>
    <row r="11856" spans="3:3">
      <c r="C11856"/>
    </row>
    <row r="11857" spans="3:3">
      <c r="C11857"/>
    </row>
    <row r="11858" spans="3:3">
      <c r="C11858"/>
    </row>
    <row r="11859" spans="3:3">
      <c r="C11859"/>
    </row>
    <row r="11860" spans="3:3">
      <c r="C11860"/>
    </row>
    <row r="11861" spans="3:3">
      <c r="C11861"/>
    </row>
    <row r="11862" spans="3:3">
      <c r="C11862"/>
    </row>
    <row r="11863" spans="3:3">
      <c r="C11863"/>
    </row>
    <row r="11864" spans="3:3">
      <c r="C11864"/>
    </row>
    <row r="11865" spans="3:3">
      <c r="C11865"/>
    </row>
    <row r="11866" spans="3:3">
      <c r="C11866"/>
    </row>
    <row r="11867" spans="3:3">
      <c r="C11867"/>
    </row>
    <row r="11868" spans="3:3">
      <c r="C11868"/>
    </row>
    <row r="11869" spans="3:3">
      <c r="C11869"/>
    </row>
    <row r="11870" spans="3:3">
      <c r="C11870"/>
    </row>
    <row r="11871" spans="3:3">
      <c r="C11871"/>
    </row>
    <row r="11872" spans="3:3">
      <c r="C11872"/>
    </row>
    <row r="11873" spans="3:3">
      <c r="C11873"/>
    </row>
    <row r="11874" spans="3:3">
      <c r="C11874"/>
    </row>
    <row r="11875" spans="3:3">
      <c r="C11875"/>
    </row>
    <row r="11876" spans="3:3">
      <c r="C11876"/>
    </row>
    <row r="11877" spans="3:3">
      <c r="C11877"/>
    </row>
    <row r="11878" spans="3:3">
      <c r="C11878"/>
    </row>
    <row r="11879" spans="3:3">
      <c r="C11879"/>
    </row>
    <row r="11880" spans="3:3">
      <c r="C11880"/>
    </row>
    <row r="11881" spans="3:3">
      <c r="C11881"/>
    </row>
    <row r="11882" spans="3:3">
      <c r="C11882"/>
    </row>
    <row r="11883" spans="3:3">
      <c r="C11883"/>
    </row>
    <row r="11884" spans="3:3">
      <c r="C11884"/>
    </row>
    <row r="11885" spans="3:3">
      <c r="C11885"/>
    </row>
    <row r="11886" spans="3:3">
      <c r="C11886"/>
    </row>
    <row r="11887" spans="3:3">
      <c r="C11887"/>
    </row>
    <row r="11888" spans="3:3">
      <c r="C11888"/>
    </row>
    <row r="11889" spans="3:3">
      <c r="C11889"/>
    </row>
    <row r="11890" spans="3:3">
      <c r="C11890"/>
    </row>
    <row r="11891" spans="3:3">
      <c r="C11891"/>
    </row>
    <row r="11892" spans="3:3">
      <c r="C11892"/>
    </row>
    <row r="11893" spans="3:3">
      <c r="C11893"/>
    </row>
    <row r="11894" spans="3:3">
      <c r="C11894"/>
    </row>
    <row r="11895" spans="3:3">
      <c r="C11895"/>
    </row>
    <row r="11896" spans="3:3">
      <c r="C11896"/>
    </row>
    <row r="11897" spans="3:3">
      <c r="C11897"/>
    </row>
    <row r="11898" spans="3:3">
      <c r="C11898"/>
    </row>
    <row r="11899" spans="3:3">
      <c r="C11899"/>
    </row>
    <row r="11900" spans="3:3">
      <c r="C11900"/>
    </row>
    <row r="11901" spans="3:3">
      <c r="C11901"/>
    </row>
    <row r="11902" spans="3:3">
      <c r="C11902"/>
    </row>
    <row r="11903" spans="3:3">
      <c r="C11903"/>
    </row>
    <row r="11904" spans="3:3">
      <c r="C11904"/>
    </row>
    <row r="11905" spans="3:3">
      <c r="C11905"/>
    </row>
    <row r="11906" spans="3:3">
      <c r="C11906"/>
    </row>
    <row r="11907" spans="3:3">
      <c r="C11907"/>
    </row>
    <row r="11908" spans="3:3">
      <c r="C11908"/>
    </row>
    <row r="11909" spans="3:3">
      <c r="C11909"/>
    </row>
    <row r="11910" spans="3:3">
      <c r="C11910"/>
    </row>
    <row r="11911" spans="3:3">
      <c r="C11911"/>
    </row>
    <row r="11912" spans="3:3">
      <c r="C11912"/>
    </row>
    <row r="11913" spans="3:3">
      <c r="C11913"/>
    </row>
    <row r="11914" spans="3:3">
      <c r="C11914"/>
    </row>
    <row r="11915" spans="3:3">
      <c r="C11915"/>
    </row>
    <row r="11916" spans="3:3">
      <c r="C11916"/>
    </row>
    <row r="11917" spans="3:3">
      <c r="C11917"/>
    </row>
    <row r="11918" spans="3:3">
      <c r="C11918"/>
    </row>
    <row r="11919" spans="3:3">
      <c r="C11919"/>
    </row>
    <row r="11920" spans="3:3">
      <c r="C11920"/>
    </row>
    <row r="11921" spans="3:3">
      <c r="C11921"/>
    </row>
    <row r="11922" spans="3:3">
      <c r="C11922"/>
    </row>
    <row r="11923" spans="3:3">
      <c r="C11923"/>
    </row>
    <row r="11924" spans="3:3">
      <c r="C11924"/>
    </row>
    <row r="11925" spans="3:3">
      <c r="C11925"/>
    </row>
    <row r="11926" spans="3:3">
      <c r="C11926"/>
    </row>
    <row r="11927" spans="3:3">
      <c r="C11927"/>
    </row>
    <row r="11928" spans="3:3">
      <c r="C11928"/>
    </row>
    <row r="11929" spans="3:3">
      <c r="C11929"/>
    </row>
    <row r="11930" spans="3:3">
      <c r="C11930"/>
    </row>
    <row r="11931" spans="3:3">
      <c r="C11931"/>
    </row>
    <row r="11932" spans="3:3">
      <c r="C11932"/>
    </row>
    <row r="11933" spans="3:3">
      <c r="C11933"/>
    </row>
    <row r="11934" spans="3:3">
      <c r="C11934"/>
    </row>
    <row r="11935" spans="3:3">
      <c r="C11935"/>
    </row>
    <row r="11936" spans="3:3">
      <c r="C11936"/>
    </row>
    <row r="11937" spans="3:3">
      <c r="C11937"/>
    </row>
    <row r="11938" spans="3:3">
      <c r="C11938"/>
    </row>
    <row r="11939" spans="3:3">
      <c r="C11939"/>
    </row>
    <row r="11940" spans="3:3">
      <c r="C11940"/>
    </row>
    <row r="11941" spans="3:3">
      <c r="C11941"/>
    </row>
    <row r="11942" spans="3:3">
      <c r="C11942"/>
    </row>
    <row r="11943" spans="3:3">
      <c r="C11943"/>
    </row>
    <row r="11944" spans="3:3">
      <c r="C11944"/>
    </row>
    <row r="11945" spans="3:3">
      <c r="C11945"/>
    </row>
    <row r="11946" spans="3:3">
      <c r="C11946"/>
    </row>
    <row r="11947" spans="3:3">
      <c r="C11947"/>
    </row>
    <row r="11948" spans="3:3">
      <c r="C11948"/>
    </row>
    <row r="11949" spans="3:3">
      <c r="C11949"/>
    </row>
    <row r="11950" spans="3:3">
      <c r="C11950"/>
    </row>
    <row r="11951" spans="3:3">
      <c r="C11951"/>
    </row>
    <row r="11952" spans="3:3">
      <c r="C11952"/>
    </row>
    <row r="11953" spans="3:3">
      <c r="C11953"/>
    </row>
    <row r="11954" spans="3:3">
      <c r="C11954"/>
    </row>
    <row r="11955" spans="3:3">
      <c r="C11955"/>
    </row>
    <row r="11956" spans="3:3">
      <c r="C11956"/>
    </row>
    <row r="11957" spans="3:3">
      <c r="C11957"/>
    </row>
    <row r="11958" spans="3:3">
      <c r="C11958"/>
    </row>
    <row r="11959" spans="3:3">
      <c r="C11959"/>
    </row>
    <row r="11960" spans="3:3">
      <c r="C11960"/>
    </row>
    <row r="11961" spans="3:3">
      <c r="C11961"/>
    </row>
    <row r="11962" spans="3:3">
      <c r="C11962"/>
    </row>
    <row r="11963" spans="3:3">
      <c r="C11963"/>
    </row>
    <row r="11964" spans="3:3">
      <c r="C11964"/>
    </row>
    <row r="11965" spans="3:3">
      <c r="C11965"/>
    </row>
    <row r="11966" spans="3:3">
      <c r="C11966"/>
    </row>
    <row r="11967" spans="3:3">
      <c r="C11967"/>
    </row>
    <row r="11968" spans="3:3">
      <c r="C11968"/>
    </row>
    <row r="11969" spans="3:3">
      <c r="C11969"/>
    </row>
    <row r="11970" spans="3:3">
      <c r="C11970"/>
    </row>
    <row r="11971" spans="3:3">
      <c r="C11971"/>
    </row>
    <row r="11972" spans="3:3">
      <c r="C11972"/>
    </row>
    <row r="11973" spans="3:3">
      <c r="C11973"/>
    </row>
    <row r="11974" spans="3:3">
      <c r="C11974"/>
    </row>
    <row r="11975" spans="3:3">
      <c r="C11975"/>
    </row>
    <row r="11976" spans="3:3">
      <c r="C11976"/>
    </row>
    <row r="11977" spans="3:3">
      <c r="C11977"/>
    </row>
    <row r="11978" spans="3:3">
      <c r="C11978"/>
    </row>
    <row r="11979" spans="3:3">
      <c r="C11979"/>
    </row>
    <row r="11980" spans="3:3">
      <c r="C11980"/>
    </row>
    <row r="11981" spans="3:3">
      <c r="C11981"/>
    </row>
    <row r="11982" spans="3:3">
      <c r="C11982"/>
    </row>
    <row r="11983" spans="3:3">
      <c r="C11983"/>
    </row>
    <row r="11984" spans="3:3">
      <c r="C11984"/>
    </row>
    <row r="11985" spans="3:3">
      <c r="C11985"/>
    </row>
    <row r="11986" spans="3:3">
      <c r="C11986"/>
    </row>
    <row r="11987" spans="3:3">
      <c r="C11987"/>
    </row>
    <row r="11988" spans="3:3">
      <c r="C11988"/>
    </row>
    <row r="11989" spans="3:3">
      <c r="C11989"/>
    </row>
    <row r="11990" spans="3:3">
      <c r="C11990"/>
    </row>
    <row r="11991" spans="3:3">
      <c r="C11991"/>
    </row>
    <row r="11992" spans="3:3">
      <c r="C11992"/>
    </row>
    <row r="11993" spans="3:3">
      <c r="C11993"/>
    </row>
    <row r="11994" spans="3:3">
      <c r="C11994"/>
    </row>
    <row r="11995" spans="3:3">
      <c r="C11995"/>
    </row>
    <row r="11996" spans="3:3">
      <c r="C11996"/>
    </row>
    <row r="11997" spans="3:3">
      <c r="C11997"/>
    </row>
    <row r="11998" spans="3:3">
      <c r="C11998"/>
    </row>
    <row r="11999" spans="3:3">
      <c r="C11999"/>
    </row>
    <row r="12000" spans="3:3">
      <c r="C12000"/>
    </row>
    <row r="12001" spans="3:3">
      <c r="C12001"/>
    </row>
    <row r="12002" spans="3:3">
      <c r="C12002"/>
    </row>
    <row r="12003" spans="3:3">
      <c r="C12003"/>
    </row>
    <row r="12004" spans="3:3">
      <c r="C12004"/>
    </row>
    <row r="12005" spans="3:3">
      <c r="C12005"/>
    </row>
    <row r="12006" spans="3:3">
      <c r="C12006"/>
    </row>
    <row r="12007" spans="3:3">
      <c r="C12007"/>
    </row>
    <row r="12008" spans="3:3">
      <c r="C12008"/>
    </row>
    <row r="12009" spans="3:3">
      <c r="C12009"/>
    </row>
    <row r="12010" spans="3:3">
      <c r="C12010"/>
    </row>
    <row r="12011" spans="3:3">
      <c r="C12011"/>
    </row>
    <row r="12012" spans="3:3">
      <c r="C12012"/>
    </row>
    <row r="12013" spans="3:3">
      <c r="C12013"/>
    </row>
    <row r="12014" spans="3:3">
      <c r="C12014"/>
    </row>
    <row r="12015" spans="3:3">
      <c r="C12015"/>
    </row>
    <row r="12016" spans="3:3">
      <c r="C12016"/>
    </row>
    <row r="12017" spans="3:3">
      <c r="C12017"/>
    </row>
    <row r="12018" spans="3:3">
      <c r="C12018"/>
    </row>
    <row r="12019" spans="3:3">
      <c r="C12019"/>
    </row>
    <row r="12020" spans="3:3">
      <c r="C12020"/>
    </row>
    <row r="12021" spans="3:3">
      <c r="C12021"/>
    </row>
    <row r="12022" spans="3:3">
      <c r="C12022"/>
    </row>
    <row r="12023" spans="3:3">
      <c r="C12023"/>
    </row>
    <row r="12024" spans="3:3">
      <c r="C12024"/>
    </row>
    <row r="12025" spans="3:3">
      <c r="C12025"/>
    </row>
    <row r="12026" spans="3:3">
      <c r="C12026"/>
    </row>
    <row r="12027" spans="3:3">
      <c r="C12027"/>
    </row>
    <row r="12028" spans="3:3">
      <c r="C12028"/>
    </row>
    <row r="12029" spans="3:3">
      <c r="C12029"/>
    </row>
    <row r="12030" spans="3:3">
      <c r="C12030"/>
    </row>
    <row r="12031" spans="3:3">
      <c r="C12031"/>
    </row>
    <row r="12032" spans="3:3">
      <c r="C12032"/>
    </row>
    <row r="12033" spans="3:3">
      <c r="C12033"/>
    </row>
    <row r="12034" spans="3:3">
      <c r="C12034"/>
    </row>
    <row r="12035" spans="3:3">
      <c r="C12035"/>
    </row>
    <row r="12036" spans="3:3">
      <c r="C12036"/>
    </row>
    <row r="12037" spans="3:3">
      <c r="C12037"/>
    </row>
    <row r="12038" spans="3:3">
      <c r="C12038"/>
    </row>
    <row r="12039" spans="3:3">
      <c r="C12039"/>
    </row>
    <row r="12040" spans="3:3">
      <c r="C12040"/>
    </row>
    <row r="12041" spans="3:3">
      <c r="C12041"/>
    </row>
    <row r="12042" spans="3:3">
      <c r="C12042"/>
    </row>
    <row r="12043" spans="3:3">
      <c r="C12043"/>
    </row>
    <row r="12044" spans="3:3">
      <c r="C12044"/>
    </row>
    <row r="12045" spans="3:3">
      <c r="C12045"/>
    </row>
    <row r="12046" spans="3:3">
      <c r="C12046"/>
    </row>
    <row r="12047" spans="3:3">
      <c r="C12047"/>
    </row>
    <row r="12048" spans="3:3">
      <c r="C12048"/>
    </row>
    <row r="12049" spans="3:3">
      <c r="C12049"/>
    </row>
    <row r="12050" spans="3:3">
      <c r="C12050"/>
    </row>
    <row r="12051" spans="3:3">
      <c r="C12051"/>
    </row>
    <row r="12052" spans="3:3">
      <c r="C12052"/>
    </row>
    <row r="12053" spans="3:3">
      <c r="C12053"/>
    </row>
    <row r="12054" spans="3:3">
      <c r="C12054"/>
    </row>
    <row r="12055" spans="3:3">
      <c r="C12055"/>
    </row>
    <row r="12056" spans="3:3">
      <c r="C12056"/>
    </row>
    <row r="12057" spans="3:3">
      <c r="C12057"/>
    </row>
    <row r="12058" spans="3:3">
      <c r="C12058"/>
    </row>
    <row r="12059" spans="3:3">
      <c r="C12059"/>
    </row>
    <row r="12060" spans="3:3">
      <c r="C12060"/>
    </row>
    <row r="12061" spans="3:3">
      <c r="C12061"/>
    </row>
    <row r="12062" spans="3:3">
      <c r="C12062"/>
    </row>
    <row r="12063" spans="3:3">
      <c r="C12063"/>
    </row>
    <row r="12064" spans="3:3">
      <c r="C12064"/>
    </row>
    <row r="12065" spans="3:3">
      <c r="C12065"/>
    </row>
    <row r="12066" spans="3:3">
      <c r="C12066"/>
    </row>
    <row r="12067" spans="3:3">
      <c r="C12067"/>
    </row>
    <row r="12068" spans="3:3">
      <c r="C12068"/>
    </row>
    <row r="12069" spans="3:3">
      <c r="C12069"/>
    </row>
    <row r="12070" spans="3:3">
      <c r="C12070"/>
    </row>
    <row r="12071" spans="3:3">
      <c r="C12071"/>
    </row>
    <row r="12072" spans="3:3">
      <c r="C12072"/>
    </row>
    <row r="12073" spans="3:3">
      <c r="C12073"/>
    </row>
    <row r="12074" spans="3:3">
      <c r="C12074"/>
    </row>
    <row r="12075" spans="3:3">
      <c r="C12075"/>
    </row>
    <row r="12076" spans="3:3">
      <c r="C12076"/>
    </row>
    <row r="12077" spans="3:3">
      <c r="C12077"/>
    </row>
    <row r="12078" spans="3:3">
      <c r="C12078"/>
    </row>
    <row r="12079" spans="3:3">
      <c r="C12079"/>
    </row>
    <row r="12080" spans="3:3">
      <c r="C12080"/>
    </row>
    <row r="12081" spans="3:3">
      <c r="C12081"/>
    </row>
    <row r="12082" spans="3:3">
      <c r="C12082"/>
    </row>
    <row r="12083" spans="3:3">
      <c r="C12083"/>
    </row>
    <row r="12084" spans="3:3">
      <c r="C12084"/>
    </row>
    <row r="12085" spans="3:3">
      <c r="C12085"/>
    </row>
    <row r="12086" spans="3:3">
      <c r="C12086"/>
    </row>
    <row r="12087" spans="3:3">
      <c r="C12087"/>
    </row>
    <row r="12088" spans="3:3">
      <c r="C12088"/>
    </row>
    <row r="12089" spans="3:3">
      <c r="C12089"/>
    </row>
    <row r="12090" spans="3:3">
      <c r="C12090"/>
    </row>
    <row r="12091" spans="3:3">
      <c r="C12091"/>
    </row>
    <row r="12092" spans="3:3">
      <c r="C12092"/>
    </row>
    <row r="12093" spans="3:3">
      <c r="C12093"/>
    </row>
    <row r="12094" spans="3:3">
      <c r="C12094"/>
    </row>
    <row r="12095" spans="3:3">
      <c r="C12095"/>
    </row>
    <row r="12096" spans="3:3">
      <c r="C12096"/>
    </row>
    <row r="12097" spans="3:3">
      <c r="C12097"/>
    </row>
    <row r="12098" spans="3:3">
      <c r="C12098"/>
    </row>
    <row r="12099" spans="3:3">
      <c r="C12099"/>
    </row>
    <row r="12100" spans="3:3">
      <c r="C12100"/>
    </row>
    <row r="12101" spans="3:3">
      <c r="C12101"/>
    </row>
    <row r="12102" spans="3:3">
      <c r="C12102"/>
    </row>
    <row r="12103" spans="3:3">
      <c r="C12103"/>
    </row>
    <row r="12104" spans="3:3">
      <c r="C12104"/>
    </row>
    <row r="12105" spans="3:3">
      <c r="C12105"/>
    </row>
    <row r="12106" spans="3:3">
      <c r="C12106"/>
    </row>
    <row r="12107" spans="3:3">
      <c r="C12107"/>
    </row>
    <row r="12108" spans="3:3">
      <c r="C12108"/>
    </row>
    <row r="12109" spans="3:3">
      <c r="C12109"/>
    </row>
    <row r="12110" spans="3:3">
      <c r="C12110"/>
    </row>
    <row r="12111" spans="3:3">
      <c r="C12111"/>
    </row>
    <row r="12112" spans="3:3">
      <c r="C12112"/>
    </row>
    <row r="12113" spans="3:3">
      <c r="C12113"/>
    </row>
    <row r="12114" spans="3:3">
      <c r="C12114"/>
    </row>
    <row r="12115" spans="3:3">
      <c r="C12115"/>
    </row>
    <row r="12116" spans="3:3">
      <c r="C12116"/>
    </row>
    <row r="12117" spans="3:3">
      <c r="C12117"/>
    </row>
    <row r="12118" spans="3:3">
      <c r="C12118"/>
    </row>
    <row r="12119" spans="3:3">
      <c r="C12119"/>
    </row>
    <row r="12120" spans="3:3">
      <c r="C12120"/>
    </row>
    <row r="12121" spans="3:3">
      <c r="C12121"/>
    </row>
    <row r="12122" spans="3:3">
      <c r="C12122"/>
    </row>
    <row r="12123" spans="3:3">
      <c r="C12123"/>
    </row>
    <row r="12124" spans="3:3">
      <c r="C12124"/>
    </row>
    <row r="12125" spans="3:3">
      <c r="C12125"/>
    </row>
    <row r="12126" spans="3:3">
      <c r="C12126"/>
    </row>
    <row r="12127" spans="3:3">
      <c r="C12127"/>
    </row>
    <row r="12128" spans="3:3">
      <c r="C12128"/>
    </row>
    <row r="12129" spans="3:3">
      <c r="C12129"/>
    </row>
    <row r="12130" spans="3:3">
      <c r="C12130"/>
    </row>
    <row r="12131" spans="3:3">
      <c r="C12131"/>
    </row>
    <row r="12132" spans="3:3">
      <c r="C12132"/>
    </row>
    <row r="12133" spans="3:3">
      <c r="C12133"/>
    </row>
    <row r="12134" spans="3:3">
      <c r="C12134"/>
    </row>
    <row r="12135" spans="3:3">
      <c r="C12135"/>
    </row>
    <row r="12136" spans="3:3">
      <c r="C12136"/>
    </row>
    <row r="12137" spans="3:3">
      <c r="C12137"/>
    </row>
    <row r="12138" spans="3:3">
      <c r="C12138"/>
    </row>
    <row r="12139" spans="3:3">
      <c r="C12139"/>
    </row>
    <row r="12140" spans="3:3">
      <c r="C12140"/>
    </row>
    <row r="12141" spans="3:3">
      <c r="C12141"/>
    </row>
    <row r="12142" spans="3:3">
      <c r="C12142"/>
    </row>
    <row r="12143" spans="3:3">
      <c r="C12143"/>
    </row>
    <row r="12144" spans="3:3">
      <c r="C12144"/>
    </row>
    <row r="12145" spans="3:3">
      <c r="C12145"/>
    </row>
    <row r="12146" spans="3:3">
      <c r="C12146"/>
    </row>
    <row r="12147" spans="3:3">
      <c r="C12147"/>
    </row>
    <row r="12148" spans="3:3">
      <c r="C12148"/>
    </row>
    <row r="12149" spans="3:3">
      <c r="C12149"/>
    </row>
    <row r="12150" spans="3:3">
      <c r="C12150"/>
    </row>
    <row r="12151" spans="3:3">
      <c r="C12151"/>
    </row>
    <row r="12152" spans="3:3">
      <c r="C12152"/>
    </row>
    <row r="12153" spans="3:3">
      <c r="C12153"/>
    </row>
    <row r="12154" spans="3:3">
      <c r="C12154"/>
    </row>
    <row r="12155" spans="3:3">
      <c r="C12155"/>
    </row>
    <row r="12156" spans="3:3">
      <c r="C12156"/>
    </row>
    <row r="12157" spans="3:3">
      <c r="C12157"/>
    </row>
    <row r="12158" spans="3:3">
      <c r="C12158"/>
    </row>
    <row r="12159" spans="3:3">
      <c r="C12159"/>
    </row>
    <row r="12160" spans="3:3">
      <c r="C12160"/>
    </row>
    <row r="12161" spans="3:3">
      <c r="C12161"/>
    </row>
    <row r="12162" spans="3:3">
      <c r="C12162"/>
    </row>
    <row r="12163" spans="3:3">
      <c r="C12163"/>
    </row>
    <row r="12164" spans="3:3">
      <c r="C12164"/>
    </row>
    <row r="12165" spans="3:3">
      <c r="C12165"/>
    </row>
    <row r="12166" spans="3:3">
      <c r="C12166"/>
    </row>
    <row r="12167" spans="3:3">
      <c r="C12167"/>
    </row>
    <row r="12168" spans="3:3">
      <c r="C12168"/>
    </row>
    <row r="12169" spans="3:3">
      <c r="C12169"/>
    </row>
    <row r="12170" spans="3:3">
      <c r="C12170"/>
    </row>
    <row r="12171" spans="3:3">
      <c r="C12171"/>
    </row>
    <row r="12172" spans="3:3">
      <c r="C12172"/>
    </row>
    <row r="12173" spans="3:3">
      <c r="C12173"/>
    </row>
    <row r="12174" spans="3:3">
      <c r="C12174"/>
    </row>
    <row r="12175" spans="3:3">
      <c r="C12175"/>
    </row>
    <row r="12176" spans="3:3">
      <c r="C12176"/>
    </row>
    <row r="12177" spans="3:3">
      <c r="C12177"/>
    </row>
    <row r="12178" spans="3:3">
      <c r="C12178"/>
    </row>
    <row r="12179" spans="3:3">
      <c r="C12179"/>
    </row>
    <row r="12180" spans="3:3">
      <c r="C12180"/>
    </row>
    <row r="12181" spans="3:3">
      <c r="C12181"/>
    </row>
    <row r="12182" spans="3:3">
      <c r="C12182"/>
    </row>
    <row r="12183" spans="3:3">
      <c r="C12183"/>
    </row>
    <row r="12184" spans="3:3">
      <c r="C12184"/>
    </row>
    <row r="12185" spans="3:3">
      <c r="C12185"/>
    </row>
    <row r="12186" spans="3:3">
      <c r="C12186"/>
    </row>
    <row r="12187" spans="3:3">
      <c r="C12187"/>
    </row>
    <row r="12188" spans="3:3">
      <c r="C12188"/>
    </row>
    <row r="12189" spans="3:3">
      <c r="C12189"/>
    </row>
    <row r="12190" spans="3:3">
      <c r="C12190"/>
    </row>
    <row r="12191" spans="3:3">
      <c r="C12191"/>
    </row>
    <row r="12192" spans="3:3">
      <c r="C12192"/>
    </row>
    <row r="12193" spans="3:3">
      <c r="C12193"/>
    </row>
    <row r="12194" spans="3:3">
      <c r="C12194"/>
    </row>
    <row r="12195" spans="3:3">
      <c r="C12195"/>
    </row>
    <row r="12196" spans="3:3">
      <c r="C12196"/>
    </row>
    <row r="12197" spans="3:3">
      <c r="C12197"/>
    </row>
    <row r="12198" spans="3:3">
      <c r="C12198"/>
    </row>
    <row r="12199" spans="3:3">
      <c r="C12199"/>
    </row>
    <row r="12200" spans="3:3">
      <c r="C12200"/>
    </row>
    <row r="12201" spans="3:3">
      <c r="C12201"/>
    </row>
    <row r="12202" spans="3:3">
      <c r="C12202"/>
    </row>
    <row r="12203" spans="3:3">
      <c r="C12203"/>
    </row>
    <row r="12204" spans="3:3">
      <c r="C12204"/>
    </row>
    <row r="12205" spans="3:3">
      <c r="C12205"/>
    </row>
    <row r="12206" spans="3:3">
      <c r="C12206"/>
    </row>
    <row r="12207" spans="3:3">
      <c r="C12207"/>
    </row>
    <row r="12208" spans="3:3">
      <c r="C12208"/>
    </row>
    <row r="12209" spans="3:3">
      <c r="C12209"/>
    </row>
    <row r="12210" spans="3:3">
      <c r="C12210"/>
    </row>
    <row r="12211" spans="3:3">
      <c r="C12211"/>
    </row>
    <row r="12212" spans="3:3">
      <c r="C12212"/>
    </row>
    <row r="12213" spans="3:3">
      <c r="C12213"/>
    </row>
    <row r="12214" spans="3:3">
      <c r="C12214"/>
    </row>
    <row r="12215" spans="3:3">
      <c r="C12215"/>
    </row>
    <row r="12216" spans="3:3">
      <c r="C12216"/>
    </row>
    <row r="12217" spans="3:3">
      <c r="C12217"/>
    </row>
    <row r="12218" spans="3:3">
      <c r="C12218"/>
    </row>
    <row r="12219" spans="3:3">
      <c r="C12219"/>
    </row>
    <row r="12220" spans="3:3">
      <c r="C12220"/>
    </row>
    <row r="12221" spans="3:3">
      <c r="C12221"/>
    </row>
    <row r="12222" spans="3:3">
      <c r="C12222"/>
    </row>
    <row r="12223" spans="3:3">
      <c r="C12223"/>
    </row>
    <row r="12224" spans="3:3">
      <c r="C12224"/>
    </row>
    <row r="12225" spans="3:3">
      <c r="C12225"/>
    </row>
    <row r="12226" spans="3:3">
      <c r="C12226"/>
    </row>
    <row r="12227" spans="3:3">
      <c r="C12227"/>
    </row>
    <row r="12228" spans="3:3">
      <c r="C12228"/>
    </row>
    <row r="12229" spans="3:3">
      <c r="C12229"/>
    </row>
    <row r="12230" spans="3:3">
      <c r="C12230"/>
    </row>
    <row r="12231" spans="3:3">
      <c r="C12231"/>
    </row>
    <row r="12232" spans="3:3">
      <c r="C12232"/>
    </row>
    <row r="12233" spans="3:3">
      <c r="C12233"/>
    </row>
    <row r="12234" spans="3:3">
      <c r="C12234"/>
    </row>
    <row r="12235" spans="3:3">
      <c r="C12235"/>
    </row>
    <row r="12236" spans="3:3">
      <c r="C12236"/>
    </row>
    <row r="12237" spans="3:3">
      <c r="C12237"/>
    </row>
    <row r="12238" spans="3:3">
      <c r="C12238"/>
    </row>
    <row r="12239" spans="3:3">
      <c r="C12239"/>
    </row>
    <row r="12240" spans="3:3">
      <c r="C12240"/>
    </row>
    <row r="12241" spans="3:3">
      <c r="C12241"/>
    </row>
    <row r="12242" spans="3:3">
      <c r="C12242"/>
    </row>
    <row r="12243" spans="3:3">
      <c r="C12243"/>
    </row>
    <row r="12244" spans="3:3">
      <c r="C12244"/>
    </row>
    <row r="12245" spans="3:3">
      <c r="C12245"/>
    </row>
    <row r="12246" spans="3:3">
      <c r="C12246"/>
    </row>
    <row r="12247" spans="3:3">
      <c r="C12247"/>
    </row>
    <row r="12248" spans="3:3">
      <c r="C12248"/>
    </row>
    <row r="12249" spans="3:3">
      <c r="C12249"/>
    </row>
    <row r="12250" spans="3:3">
      <c r="C12250"/>
    </row>
    <row r="12251" spans="3:3">
      <c r="C12251"/>
    </row>
    <row r="12252" spans="3:3">
      <c r="C12252"/>
    </row>
    <row r="12253" spans="3:3">
      <c r="C12253"/>
    </row>
    <row r="12254" spans="3:3">
      <c r="C12254"/>
    </row>
    <row r="12255" spans="3:3">
      <c r="C12255"/>
    </row>
    <row r="12256" spans="3:3">
      <c r="C12256"/>
    </row>
    <row r="12257" spans="3:3">
      <c r="C12257"/>
    </row>
    <row r="12258" spans="3:3">
      <c r="C12258"/>
    </row>
    <row r="12259" spans="3:3">
      <c r="C12259"/>
    </row>
    <row r="12260" spans="3:3">
      <c r="C12260"/>
    </row>
    <row r="12261" spans="3:3">
      <c r="C12261"/>
    </row>
    <row r="12262" spans="3:3">
      <c r="C12262"/>
    </row>
    <row r="12263" spans="3:3">
      <c r="C12263"/>
    </row>
    <row r="12264" spans="3:3">
      <c r="C12264"/>
    </row>
    <row r="12265" spans="3:3">
      <c r="C12265"/>
    </row>
    <row r="12266" spans="3:3">
      <c r="C12266"/>
    </row>
    <row r="12267" spans="3:3">
      <c r="C12267"/>
    </row>
    <row r="12268" spans="3:3">
      <c r="C12268"/>
    </row>
    <row r="12269" spans="3:3">
      <c r="C12269"/>
    </row>
    <row r="12270" spans="3:3">
      <c r="C12270"/>
    </row>
    <row r="12271" spans="3:3">
      <c r="C12271"/>
    </row>
    <row r="12272" spans="3:3">
      <c r="C12272"/>
    </row>
    <row r="12273" spans="3:3">
      <c r="C12273"/>
    </row>
    <row r="12274" spans="3:3">
      <c r="C12274"/>
    </row>
    <row r="12275" spans="3:3">
      <c r="C12275"/>
    </row>
    <row r="12276" spans="3:3">
      <c r="C12276"/>
    </row>
    <row r="12277" spans="3:3">
      <c r="C12277"/>
    </row>
    <row r="12278" spans="3:3">
      <c r="C12278"/>
    </row>
    <row r="12279" spans="3:3">
      <c r="C12279"/>
    </row>
    <row r="12280" spans="3:3">
      <c r="C12280"/>
    </row>
    <row r="12281" spans="3:3">
      <c r="C12281"/>
    </row>
    <row r="12282" spans="3:3">
      <c r="C12282"/>
    </row>
    <row r="12283" spans="3:3">
      <c r="C12283"/>
    </row>
    <row r="12284" spans="3:3">
      <c r="C12284"/>
    </row>
    <row r="12285" spans="3:3">
      <c r="C12285"/>
    </row>
    <row r="12286" spans="3:3">
      <c r="C12286"/>
    </row>
    <row r="12287" spans="3:3">
      <c r="C12287"/>
    </row>
    <row r="12288" spans="3:3">
      <c r="C12288"/>
    </row>
    <row r="12289" spans="3:3">
      <c r="C12289"/>
    </row>
    <row r="12290" spans="3:3">
      <c r="C12290"/>
    </row>
    <row r="12291" spans="3:3">
      <c r="C12291"/>
    </row>
    <row r="12292" spans="3:3">
      <c r="C12292"/>
    </row>
    <row r="12293" spans="3:3">
      <c r="C12293"/>
    </row>
    <row r="12294" spans="3:3">
      <c r="C12294"/>
    </row>
    <row r="12295" spans="3:3">
      <c r="C12295"/>
    </row>
    <row r="12296" spans="3:3">
      <c r="C12296"/>
    </row>
    <row r="12297" spans="3:3">
      <c r="C12297"/>
    </row>
    <row r="12298" spans="3:3">
      <c r="C12298"/>
    </row>
    <row r="12299" spans="3:3">
      <c r="C12299"/>
    </row>
    <row r="12300" spans="3:3">
      <c r="C12300"/>
    </row>
    <row r="12301" spans="3:3">
      <c r="C12301"/>
    </row>
    <row r="12302" spans="3:3">
      <c r="C12302"/>
    </row>
    <row r="12303" spans="3:3">
      <c r="C12303"/>
    </row>
    <row r="12304" spans="3:3">
      <c r="C12304"/>
    </row>
    <row r="12305" spans="3:3">
      <c r="C12305"/>
    </row>
    <row r="12306" spans="3:3">
      <c r="C12306"/>
    </row>
    <row r="12307" spans="3:3">
      <c r="C12307"/>
    </row>
    <row r="12308" spans="3:3">
      <c r="C12308"/>
    </row>
    <row r="12309" spans="3:3">
      <c r="C12309"/>
    </row>
    <row r="12310" spans="3:3">
      <c r="C12310"/>
    </row>
    <row r="12311" spans="3:3">
      <c r="C12311"/>
    </row>
    <row r="12312" spans="3:3">
      <c r="C12312"/>
    </row>
    <row r="12313" spans="3:3">
      <c r="C12313"/>
    </row>
    <row r="12314" spans="3:3">
      <c r="C12314"/>
    </row>
    <row r="12315" spans="3:3">
      <c r="C12315"/>
    </row>
    <row r="12316" spans="3:3">
      <c r="C12316"/>
    </row>
    <row r="12317" spans="3:3">
      <c r="C12317"/>
    </row>
    <row r="12318" spans="3:3">
      <c r="C12318"/>
    </row>
    <row r="12319" spans="3:3">
      <c r="C12319"/>
    </row>
    <row r="12320" spans="3:3">
      <c r="C12320"/>
    </row>
    <row r="12321" spans="3:3">
      <c r="C12321"/>
    </row>
    <row r="12322" spans="3:3">
      <c r="C12322"/>
    </row>
    <row r="12323" spans="3:3">
      <c r="C12323"/>
    </row>
    <row r="12324" spans="3:3">
      <c r="C12324"/>
    </row>
    <row r="12325" spans="3:3">
      <c r="C12325"/>
    </row>
    <row r="12326" spans="3:3">
      <c r="C12326"/>
    </row>
    <row r="12327" spans="3:3">
      <c r="C12327"/>
    </row>
    <row r="12328" spans="3:3">
      <c r="C12328"/>
    </row>
    <row r="12329" spans="3:3">
      <c r="C12329"/>
    </row>
    <row r="12330" spans="3:3">
      <c r="C12330"/>
    </row>
    <row r="12331" spans="3:3">
      <c r="C12331"/>
    </row>
    <row r="12332" spans="3:3">
      <c r="C12332"/>
    </row>
    <row r="12333" spans="3:3">
      <c r="C12333"/>
    </row>
    <row r="12334" spans="3:3">
      <c r="C12334"/>
    </row>
    <row r="12335" spans="3:3">
      <c r="C12335"/>
    </row>
    <row r="12336" spans="3:3">
      <c r="C12336"/>
    </row>
    <row r="12337" spans="3:3">
      <c r="C12337"/>
    </row>
    <row r="12338" spans="3:3">
      <c r="C12338"/>
    </row>
    <row r="12339" spans="3:3">
      <c r="C12339"/>
    </row>
    <row r="12340" spans="3:3">
      <c r="C12340"/>
    </row>
    <row r="12341" spans="3:3">
      <c r="C12341"/>
    </row>
    <row r="12342" spans="3:3">
      <c r="C12342"/>
    </row>
    <row r="12343" spans="3:3">
      <c r="C12343"/>
    </row>
    <row r="12344" spans="3:3">
      <c r="C12344"/>
    </row>
    <row r="12345" spans="3:3">
      <c r="C12345"/>
    </row>
    <row r="12346" spans="3:3">
      <c r="C12346"/>
    </row>
    <row r="12347" spans="3:3">
      <c r="C12347"/>
    </row>
    <row r="12348" spans="3:3">
      <c r="C12348"/>
    </row>
    <row r="12349" spans="3:3">
      <c r="C12349"/>
    </row>
    <row r="12350" spans="3:3">
      <c r="C12350"/>
    </row>
    <row r="12351" spans="3:3">
      <c r="C12351"/>
    </row>
    <row r="12352" spans="3:3">
      <c r="C12352"/>
    </row>
    <row r="12353" spans="3:3">
      <c r="C12353"/>
    </row>
    <row r="12354" spans="3:3">
      <c r="C12354"/>
    </row>
    <row r="12355" spans="3:3">
      <c r="C12355"/>
    </row>
    <row r="12356" spans="3:3">
      <c r="C12356"/>
    </row>
    <row r="12357" spans="3:3">
      <c r="C12357"/>
    </row>
    <row r="12358" spans="3:3">
      <c r="C12358"/>
    </row>
    <row r="12359" spans="3:3">
      <c r="C12359"/>
    </row>
    <row r="12360" spans="3:3">
      <c r="C12360"/>
    </row>
    <row r="12361" spans="3:3">
      <c r="C12361"/>
    </row>
    <row r="12362" spans="3:3">
      <c r="C12362"/>
    </row>
    <row r="12363" spans="3:3">
      <c r="C12363"/>
    </row>
    <row r="12364" spans="3:3">
      <c r="C12364"/>
    </row>
    <row r="12365" spans="3:3">
      <c r="C12365"/>
    </row>
    <row r="12366" spans="3:3">
      <c r="C12366"/>
    </row>
    <row r="12367" spans="3:3">
      <c r="C12367"/>
    </row>
    <row r="12368" spans="3:3">
      <c r="C12368"/>
    </row>
    <row r="12369" spans="3:3">
      <c r="C12369"/>
    </row>
    <row r="12370" spans="3:3">
      <c r="C12370"/>
    </row>
    <row r="12371" spans="3:3">
      <c r="C12371"/>
    </row>
    <row r="12372" spans="3:3">
      <c r="C12372"/>
    </row>
    <row r="12373" spans="3:3">
      <c r="C12373"/>
    </row>
    <row r="12374" spans="3:3">
      <c r="C12374"/>
    </row>
    <row r="12375" spans="3:3">
      <c r="C12375"/>
    </row>
    <row r="12376" spans="3:3">
      <c r="C12376"/>
    </row>
    <row r="12377" spans="3:3">
      <c r="C12377"/>
    </row>
    <row r="12378" spans="3:3">
      <c r="C12378"/>
    </row>
    <row r="12379" spans="3:3">
      <c r="C12379"/>
    </row>
    <row r="12380" spans="3:3">
      <c r="C12380"/>
    </row>
    <row r="12381" spans="3:3">
      <c r="C12381"/>
    </row>
    <row r="12382" spans="3:3">
      <c r="C12382"/>
    </row>
    <row r="12383" spans="3:3">
      <c r="C12383"/>
    </row>
    <row r="12384" spans="3:3">
      <c r="C12384"/>
    </row>
    <row r="12385" spans="3:3">
      <c r="C12385"/>
    </row>
    <row r="12386" spans="3:3">
      <c r="C12386"/>
    </row>
    <row r="12387" spans="3:3">
      <c r="C12387"/>
    </row>
    <row r="12388" spans="3:3">
      <c r="C12388"/>
    </row>
    <row r="12389" spans="3:3">
      <c r="C12389"/>
    </row>
    <row r="12390" spans="3:3">
      <c r="C12390"/>
    </row>
    <row r="12391" spans="3:3">
      <c r="C12391"/>
    </row>
    <row r="12392" spans="3:3">
      <c r="C12392"/>
    </row>
    <row r="12393" spans="3:3">
      <c r="C12393"/>
    </row>
    <row r="12394" spans="3:3">
      <c r="C12394"/>
    </row>
    <row r="12395" spans="3:3">
      <c r="C12395"/>
    </row>
    <row r="12396" spans="3:3">
      <c r="C12396"/>
    </row>
    <row r="12397" spans="3:3">
      <c r="C12397"/>
    </row>
    <row r="12398" spans="3:3">
      <c r="C12398"/>
    </row>
    <row r="12399" spans="3:3">
      <c r="C12399"/>
    </row>
    <row r="12400" spans="3:3">
      <c r="C12400"/>
    </row>
    <row r="12401" spans="3:3">
      <c r="C12401"/>
    </row>
    <row r="12402" spans="3:3">
      <c r="C12402"/>
    </row>
    <row r="12403" spans="3:3">
      <c r="C12403"/>
    </row>
    <row r="12404" spans="3:3">
      <c r="C12404"/>
    </row>
    <row r="12405" spans="3:3">
      <c r="C12405"/>
    </row>
    <row r="12406" spans="3:3">
      <c r="C12406"/>
    </row>
    <row r="12407" spans="3:3">
      <c r="C12407"/>
    </row>
    <row r="12408" spans="3:3">
      <c r="C12408"/>
    </row>
    <row r="12409" spans="3:3">
      <c r="C12409"/>
    </row>
    <row r="12410" spans="3:3">
      <c r="C12410"/>
    </row>
    <row r="12411" spans="3:3">
      <c r="C12411"/>
    </row>
    <row r="12412" spans="3:3">
      <c r="C12412"/>
    </row>
    <row r="12413" spans="3:3">
      <c r="C12413"/>
    </row>
    <row r="12414" spans="3:3">
      <c r="C12414"/>
    </row>
    <row r="12415" spans="3:3">
      <c r="C12415"/>
    </row>
    <row r="12416" spans="3:3">
      <c r="C12416"/>
    </row>
    <row r="12417" spans="3:3">
      <c r="C12417"/>
    </row>
    <row r="12418" spans="3:3">
      <c r="C12418"/>
    </row>
    <row r="12419" spans="3:3">
      <c r="C12419"/>
    </row>
    <row r="12420" spans="3:3">
      <c r="C12420"/>
    </row>
    <row r="12421" spans="3:3">
      <c r="C12421"/>
    </row>
    <row r="12422" spans="3:3">
      <c r="C12422"/>
    </row>
    <row r="12423" spans="3:3">
      <c r="C12423"/>
    </row>
    <row r="12424" spans="3:3">
      <c r="C12424"/>
    </row>
    <row r="12425" spans="3:3">
      <c r="C12425"/>
    </row>
    <row r="12426" spans="3:3">
      <c r="C12426"/>
    </row>
    <row r="12427" spans="3:3">
      <c r="C12427"/>
    </row>
    <row r="12428" spans="3:3">
      <c r="C12428"/>
    </row>
    <row r="12429" spans="3:3">
      <c r="C12429"/>
    </row>
    <row r="12430" spans="3:3">
      <c r="C12430"/>
    </row>
    <row r="12431" spans="3:3">
      <c r="C12431"/>
    </row>
    <row r="12432" spans="3:3">
      <c r="C12432"/>
    </row>
    <row r="12433" spans="3:3">
      <c r="C12433"/>
    </row>
    <row r="12434" spans="3:3">
      <c r="C12434"/>
    </row>
    <row r="12435" spans="3:3">
      <c r="C12435"/>
    </row>
    <row r="12436" spans="3:3">
      <c r="C12436"/>
    </row>
    <row r="12437" spans="3:3">
      <c r="C12437"/>
    </row>
    <row r="12438" spans="3:3">
      <c r="C12438"/>
    </row>
    <row r="12439" spans="3:3">
      <c r="C12439"/>
    </row>
    <row r="12440" spans="3:3">
      <c r="C12440"/>
    </row>
    <row r="12441" spans="3:3">
      <c r="C12441"/>
    </row>
    <row r="12442" spans="3:3">
      <c r="C12442"/>
    </row>
    <row r="12443" spans="3:3">
      <c r="C12443"/>
    </row>
    <row r="12444" spans="3:3">
      <c r="C12444"/>
    </row>
    <row r="12445" spans="3:3">
      <c r="C12445"/>
    </row>
    <row r="12446" spans="3:3">
      <c r="C12446"/>
    </row>
    <row r="12447" spans="3:3">
      <c r="C12447"/>
    </row>
    <row r="12448" spans="3:3">
      <c r="C12448"/>
    </row>
    <row r="12449" spans="3:3">
      <c r="C12449"/>
    </row>
    <row r="12450" spans="3:3">
      <c r="C12450"/>
    </row>
    <row r="12451" spans="3:3">
      <c r="C12451"/>
    </row>
    <row r="12452" spans="3:3">
      <c r="C12452"/>
    </row>
    <row r="12453" spans="3:3">
      <c r="C12453"/>
    </row>
    <row r="12454" spans="3:3">
      <c r="C12454"/>
    </row>
    <row r="12455" spans="3:3">
      <c r="C12455"/>
    </row>
    <row r="12456" spans="3:3">
      <c r="C12456"/>
    </row>
    <row r="12457" spans="3:3">
      <c r="C12457"/>
    </row>
    <row r="12458" spans="3:3">
      <c r="C12458"/>
    </row>
    <row r="12459" spans="3:3">
      <c r="C12459"/>
    </row>
    <row r="12460" spans="3:3">
      <c r="C12460"/>
    </row>
    <row r="12461" spans="3:3">
      <c r="C12461"/>
    </row>
    <row r="12462" spans="3:3">
      <c r="C12462"/>
    </row>
    <row r="12463" spans="3:3">
      <c r="C12463"/>
    </row>
    <row r="12464" spans="3:3">
      <c r="C12464"/>
    </row>
    <row r="12465" spans="3:3">
      <c r="C12465"/>
    </row>
    <row r="12466" spans="3:3">
      <c r="C12466"/>
    </row>
    <row r="12467" spans="3:3">
      <c r="C12467"/>
    </row>
    <row r="12468" spans="3:3">
      <c r="C12468"/>
    </row>
    <row r="12469" spans="3:3">
      <c r="C12469"/>
    </row>
    <row r="12470" spans="3:3">
      <c r="C12470"/>
    </row>
    <row r="12471" spans="3:3">
      <c r="C12471"/>
    </row>
    <row r="12472" spans="3:3">
      <c r="C12472"/>
    </row>
    <row r="12473" spans="3:3">
      <c r="C12473"/>
    </row>
    <row r="12474" spans="3:3">
      <c r="C12474"/>
    </row>
    <row r="12475" spans="3:3">
      <c r="C12475"/>
    </row>
    <row r="12476" spans="3:3">
      <c r="C12476"/>
    </row>
    <row r="12477" spans="3:3">
      <c r="C12477"/>
    </row>
    <row r="12478" spans="3:3">
      <c r="C12478"/>
    </row>
    <row r="12479" spans="3:3">
      <c r="C12479"/>
    </row>
    <row r="12480" spans="3:3">
      <c r="C12480"/>
    </row>
    <row r="12481" spans="3:3">
      <c r="C12481"/>
    </row>
    <row r="12482" spans="3:3">
      <c r="C12482"/>
    </row>
    <row r="12483" spans="3:3">
      <c r="C12483"/>
    </row>
    <row r="12484" spans="3:3">
      <c r="C12484"/>
    </row>
    <row r="12485" spans="3:3">
      <c r="C12485"/>
    </row>
    <row r="12486" spans="3:3">
      <c r="C12486"/>
    </row>
    <row r="12487" spans="3:3">
      <c r="C12487"/>
    </row>
    <row r="12488" spans="3:3">
      <c r="C12488"/>
    </row>
    <row r="12489" spans="3:3">
      <c r="C12489"/>
    </row>
    <row r="12490" spans="3:3">
      <c r="C12490"/>
    </row>
    <row r="12491" spans="3:3">
      <c r="C12491"/>
    </row>
    <row r="12492" spans="3:3">
      <c r="C12492"/>
    </row>
    <row r="12493" spans="3:3">
      <c r="C12493"/>
    </row>
    <row r="12494" spans="3:3">
      <c r="C12494"/>
    </row>
    <row r="12495" spans="3:3">
      <c r="C12495"/>
    </row>
    <row r="12496" spans="3:3">
      <c r="C12496"/>
    </row>
    <row r="12497" spans="3:3">
      <c r="C12497"/>
    </row>
    <row r="12498" spans="3:3">
      <c r="C12498"/>
    </row>
    <row r="12499" spans="3:3">
      <c r="C12499"/>
    </row>
    <row r="12500" spans="3:3">
      <c r="C12500"/>
    </row>
    <row r="12501" spans="3:3">
      <c r="C12501"/>
    </row>
    <row r="12502" spans="3:3">
      <c r="C12502"/>
    </row>
    <row r="12503" spans="3:3">
      <c r="C12503"/>
    </row>
    <row r="12504" spans="3:3">
      <c r="C12504"/>
    </row>
    <row r="12505" spans="3:3">
      <c r="C12505"/>
    </row>
    <row r="12506" spans="3:3">
      <c r="C12506"/>
    </row>
    <row r="12507" spans="3:3">
      <c r="C12507"/>
    </row>
    <row r="12508" spans="3:3">
      <c r="C12508"/>
    </row>
    <row r="12509" spans="3:3">
      <c r="C12509"/>
    </row>
    <row r="12510" spans="3:3">
      <c r="C12510"/>
    </row>
    <row r="12511" spans="3:3">
      <c r="C12511"/>
    </row>
    <row r="12512" spans="3:3">
      <c r="C12512"/>
    </row>
    <row r="12513" spans="3:3">
      <c r="C12513"/>
    </row>
    <row r="12514" spans="3:3">
      <c r="C12514"/>
    </row>
    <row r="12515" spans="3:3">
      <c r="C12515"/>
    </row>
    <row r="12516" spans="3:3">
      <c r="C12516"/>
    </row>
    <row r="12517" spans="3:3">
      <c r="C12517"/>
    </row>
    <row r="12518" spans="3:3">
      <c r="C12518"/>
    </row>
    <row r="12519" spans="3:3">
      <c r="C12519"/>
    </row>
    <row r="12520" spans="3:3">
      <c r="C12520"/>
    </row>
    <row r="12521" spans="3:3">
      <c r="C12521"/>
    </row>
    <row r="12522" spans="3:3">
      <c r="C12522"/>
    </row>
    <row r="12523" spans="3:3">
      <c r="C12523"/>
    </row>
    <row r="12524" spans="3:3">
      <c r="C12524"/>
    </row>
    <row r="12525" spans="3:3">
      <c r="C12525"/>
    </row>
    <row r="12526" spans="3:3">
      <c r="C12526"/>
    </row>
    <row r="12527" spans="3:3">
      <c r="C12527"/>
    </row>
    <row r="12528" spans="3:3">
      <c r="C12528"/>
    </row>
    <row r="12529" spans="3:3">
      <c r="C12529"/>
    </row>
    <row r="12530" spans="3:3">
      <c r="C12530"/>
    </row>
    <row r="12531" spans="3:3">
      <c r="C12531"/>
    </row>
    <row r="12532" spans="3:3">
      <c r="C12532"/>
    </row>
    <row r="12533" spans="3:3">
      <c r="C12533"/>
    </row>
    <row r="12534" spans="3:3">
      <c r="C12534"/>
    </row>
    <row r="12535" spans="3:3">
      <c r="C12535"/>
    </row>
    <row r="12536" spans="3:3">
      <c r="C12536"/>
    </row>
    <row r="12537" spans="3:3">
      <c r="C12537"/>
    </row>
    <row r="12538" spans="3:3">
      <c r="C12538"/>
    </row>
    <row r="12539" spans="3:3">
      <c r="C12539"/>
    </row>
    <row r="12540" spans="3:3">
      <c r="C12540"/>
    </row>
    <row r="12541" spans="3:3">
      <c r="C12541"/>
    </row>
    <row r="12542" spans="3:3">
      <c r="C12542"/>
    </row>
    <row r="12543" spans="3:3">
      <c r="C12543"/>
    </row>
    <row r="12544" spans="3:3">
      <c r="C12544"/>
    </row>
    <row r="12545" spans="3:3">
      <c r="C12545"/>
    </row>
    <row r="12546" spans="3:3">
      <c r="C12546"/>
    </row>
    <row r="12547" spans="3:3">
      <c r="C12547"/>
    </row>
    <row r="12548" spans="3:3">
      <c r="C12548"/>
    </row>
    <row r="12549" spans="3:3">
      <c r="C12549"/>
    </row>
    <row r="12550" spans="3:3">
      <c r="C12550"/>
    </row>
    <row r="12551" spans="3:3">
      <c r="C12551"/>
    </row>
    <row r="12552" spans="3:3">
      <c r="C12552"/>
    </row>
    <row r="12553" spans="3:3">
      <c r="C12553"/>
    </row>
    <row r="12554" spans="3:3">
      <c r="C12554"/>
    </row>
    <row r="12555" spans="3:3">
      <c r="C12555"/>
    </row>
    <row r="12556" spans="3:3">
      <c r="C12556"/>
    </row>
    <row r="12557" spans="3:3">
      <c r="C12557"/>
    </row>
    <row r="12558" spans="3:3">
      <c r="C12558"/>
    </row>
    <row r="12559" spans="3:3">
      <c r="C12559"/>
    </row>
    <row r="12560" spans="3:3">
      <c r="C12560"/>
    </row>
    <row r="12561" spans="3:3">
      <c r="C12561"/>
    </row>
    <row r="12562" spans="3:3">
      <c r="C12562"/>
    </row>
    <row r="12563" spans="3:3">
      <c r="C12563"/>
    </row>
    <row r="12564" spans="3:3">
      <c r="C12564"/>
    </row>
    <row r="12565" spans="3:3">
      <c r="C12565"/>
    </row>
    <row r="12566" spans="3:3">
      <c r="C12566"/>
    </row>
    <row r="12567" spans="3:3">
      <c r="C12567"/>
    </row>
    <row r="12568" spans="3:3">
      <c r="C12568"/>
    </row>
    <row r="12569" spans="3:3">
      <c r="C12569"/>
    </row>
    <row r="12570" spans="3:3">
      <c r="C12570"/>
    </row>
    <row r="12571" spans="3:3">
      <c r="C12571"/>
    </row>
    <row r="12572" spans="3:3">
      <c r="C12572"/>
    </row>
    <row r="12573" spans="3:3">
      <c r="C12573"/>
    </row>
    <row r="12574" spans="3:3">
      <c r="C12574"/>
    </row>
    <row r="12575" spans="3:3">
      <c r="C12575"/>
    </row>
    <row r="12576" spans="3:3">
      <c r="C12576"/>
    </row>
    <row r="12577" spans="3:3">
      <c r="C12577"/>
    </row>
    <row r="12578" spans="3:3">
      <c r="C12578"/>
    </row>
    <row r="12579" spans="3:3">
      <c r="C12579"/>
    </row>
    <row r="12580" spans="3:3">
      <c r="C12580"/>
    </row>
    <row r="12581" spans="3:3">
      <c r="C12581"/>
    </row>
    <row r="12582" spans="3:3">
      <c r="C12582"/>
    </row>
    <row r="12583" spans="3:3">
      <c r="C12583"/>
    </row>
    <row r="12584" spans="3:3">
      <c r="C12584"/>
    </row>
    <row r="12585" spans="3:3">
      <c r="C12585"/>
    </row>
    <row r="12586" spans="3:3">
      <c r="C12586"/>
    </row>
    <row r="12587" spans="3:3">
      <c r="C12587"/>
    </row>
    <row r="12588" spans="3:3">
      <c r="C12588"/>
    </row>
    <row r="12589" spans="3:3">
      <c r="C12589"/>
    </row>
    <row r="12590" spans="3:3">
      <c r="C12590"/>
    </row>
    <row r="12591" spans="3:3">
      <c r="C12591"/>
    </row>
    <row r="12592" spans="3:3">
      <c r="C12592"/>
    </row>
    <row r="12593" spans="3:3">
      <c r="C12593"/>
    </row>
    <row r="12594" spans="3:3">
      <c r="C12594"/>
    </row>
    <row r="12595" spans="3:3">
      <c r="C12595"/>
    </row>
    <row r="12596" spans="3:3">
      <c r="C12596"/>
    </row>
    <row r="12597" spans="3:3">
      <c r="C12597"/>
    </row>
    <row r="12598" spans="3:3">
      <c r="C12598"/>
    </row>
    <row r="12599" spans="3:3">
      <c r="C12599"/>
    </row>
    <row r="12600" spans="3:3">
      <c r="C12600"/>
    </row>
    <row r="12601" spans="3:3">
      <c r="C12601"/>
    </row>
    <row r="12602" spans="3:3">
      <c r="C12602"/>
    </row>
    <row r="12603" spans="3:3">
      <c r="C12603"/>
    </row>
    <row r="12604" spans="3:3">
      <c r="C12604"/>
    </row>
    <row r="12605" spans="3:3">
      <c r="C12605"/>
    </row>
    <row r="12606" spans="3:3">
      <c r="C12606"/>
    </row>
    <row r="12607" spans="3:3">
      <c r="C12607"/>
    </row>
    <row r="12608" spans="3:3">
      <c r="C12608"/>
    </row>
    <row r="12609" spans="3:3">
      <c r="C12609"/>
    </row>
    <row r="12610" spans="3:3">
      <c r="C12610"/>
    </row>
    <row r="12611" spans="3:3">
      <c r="C12611"/>
    </row>
    <row r="12612" spans="3:3">
      <c r="C12612"/>
    </row>
    <row r="12613" spans="3:3">
      <c r="C12613"/>
    </row>
    <row r="12614" spans="3:3">
      <c r="C12614"/>
    </row>
    <row r="12615" spans="3:3">
      <c r="C12615"/>
    </row>
    <row r="12616" spans="3:3">
      <c r="C12616"/>
    </row>
    <row r="12617" spans="3:3">
      <c r="C12617"/>
    </row>
    <row r="12618" spans="3:3">
      <c r="C12618"/>
    </row>
    <row r="12619" spans="3:3">
      <c r="C12619"/>
    </row>
    <row r="12620" spans="3:3">
      <c r="C12620"/>
    </row>
    <row r="12621" spans="3:3">
      <c r="C12621"/>
    </row>
    <row r="12622" spans="3:3">
      <c r="C12622"/>
    </row>
    <row r="12623" spans="3:3">
      <c r="C12623"/>
    </row>
    <row r="12624" spans="3:3">
      <c r="C12624"/>
    </row>
    <row r="12625" spans="3:3">
      <c r="C12625"/>
    </row>
    <row r="12626" spans="3:3">
      <c r="C12626"/>
    </row>
    <row r="12627" spans="3:3">
      <c r="C12627"/>
    </row>
    <row r="12628" spans="3:3">
      <c r="C12628"/>
    </row>
    <row r="12629" spans="3:3">
      <c r="C12629"/>
    </row>
    <row r="12630" spans="3:3">
      <c r="C12630"/>
    </row>
    <row r="12631" spans="3:3">
      <c r="C12631"/>
    </row>
    <row r="12632" spans="3:3">
      <c r="C12632"/>
    </row>
    <row r="12633" spans="3:3">
      <c r="C12633"/>
    </row>
    <row r="12634" spans="3:3">
      <c r="C12634"/>
    </row>
    <row r="12635" spans="3:3">
      <c r="C12635"/>
    </row>
    <row r="12636" spans="3:3">
      <c r="C12636"/>
    </row>
    <row r="12637" spans="3:3">
      <c r="C12637"/>
    </row>
    <row r="12638" spans="3:3">
      <c r="C12638"/>
    </row>
    <row r="12639" spans="3:3">
      <c r="C12639"/>
    </row>
    <row r="12640" spans="3:3">
      <c r="C12640"/>
    </row>
    <row r="12641" spans="3:3">
      <c r="C12641"/>
    </row>
    <row r="12642" spans="3:3">
      <c r="C12642"/>
    </row>
    <row r="12643" spans="3:3">
      <c r="C12643"/>
    </row>
    <row r="12644" spans="3:3">
      <c r="C12644"/>
    </row>
    <row r="12645" spans="3:3">
      <c r="C12645"/>
    </row>
    <row r="12646" spans="3:3">
      <c r="C12646"/>
    </row>
    <row r="12647" spans="3:3">
      <c r="C12647"/>
    </row>
    <row r="12648" spans="3:3">
      <c r="C12648"/>
    </row>
    <row r="12649" spans="3:3">
      <c r="C12649"/>
    </row>
    <row r="12650" spans="3:3">
      <c r="C12650"/>
    </row>
    <row r="12651" spans="3:3">
      <c r="C12651"/>
    </row>
    <row r="12652" spans="3:3">
      <c r="C12652"/>
    </row>
    <row r="12653" spans="3:3">
      <c r="C12653"/>
    </row>
    <row r="12654" spans="3:3">
      <c r="C12654"/>
    </row>
    <row r="12655" spans="3:3">
      <c r="C12655"/>
    </row>
    <row r="12656" spans="3:3">
      <c r="C12656"/>
    </row>
    <row r="12657" spans="3:3">
      <c r="C12657"/>
    </row>
    <row r="12658" spans="3:3">
      <c r="C12658"/>
    </row>
    <row r="12659" spans="3:3">
      <c r="C12659"/>
    </row>
    <row r="12660" spans="3:3">
      <c r="C12660"/>
    </row>
    <row r="12661" spans="3:3">
      <c r="C12661"/>
    </row>
    <row r="12662" spans="3:3">
      <c r="C12662"/>
    </row>
    <row r="12663" spans="3:3">
      <c r="C12663"/>
    </row>
    <row r="12664" spans="3:3">
      <c r="C12664"/>
    </row>
    <row r="12665" spans="3:3">
      <c r="C12665"/>
    </row>
    <row r="12666" spans="3:3">
      <c r="C12666"/>
    </row>
    <row r="12667" spans="3:3">
      <c r="C12667"/>
    </row>
    <row r="12668" spans="3:3">
      <c r="C12668"/>
    </row>
    <row r="12669" spans="3:3">
      <c r="C12669"/>
    </row>
    <row r="12670" spans="3:3">
      <c r="C12670"/>
    </row>
    <row r="12671" spans="3:3">
      <c r="C12671"/>
    </row>
    <row r="12672" spans="3:3">
      <c r="C12672"/>
    </row>
    <row r="12673" spans="3:3">
      <c r="C12673"/>
    </row>
    <row r="12674" spans="3:3">
      <c r="C12674"/>
    </row>
    <row r="12675" spans="3:3">
      <c r="C12675"/>
    </row>
    <row r="12676" spans="3:3">
      <c r="C12676"/>
    </row>
    <row r="12677" spans="3:3">
      <c r="C12677"/>
    </row>
    <row r="12678" spans="3:3">
      <c r="C12678"/>
    </row>
    <row r="12679" spans="3:3">
      <c r="C12679"/>
    </row>
    <row r="12680" spans="3:3">
      <c r="C12680"/>
    </row>
    <row r="12681" spans="3:3">
      <c r="C12681"/>
    </row>
    <row r="12682" spans="3:3">
      <c r="C12682"/>
    </row>
    <row r="12683" spans="3:3">
      <c r="C12683"/>
    </row>
    <row r="12684" spans="3:3">
      <c r="C12684"/>
    </row>
    <row r="12685" spans="3:3">
      <c r="C12685"/>
    </row>
    <row r="12686" spans="3:3">
      <c r="C12686"/>
    </row>
    <row r="12687" spans="3:3">
      <c r="C12687"/>
    </row>
    <row r="12688" spans="3:3">
      <c r="C12688"/>
    </row>
    <row r="12689" spans="3:3">
      <c r="C12689"/>
    </row>
    <row r="12690" spans="3:3">
      <c r="C12690"/>
    </row>
    <row r="12691" spans="3:3">
      <c r="C12691"/>
    </row>
    <row r="12692" spans="3:3">
      <c r="C12692"/>
    </row>
    <row r="12693" spans="3:3">
      <c r="C12693"/>
    </row>
    <row r="12694" spans="3:3">
      <c r="C12694"/>
    </row>
    <row r="12695" spans="3:3">
      <c r="C12695"/>
    </row>
    <row r="12696" spans="3:3">
      <c r="C12696"/>
    </row>
    <row r="12697" spans="3:3">
      <c r="C12697"/>
    </row>
    <row r="12698" spans="3:3">
      <c r="C12698"/>
    </row>
    <row r="12699" spans="3:3">
      <c r="C12699"/>
    </row>
    <row r="12700" spans="3:3">
      <c r="C12700"/>
    </row>
    <row r="12701" spans="3:3">
      <c r="C12701"/>
    </row>
    <row r="12702" spans="3:3">
      <c r="C12702"/>
    </row>
    <row r="12703" spans="3:3">
      <c r="C12703"/>
    </row>
    <row r="12704" spans="3:3">
      <c r="C12704"/>
    </row>
    <row r="12705" spans="3:3">
      <c r="C12705"/>
    </row>
    <row r="12706" spans="3:3">
      <c r="C12706"/>
    </row>
    <row r="12707" spans="3:3">
      <c r="C12707"/>
    </row>
    <row r="12708" spans="3:3">
      <c r="C12708"/>
    </row>
    <row r="12709" spans="3:3">
      <c r="C12709"/>
    </row>
    <row r="12710" spans="3:3">
      <c r="C12710"/>
    </row>
    <row r="12711" spans="3:3">
      <c r="C12711"/>
    </row>
    <row r="12712" spans="3:3">
      <c r="C12712"/>
    </row>
    <row r="12713" spans="3:3">
      <c r="C12713"/>
    </row>
    <row r="12714" spans="3:3">
      <c r="C12714"/>
    </row>
    <row r="12715" spans="3:3">
      <c r="C12715"/>
    </row>
    <row r="12716" spans="3:3">
      <c r="C12716"/>
    </row>
    <row r="12717" spans="3:3">
      <c r="C12717"/>
    </row>
    <row r="12718" spans="3:3">
      <c r="C12718"/>
    </row>
    <row r="12719" spans="3:3">
      <c r="C12719"/>
    </row>
    <row r="12720" spans="3:3">
      <c r="C12720"/>
    </row>
    <row r="12721" spans="3:3">
      <c r="C12721"/>
    </row>
    <row r="12722" spans="3:3">
      <c r="C12722"/>
    </row>
    <row r="12723" spans="3:3">
      <c r="C12723"/>
    </row>
    <row r="12724" spans="3:3">
      <c r="C12724"/>
    </row>
    <row r="12725" spans="3:3">
      <c r="C12725"/>
    </row>
    <row r="12726" spans="3:3">
      <c r="C12726"/>
    </row>
    <row r="12727" spans="3:3">
      <c r="C12727"/>
    </row>
    <row r="12728" spans="3:3">
      <c r="C12728"/>
    </row>
    <row r="12729" spans="3:3">
      <c r="C12729"/>
    </row>
    <row r="12730" spans="3:3">
      <c r="C12730"/>
    </row>
    <row r="12731" spans="3:3">
      <c r="C12731"/>
    </row>
    <row r="12732" spans="3:3">
      <c r="C12732"/>
    </row>
    <row r="12733" spans="3:3">
      <c r="C12733"/>
    </row>
    <row r="12734" spans="3:3">
      <c r="C12734"/>
    </row>
    <row r="12735" spans="3:3">
      <c r="C12735"/>
    </row>
    <row r="12736" spans="3:3">
      <c r="C12736"/>
    </row>
    <row r="12737" spans="3:3">
      <c r="C12737"/>
    </row>
    <row r="12738" spans="3:3">
      <c r="C12738"/>
    </row>
    <row r="12739" spans="3:3">
      <c r="C12739"/>
    </row>
    <row r="12740" spans="3:3">
      <c r="C12740"/>
    </row>
    <row r="12741" spans="3:3">
      <c r="C12741"/>
    </row>
    <row r="12742" spans="3:3">
      <c r="C12742"/>
    </row>
    <row r="12743" spans="3:3">
      <c r="C12743"/>
    </row>
    <row r="12744" spans="3:3">
      <c r="C12744"/>
    </row>
    <row r="12745" spans="3:3">
      <c r="C12745"/>
    </row>
    <row r="12746" spans="3:3">
      <c r="C12746"/>
    </row>
    <row r="12747" spans="3:3">
      <c r="C12747"/>
    </row>
    <row r="12748" spans="3:3">
      <c r="C12748"/>
    </row>
    <row r="12749" spans="3:3">
      <c r="C12749"/>
    </row>
    <row r="12750" spans="3:3">
      <c r="C12750"/>
    </row>
    <row r="12751" spans="3:3">
      <c r="C12751"/>
    </row>
    <row r="12752" spans="3:3">
      <c r="C12752"/>
    </row>
    <row r="12753" spans="3:3">
      <c r="C12753"/>
    </row>
    <row r="12754" spans="3:3">
      <c r="C12754"/>
    </row>
    <row r="12755" spans="3:3">
      <c r="C12755"/>
    </row>
    <row r="12756" spans="3:3">
      <c r="C12756"/>
    </row>
    <row r="12757" spans="3:3">
      <c r="C12757"/>
    </row>
    <row r="12758" spans="3:3">
      <c r="C12758"/>
    </row>
    <row r="12759" spans="3:3">
      <c r="C12759"/>
    </row>
    <row r="12760" spans="3:3">
      <c r="C12760"/>
    </row>
    <row r="12761" spans="3:3">
      <c r="C12761"/>
    </row>
    <row r="12762" spans="3:3">
      <c r="C12762"/>
    </row>
    <row r="12763" spans="3:3">
      <c r="C12763"/>
    </row>
    <row r="12764" spans="3:3">
      <c r="C12764"/>
    </row>
    <row r="12765" spans="3:3">
      <c r="C12765"/>
    </row>
    <row r="12766" spans="3:3">
      <c r="C12766"/>
    </row>
    <row r="12767" spans="3:3">
      <c r="C12767"/>
    </row>
    <row r="12768" spans="3:3">
      <c r="C12768"/>
    </row>
    <row r="12769" spans="3:3">
      <c r="C12769"/>
    </row>
    <row r="12770" spans="3:3">
      <c r="C12770"/>
    </row>
    <row r="12771" spans="3:3">
      <c r="C12771"/>
    </row>
    <row r="12772" spans="3:3">
      <c r="C12772"/>
    </row>
    <row r="12773" spans="3:3">
      <c r="C12773"/>
    </row>
    <row r="12774" spans="3:3">
      <c r="C12774"/>
    </row>
    <row r="12775" spans="3:3">
      <c r="C12775"/>
    </row>
    <row r="12776" spans="3:3">
      <c r="C12776"/>
    </row>
    <row r="12777" spans="3:3">
      <c r="C12777"/>
    </row>
    <row r="12778" spans="3:3">
      <c r="C12778"/>
    </row>
    <row r="12779" spans="3:3">
      <c r="C12779"/>
    </row>
    <row r="12780" spans="3:3">
      <c r="C12780"/>
    </row>
    <row r="12781" spans="3:3">
      <c r="C12781"/>
    </row>
    <row r="12782" spans="3:3">
      <c r="C12782"/>
    </row>
    <row r="12783" spans="3:3">
      <c r="C12783"/>
    </row>
    <row r="12784" spans="3:3">
      <c r="C12784"/>
    </row>
    <row r="12785" spans="3:3">
      <c r="C12785"/>
    </row>
    <row r="12786" spans="3:3">
      <c r="C12786"/>
    </row>
    <row r="12787" spans="3:3">
      <c r="C12787"/>
    </row>
    <row r="12788" spans="3:3">
      <c r="C12788"/>
    </row>
    <row r="12789" spans="3:3">
      <c r="C12789"/>
    </row>
    <row r="12790" spans="3:3">
      <c r="C12790"/>
    </row>
    <row r="12791" spans="3:3">
      <c r="C12791"/>
    </row>
    <row r="12792" spans="3:3">
      <c r="C12792"/>
    </row>
    <row r="12793" spans="3:3">
      <c r="C12793"/>
    </row>
    <row r="12794" spans="3:3">
      <c r="C12794"/>
    </row>
    <row r="12795" spans="3:3">
      <c r="C12795"/>
    </row>
    <row r="12796" spans="3:3">
      <c r="C12796"/>
    </row>
    <row r="12797" spans="3:3">
      <c r="C12797"/>
    </row>
    <row r="12798" spans="3:3">
      <c r="C12798"/>
    </row>
    <row r="12799" spans="3:3">
      <c r="C12799"/>
    </row>
    <row r="12800" spans="3:3">
      <c r="C12800"/>
    </row>
    <row r="12801" spans="3:3">
      <c r="C12801"/>
    </row>
    <row r="12802" spans="3:3">
      <c r="C12802"/>
    </row>
    <row r="12803" spans="3:3">
      <c r="C12803"/>
    </row>
    <row r="12804" spans="3:3">
      <c r="C12804"/>
    </row>
    <row r="12805" spans="3:3">
      <c r="C12805"/>
    </row>
    <row r="12806" spans="3:3">
      <c r="C12806"/>
    </row>
    <row r="12807" spans="3:3">
      <c r="C12807"/>
    </row>
    <row r="12808" spans="3:3">
      <c r="C12808"/>
    </row>
    <row r="12809" spans="3:3">
      <c r="C12809"/>
    </row>
    <row r="12810" spans="3:3">
      <c r="C12810"/>
    </row>
    <row r="12811" spans="3:3">
      <c r="C12811"/>
    </row>
    <row r="12812" spans="3:3">
      <c r="C12812"/>
    </row>
    <row r="12813" spans="3:3">
      <c r="C12813"/>
    </row>
    <row r="12814" spans="3:3">
      <c r="C12814"/>
    </row>
    <row r="12815" spans="3:3">
      <c r="C12815"/>
    </row>
    <row r="12816" spans="3:3">
      <c r="C12816"/>
    </row>
    <row r="12817" spans="3:3">
      <c r="C12817"/>
    </row>
    <row r="12818" spans="3:3">
      <c r="C12818"/>
    </row>
    <row r="12819" spans="3:3">
      <c r="C12819"/>
    </row>
    <row r="12820" spans="3:3">
      <c r="C12820"/>
    </row>
    <row r="12821" spans="3:3">
      <c r="C12821"/>
    </row>
    <row r="12822" spans="3:3">
      <c r="C12822"/>
    </row>
    <row r="12823" spans="3:3">
      <c r="C12823"/>
    </row>
    <row r="12824" spans="3:3">
      <c r="C12824"/>
    </row>
    <row r="12825" spans="3:3">
      <c r="C12825"/>
    </row>
    <row r="12826" spans="3:3">
      <c r="C12826"/>
    </row>
    <row r="12827" spans="3:3">
      <c r="C12827"/>
    </row>
    <row r="12828" spans="3:3">
      <c r="C12828"/>
    </row>
    <row r="12829" spans="3:3">
      <c r="C12829"/>
    </row>
    <row r="12830" spans="3:3">
      <c r="C12830"/>
    </row>
    <row r="12831" spans="3:3">
      <c r="C12831"/>
    </row>
    <row r="12832" spans="3:3">
      <c r="C12832"/>
    </row>
    <row r="12833" spans="3:3">
      <c r="C12833"/>
    </row>
    <row r="12834" spans="3:3">
      <c r="C12834"/>
    </row>
    <row r="12835" spans="3:3">
      <c r="C12835"/>
    </row>
    <row r="12836" spans="3:3">
      <c r="C12836"/>
    </row>
    <row r="12837" spans="3:3">
      <c r="C12837"/>
    </row>
    <row r="12838" spans="3:3">
      <c r="C12838"/>
    </row>
    <row r="12839" spans="3:3">
      <c r="C12839"/>
    </row>
    <row r="12840" spans="3:3">
      <c r="C12840"/>
    </row>
    <row r="12841" spans="3:3">
      <c r="C12841"/>
    </row>
    <row r="12842" spans="3:3">
      <c r="C12842"/>
    </row>
    <row r="12843" spans="3:3">
      <c r="C12843"/>
    </row>
    <row r="12844" spans="3:3">
      <c r="C12844"/>
    </row>
    <row r="12845" spans="3:3">
      <c r="C12845"/>
    </row>
    <row r="12846" spans="3:3">
      <c r="C12846"/>
    </row>
    <row r="12847" spans="3:3">
      <c r="C12847"/>
    </row>
    <row r="12848" spans="3:3">
      <c r="C12848"/>
    </row>
    <row r="12849" spans="3:3">
      <c r="C12849"/>
    </row>
    <row r="12850" spans="3:3">
      <c r="C12850"/>
    </row>
    <row r="12851" spans="3:3">
      <c r="C12851"/>
    </row>
    <row r="12852" spans="3:3">
      <c r="C12852"/>
    </row>
    <row r="12853" spans="3:3">
      <c r="C12853"/>
    </row>
    <row r="12854" spans="3:3">
      <c r="C12854"/>
    </row>
    <row r="12855" spans="3:3">
      <c r="C12855"/>
    </row>
    <row r="12856" spans="3:3">
      <c r="C12856"/>
    </row>
    <row r="12857" spans="3:3">
      <c r="C12857"/>
    </row>
    <row r="12858" spans="3:3">
      <c r="C12858"/>
    </row>
    <row r="12859" spans="3:3">
      <c r="C12859"/>
    </row>
    <row r="12860" spans="3:3">
      <c r="C12860"/>
    </row>
    <row r="12861" spans="3:3">
      <c r="C12861"/>
    </row>
    <row r="12862" spans="3:3">
      <c r="C12862"/>
    </row>
    <row r="12863" spans="3:3">
      <c r="C12863"/>
    </row>
    <row r="12864" spans="3:3">
      <c r="C12864"/>
    </row>
    <row r="12865" spans="3:3">
      <c r="C12865"/>
    </row>
    <row r="12866" spans="3:3">
      <c r="C12866"/>
    </row>
    <row r="12867" spans="3:3">
      <c r="C12867"/>
    </row>
    <row r="12868" spans="3:3">
      <c r="C12868"/>
    </row>
    <row r="12869" spans="3:3">
      <c r="C12869"/>
    </row>
    <row r="12870" spans="3:3">
      <c r="C12870"/>
    </row>
    <row r="12871" spans="3:3">
      <c r="C12871"/>
    </row>
    <row r="12872" spans="3:3">
      <c r="C12872"/>
    </row>
    <row r="12873" spans="3:3">
      <c r="C12873"/>
    </row>
    <row r="12874" spans="3:3">
      <c r="C12874"/>
    </row>
    <row r="12875" spans="3:3">
      <c r="C12875"/>
    </row>
    <row r="12876" spans="3:3">
      <c r="C12876"/>
    </row>
    <row r="12877" spans="3:3">
      <c r="C12877"/>
    </row>
    <row r="12878" spans="3:3">
      <c r="C12878"/>
    </row>
    <row r="12879" spans="3:3">
      <c r="C12879"/>
    </row>
    <row r="12880" spans="3:3">
      <c r="C12880"/>
    </row>
    <row r="12881" spans="3:3">
      <c r="C12881"/>
    </row>
    <row r="12882" spans="3:3">
      <c r="C12882"/>
    </row>
    <row r="12883" spans="3:3">
      <c r="C12883"/>
    </row>
    <row r="12884" spans="3:3">
      <c r="C12884"/>
    </row>
    <row r="12885" spans="3:3">
      <c r="C12885"/>
    </row>
    <row r="12886" spans="3:3">
      <c r="C12886"/>
    </row>
    <row r="12887" spans="3:3">
      <c r="C12887"/>
    </row>
    <row r="12888" spans="3:3">
      <c r="C12888"/>
    </row>
    <row r="12889" spans="3:3">
      <c r="C12889"/>
    </row>
    <row r="12890" spans="3:3">
      <c r="C12890"/>
    </row>
    <row r="12891" spans="3:3">
      <c r="C12891"/>
    </row>
    <row r="12892" spans="3:3">
      <c r="C12892"/>
    </row>
    <row r="12893" spans="3:3">
      <c r="C12893"/>
    </row>
    <row r="12894" spans="3:3">
      <c r="C12894"/>
    </row>
    <row r="12895" spans="3:3">
      <c r="C12895"/>
    </row>
    <row r="12896" spans="3:3">
      <c r="C12896"/>
    </row>
    <row r="12897" spans="3:3">
      <c r="C12897"/>
    </row>
    <row r="12898" spans="3:3">
      <c r="C12898"/>
    </row>
    <row r="12899" spans="3:3">
      <c r="C12899"/>
    </row>
    <row r="12900" spans="3:3">
      <c r="C12900"/>
    </row>
    <row r="12901" spans="3:3">
      <c r="C12901"/>
    </row>
    <row r="12902" spans="3:3">
      <c r="C12902"/>
    </row>
    <row r="12903" spans="3:3">
      <c r="C12903"/>
    </row>
    <row r="12904" spans="3:3">
      <c r="C12904"/>
    </row>
    <row r="12905" spans="3:3">
      <c r="C12905"/>
    </row>
    <row r="12906" spans="3:3">
      <c r="C12906"/>
    </row>
    <row r="12907" spans="3:3">
      <c r="C12907"/>
    </row>
    <row r="12908" spans="3:3">
      <c r="C12908"/>
    </row>
    <row r="12909" spans="3:3">
      <c r="C12909"/>
    </row>
    <row r="12910" spans="3:3">
      <c r="C12910"/>
    </row>
    <row r="12911" spans="3:3">
      <c r="C12911"/>
    </row>
    <row r="12912" spans="3:3">
      <c r="C12912"/>
    </row>
    <row r="12913" spans="3:3">
      <c r="C12913"/>
    </row>
    <row r="12914" spans="3:3">
      <c r="C12914"/>
    </row>
    <row r="12915" spans="3:3">
      <c r="C12915"/>
    </row>
    <row r="12916" spans="3:3">
      <c r="C12916"/>
    </row>
    <row r="12917" spans="3:3">
      <c r="C12917"/>
    </row>
    <row r="12918" spans="3:3">
      <c r="C12918"/>
    </row>
    <row r="12919" spans="3:3">
      <c r="C12919"/>
    </row>
    <row r="12920" spans="3:3">
      <c r="C12920"/>
    </row>
    <row r="12921" spans="3:3">
      <c r="C12921"/>
    </row>
    <row r="12922" spans="3:3">
      <c r="C12922"/>
    </row>
    <row r="12923" spans="3:3">
      <c r="C12923"/>
    </row>
    <row r="12924" spans="3:3">
      <c r="C12924"/>
    </row>
    <row r="12925" spans="3:3">
      <c r="C12925"/>
    </row>
    <row r="12926" spans="3:3">
      <c r="C12926"/>
    </row>
    <row r="12927" spans="3:3">
      <c r="C12927"/>
    </row>
    <row r="12928" spans="3:3">
      <c r="C12928"/>
    </row>
    <row r="12929" spans="3:3">
      <c r="C12929"/>
    </row>
    <row r="12930" spans="3:3">
      <c r="C12930"/>
    </row>
    <row r="12931" spans="3:3">
      <c r="C12931"/>
    </row>
    <row r="12932" spans="3:3">
      <c r="C12932"/>
    </row>
    <row r="12933" spans="3:3">
      <c r="C12933"/>
    </row>
    <row r="12934" spans="3:3">
      <c r="C12934"/>
    </row>
    <row r="12935" spans="3:3">
      <c r="C12935"/>
    </row>
    <row r="12936" spans="3:3">
      <c r="C12936"/>
    </row>
    <row r="12937" spans="3:3">
      <c r="C12937"/>
    </row>
    <row r="12938" spans="3:3">
      <c r="C12938"/>
    </row>
    <row r="12939" spans="3:3">
      <c r="C12939"/>
    </row>
    <row r="12940" spans="3:3">
      <c r="C12940"/>
    </row>
    <row r="12941" spans="3:3">
      <c r="C12941"/>
    </row>
    <row r="12942" spans="3:3">
      <c r="C12942"/>
    </row>
    <row r="12943" spans="3:3">
      <c r="C12943"/>
    </row>
    <row r="12944" spans="3:3">
      <c r="C12944"/>
    </row>
    <row r="12945" spans="3:3">
      <c r="C12945"/>
    </row>
    <row r="12946" spans="3:3">
      <c r="C12946"/>
    </row>
    <row r="12947" spans="3:3">
      <c r="C12947"/>
    </row>
    <row r="12948" spans="3:3">
      <c r="C12948"/>
    </row>
    <row r="12949" spans="3:3">
      <c r="C12949"/>
    </row>
    <row r="12950" spans="3:3">
      <c r="C12950"/>
    </row>
    <row r="12951" spans="3:3">
      <c r="C12951"/>
    </row>
    <row r="12952" spans="3:3">
      <c r="C12952"/>
    </row>
    <row r="12953" spans="3:3">
      <c r="C12953"/>
    </row>
    <row r="12954" spans="3:3">
      <c r="C12954"/>
    </row>
    <row r="12955" spans="3:3">
      <c r="C12955"/>
    </row>
    <row r="12956" spans="3:3">
      <c r="C12956"/>
    </row>
    <row r="12957" spans="3:3">
      <c r="C12957"/>
    </row>
    <row r="12958" spans="3:3">
      <c r="C12958"/>
    </row>
    <row r="12959" spans="3:3">
      <c r="C12959"/>
    </row>
    <row r="12960" spans="3:3">
      <c r="C12960"/>
    </row>
    <row r="12961" spans="3:3">
      <c r="C12961"/>
    </row>
    <row r="12962" spans="3:3">
      <c r="C12962"/>
    </row>
    <row r="12963" spans="3:3">
      <c r="C12963"/>
    </row>
    <row r="12964" spans="3:3">
      <c r="C12964"/>
    </row>
    <row r="12965" spans="3:3">
      <c r="C12965"/>
    </row>
    <row r="12966" spans="3:3">
      <c r="C12966"/>
    </row>
    <row r="12967" spans="3:3">
      <c r="C12967"/>
    </row>
    <row r="12968" spans="3:3">
      <c r="C12968"/>
    </row>
    <row r="12969" spans="3:3">
      <c r="C12969"/>
    </row>
    <row r="12970" spans="3:3">
      <c r="C12970"/>
    </row>
    <row r="12971" spans="3:3">
      <c r="C12971"/>
    </row>
    <row r="12972" spans="3:3">
      <c r="C12972"/>
    </row>
    <row r="12973" spans="3:3">
      <c r="C12973"/>
    </row>
    <row r="12974" spans="3:3">
      <c r="C12974"/>
    </row>
    <row r="12975" spans="3:3">
      <c r="C12975"/>
    </row>
    <row r="12976" spans="3:3">
      <c r="C12976"/>
    </row>
    <row r="12977" spans="3:3">
      <c r="C12977"/>
    </row>
    <row r="12978" spans="3:3">
      <c r="C12978"/>
    </row>
    <row r="12979" spans="3:3">
      <c r="C12979"/>
    </row>
    <row r="12980" spans="3:3">
      <c r="C12980"/>
    </row>
    <row r="12981" spans="3:3">
      <c r="C12981"/>
    </row>
    <row r="12982" spans="3:3">
      <c r="C12982"/>
    </row>
    <row r="12983" spans="3:3">
      <c r="C12983"/>
    </row>
    <row r="12984" spans="3:3">
      <c r="C12984"/>
    </row>
    <row r="12985" spans="3:3">
      <c r="C12985"/>
    </row>
    <row r="12986" spans="3:3">
      <c r="C12986"/>
    </row>
    <row r="12987" spans="3:3">
      <c r="C12987"/>
    </row>
    <row r="12988" spans="3:3">
      <c r="C12988"/>
    </row>
    <row r="12989" spans="3:3">
      <c r="C12989"/>
    </row>
    <row r="12990" spans="3:3">
      <c r="C12990"/>
    </row>
    <row r="12991" spans="3:3">
      <c r="C12991"/>
    </row>
    <row r="12992" spans="3:3">
      <c r="C12992"/>
    </row>
    <row r="12993" spans="3:3">
      <c r="C12993"/>
    </row>
    <row r="12994" spans="3:3">
      <c r="C12994"/>
    </row>
    <row r="12995" spans="3:3">
      <c r="C12995"/>
    </row>
    <row r="12996" spans="3:3">
      <c r="C12996"/>
    </row>
    <row r="12997" spans="3:3">
      <c r="C12997"/>
    </row>
    <row r="12998" spans="3:3">
      <c r="C12998"/>
    </row>
    <row r="12999" spans="3:3">
      <c r="C12999"/>
    </row>
    <row r="13000" spans="3:3">
      <c r="C13000"/>
    </row>
    <row r="13001" spans="3:3">
      <c r="C13001"/>
    </row>
    <row r="13002" spans="3:3">
      <c r="C13002"/>
    </row>
    <row r="13003" spans="3:3">
      <c r="C13003"/>
    </row>
    <row r="13004" spans="3:3">
      <c r="C13004"/>
    </row>
    <row r="13005" spans="3:3">
      <c r="C13005"/>
    </row>
    <row r="13006" spans="3:3">
      <c r="C13006"/>
    </row>
    <row r="13007" spans="3:3">
      <c r="C13007"/>
    </row>
    <row r="13008" spans="3:3">
      <c r="C13008"/>
    </row>
    <row r="13009" spans="3:3">
      <c r="C13009"/>
    </row>
    <row r="13010" spans="3:3">
      <c r="C13010"/>
    </row>
    <row r="13011" spans="3:3">
      <c r="C13011"/>
    </row>
    <row r="13012" spans="3:3">
      <c r="C13012"/>
    </row>
    <row r="13013" spans="3:3">
      <c r="C13013"/>
    </row>
    <row r="13014" spans="3:3">
      <c r="C13014"/>
    </row>
    <row r="13015" spans="3:3">
      <c r="C13015"/>
    </row>
    <row r="13016" spans="3:3">
      <c r="C13016"/>
    </row>
    <row r="13017" spans="3:3">
      <c r="C13017"/>
    </row>
    <row r="13018" spans="3:3">
      <c r="C13018"/>
    </row>
    <row r="13019" spans="3:3">
      <c r="C13019"/>
    </row>
    <row r="13020" spans="3:3">
      <c r="C13020"/>
    </row>
    <row r="13021" spans="3:3">
      <c r="C13021"/>
    </row>
    <row r="13022" spans="3:3">
      <c r="C13022"/>
    </row>
    <row r="13023" spans="3:3">
      <c r="C13023"/>
    </row>
    <row r="13024" spans="3:3">
      <c r="C13024"/>
    </row>
    <row r="13025" spans="3:3">
      <c r="C13025"/>
    </row>
    <row r="13026" spans="3:3">
      <c r="C13026"/>
    </row>
    <row r="13027" spans="3:3">
      <c r="C13027"/>
    </row>
    <row r="13028" spans="3:3">
      <c r="C13028"/>
    </row>
    <row r="13029" spans="3:3">
      <c r="C13029"/>
    </row>
    <row r="13030" spans="3:3">
      <c r="C13030"/>
    </row>
    <row r="13031" spans="3:3">
      <c r="C13031"/>
    </row>
    <row r="13032" spans="3:3">
      <c r="C13032"/>
    </row>
    <row r="13033" spans="3:3">
      <c r="C13033"/>
    </row>
    <row r="13034" spans="3:3">
      <c r="C13034"/>
    </row>
    <row r="13035" spans="3:3">
      <c r="C13035"/>
    </row>
    <row r="13036" spans="3:3">
      <c r="C13036"/>
    </row>
    <row r="13037" spans="3:3">
      <c r="C13037"/>
    </row>
    <row r="13038" spans="3:3">
      <c r="C13038"/>
    </row>
    <row r="13039" spans="3:3">
      <c r="C13039"/>
    </row>
    <row r="13040" spans="3:3">
      <c r="C13040"/>
    </row>
    <row r="13041" spans="3:3">
      <c r="C13041"/>
    </row>
    <row r="13042" spans="3:3">
      <c r="C13042"/>
    </row>
    <row r="13043" spans="3:3">
      <c r="C13043"/>
    </row>
    <row r="13044" spans="3:3">
      <c r="C13044"/>
    </row>
    <row r="13045" spans="3:3">
      <c r="C13045"/>
    </row>
    <row r="13046" spans="3:3">
      <c r="C13046"/>
    </row>
    <row r="13047" spans="3:3">
      <c r="C13047"/>
    </row>
    <row r="13048" spans="3:3">
      <c r="C13048"/>
    </row>
    <row r="13049" spans="3:3">
      <c r="C13049"/>
    </row>
    <row r="13050" spans="3:3">
      <c r="C13050"/>
    </row>
    <row r="13051" spans="3:3">
      <c r="C13051"/>
    </row>
    <row r="13052" spans="3:3">
      <c r="C13052"/>
    </row>
    <row r="13053" spans="3:3">
      <c r="C13053"/>
    </row>
    <row r="13054" spans="3:3">
      <c r="C13054"/>
    </row>
    <row r="13055" spans="3:3">
      <c r="C13055"/>
    </row>
    <row r="13056" spans="3:3">
      <c r="C13056"/>
    </row>
    <row r="13057" spans="3:3">
      <c r="C13057"/>
    </row>
    <row r="13058" spans="3:3">
      <c r="C13058"/>
    </row>
    <row r="13059" spans="3:3">
      <c r="C13059"/>
    </row>
    <row r="13060" spans="3:3">
      <c r="C13060"/>
    </row>
    <row r="13061" spans="3:3">
      <c r="C13061"/>
    </row>
    <row r="13062" spans="3:3">
      <c r="C13062"/>
    </row>
    <row r="13063" spans="3:3">
      <c r="C13063"/>
    </row>
    <row r="13064" spans="3:3">
      <c r="C13064"/>
    </row>
    <row r="13065" spans="3:3">
      <c r="C13065"/>
    </row>
    <row r="13066" spans="3:3">
      <c r="C13066"/>
    </row>
    <row r="13067" spans="3:3">
      <c r="C13067"/>
    </row>
    <row r="13068" spans="3:3">
      <c r="C13068"/>
    </row>
    <row r="13069" spans="3:3">
      <c r="C13069"/>
    </row>
    <row r="13070" spans="3:3">
      <c r="C13070"/>
    </row>
    <row r="13071" spans="3:3">
      <c r="C13071"/>
    </row>
    <row r="13072" spans="3:3">
      <c r="C13072"/>
    </row>
    <row r="13073" spans="3:3">
      <c r="C13073"/>
    </row>
    <row r="13074" spans="3:3">
      <c r="C13074"/>
    </row>
    <row r="13075" spans="3:3">
      <c r="C13075"/>
    </row>
    <row r="13076" spans="3:3">
      <c r="C13076"/>
    </row>
    <row r="13077" spans="3:3">
      <c r="C13077"/>
    </row>
    <row r="13078" spans="3:3">
      <c r="C13078"/>
    </row>
    <row r="13079" spans="3:3">
      <c r="C13079"/>
    </row>
    <row r="13080" spans="3:3">
      <c r="C13080"/>
    </row>
    <row r="13081" spans="3:3">
      <c r="C13081"/>
    </row>
    <row r="13082" spans="3:3">
      <c r="C13082"/>
    </row>
    <row r="13083" spans="3:3">
      <c r="C13083"/>
    </row>
    <row r="13084" spans="3:3">
      <c r="C13084"/>
    </row>
    <row r="13085" spans="3:3">
      <c r="C13085"/>
    </row>
    <row r="13086" spans="3:3">
      <c r="C13086"/>
    </row>
    <row r="13087" spans="3:3">
      <c r="C13087"/>
    </row>
    <row r="13088" spans="3:3">
      <c r="C13088"/>
    </row>
    <row r="13089" spans="3:3">
      <c r="C13089"/>
    </row>
    <row r="13090" spans="3:3">
      <c r="C13090"/>
    </row>
    <row r="13091" spans="3:3">
      <c r="C13091"/>
    </row>
    <row r="13092" spans="3:3">
      <c r="C13092"/>
    </row>
    <row r="13093" spans="3:3">
      <c r="C13093"/>
    </row>
    <row r="13094" spans="3:3">
      <c r="C13094"/>
    </row>
    <row r="13095" spans="3:3">
      <c r="C13095"/>
    </row>
    <row r="13096" spans="3:3">
      <c r="C13096"/>
    </row>
    <row r="13097" spans="3:3">
      <c r="C13097"/>
    </row>
    <row r="13098" spans="3:3">
      <c r="C13098"/>
    </row>
    <row r="13099" spans="3:3">
      <c r="C13099"/>
    </row>
    <row r="13100" spans="3:3">
      <c r="C13100"/>
    </row>
    <row r="13101" spans="3:3">
      <c r="C13101"/>
    </row>
    <row r="13102" spans="3:3">
      <c r="C13102"/>
    </row>
    <row r="13103" spans="3:3">
      <c r="C13103"/>
    </row>
    <row r="13104" spans="3:3">
      <c r="C13104"/>
    </row>
    <row r="13105" spans="3:3">
      <c r="C13105"/>
    </row>
    <row r="13106" spans="3:3">
      <c r="C13106"/>
    </row>
    <row r="13107" spans="3:3">
      <c r="C13107"/>
    </row>
    <row r="13108" spans="3:3">
      <c r="C13108"/>
    </row>
    <row r="13109" spans="3:3">
      <c r="C13109"/>
    </row>
    <row r="13110" spans="3:3">
      <c r="C13110"/>
    </row>
    <row r="13111" spans="3:3">
      <c r="C13111"/>
    </row>
    <row r="13112" spans="3:3">
      <c r="C13112"/>
    </row>
    <row r="13113" spans="3:3">
      <c r="C13113"/>
    </row>
    <row r="13114" spans="3:3">
      <c r="C13114"/>
    </row>
    <row r="13115" spans="3:3">
      <c r="C13115"/>
    </row>
    <row r="13116" spans="3:3">
      <c r="C13116"/>
    </row>
    <row r="13117" spans="3:3">
      <c r="C13117"/>
    </row>
    <row r="13118" spans="3:3">
      <c r="C13118"/>
    </row>
    <row r="13119" spans="3:3">
      <c r="C13119"/>
    </row>
    <row r="13120" spans="3:3">
      <c r="C13120"/>
    </row>
    <row r="13121" spans="3:3">
      <c r="C13121"/>
    </row>
    <row r="13122" spans="3:3">
      <c r="C13122"/>
    </row>
    <row r="13123" spans="3:3">
      <c r="C13123"/>
    </row>
    <row r="13124" spans="3:3">
      <c r="C13124"/>
    </row>
    <row r="13125" spans="3:3">
      <c r="C13125"/>
    </row>
    <row r="13126" spans="3:3">
      <c r="C13126"/>
    </row>
    <row r="13127" spans="3:3">
      <c r="C13127"/>
    </row>
    <row r="13128" spans="3:3">
      <c r="C13128"/>
    </row>
    <row r="13129" spans="3:3">
      <c r="C13129"/>
    </row>
    <row r="13130" spans="3:3">
      <c r="C13130"/>
    </row>
    <row r="13131" spans="3:3">
      <c r="C13131"/>
    </row>
    <row r="13132" spans="3:3">
      <c r="C13132"/>
    </row>
    <row r="13133" spans="3:3">
      <c r="C13133"/>
    </row>
    <row r="13134" spans="3:3">
      <c r="C13134"/>
    </row>
    <row r="13135" spans="3:3">
      <c r="C13135"/>
    </row>
    <row r="13136" spans="3:3">
      <c r="C13136"/>
    </row>
    <row r="13137" spans="3:3">
      <c r="C13137"/>
    </row>
    <row r="13138" spans="3:3">
      <c r="C13138"/>
    </row>
    <row r="13139" spans="3:3">
      <c r="C13139"/>
    </row>
    <row r="13140" spans="3:3">
      <c r="C13140"/>
    </row>
    <row r="13141" spans="3:3">
      <c r="C13141"/>
    </row>
    <row r="13142" spans="3:3">
      <c r="C13142"/>
    </row>
    <row r="13143" spans="3:3">
      <c r="C13143"/>
    </row>
    <row r="13144" spans="3:3">
      <c r="C13144"/>
    </row>
    <row r="13145" spans="3:3">
      <c r="C13145"/>
    </row>
    <row r="13146" spans="3:3">
      <c r="C13146"/>
    </row>
    <row r="13147" spans="3:3">
      <c r="C13147"/>
    </row>
    <row r="13148" spans="3:3">
      <c r="C13148"/>
    </row>
    <row r="13149" spans="3:3">
      <c r="C13149"/>
    </row>
    <row r="13150" spans="3:3">
      <c r="C13150"/>
    </row>
    <row r="13151" spans="3:3">
      <c r="C13151"/>
    </row>
    <row r="13152" spans="3:3">
      <c r="C13152"/>
    </row>
    <row r="13153" spans="3:3">
      <c r="C13153"/>
    </row>
    <row r="13154" spans="3:3">
      <c r="C13154"/>
    </row>
    <row r="13155" spans="3:3">
      <c r="C13155"/>
    </row>
    <row r="13156" spans="3:3">
      <c r="C13156"/>
    </row>
    <row r="13157" spans="3:3">
      <c r="C13157"/>
    </row>
    <row r="13158" spans="3:3">
      <c r="C13158"/>
    </row>
    <row r="13159" spans="3:3">
      <c r="C13159"/>
    </row>
    <row r="13160" spans="3:3">
      <c r="C13160"/>
    </row>
    <row r="13161" spans="3:3">
      <c r="C13161"/>
    </row>
    <row r="13162" spans="3:3">
      <c r="C13162"/>
    </row>
    <row r="13163" spans="3:3">
      <c r="C13163"/>
    </row>
    <row r="13164" spans="3:3">
      <c r="C13164"/>
    </row>
    <row r="13165" spans="3:3">
      <c r="C13165"/>
    </row>
    <row r="13166" spans="3:3">
      <c r="C13166"/>
    </row>
    <row r="13167" spans="3:3">
      <c r="C13167"/>
    </row>
    <row r="13168" spans="3:3">
      <c r="C13168"/>
    </row>
    <row r="13169" spans="3:3">
      <c r="C13169"/>
    </row>
    <row r="13170" spans="3:3">
      <c r="C13170"/>
    </row>
    <row r="13171" spans="3:3">
      <c r="C13171"/>
    </row>
    <row r="13172" spans="3:3">
      <c r="C13172"/>
    </row>
    <row r="13173" spans="3:3">
      <c r="C13173"/>
    </row>
    <row r="13174" spans="3:3">
      <c r="C13174"/>
    </row>
    <row r="13175" spans="3:3">
      <c r="C13175"/>
    </row>
    <row r="13176" spans="3:3">
      <c r="C13176"/>
    </row>
    <row r="13177" spans="3:3">
      <c r="C13177"/>
    </row>
    <row r="13178" spans="3:3">
      <c r="C13178"/>
    </row>
    <row r="13179" spans="3:3">
      <c r="C13179"/>
    </row>
    <row r="13180" spans="3:3">
      <c r="C13180"/>
    </row>
    <row r="13181" spans="3:3">
      <c r="C13181"/>
    </row>
    <row r="13182" spans="3:3">
      <c r="C13182"/>
    </row>
    <row r="13183" spans="3:3">
      <c r="C13183"/>
    </row>
    <row r="13184" spans="3:3">
      <c r="C13184"/>
    </row>
    <row r="13185" spans="3:3">
      <c r="C13185"/>
    </row>
    <row r="13186" spans="3:3">
      <c r="C13186"/>
    </row>
    <row r="13187" spans="3:3">
      <c r="C13187"/>
    </row>
    <row r="13188" spans="3:3">
      <c r="C13188"/>
    </row>
    <row r="13189" spans="3:3">
      <c r="C13189"/>
    </row>
    <row r="13190" spans="3:3">
      <c r="C13190"/>
    </row>
    <row r="13191" spans="3:3">
      <c r="C13191"/>
    </row>
    <row r="13192" spans="3:3">
      <c r="C13192"/>
    </row>
    <row r="13193" spans="3:3">
      <c r="C13193"/>
    </row>
    <row r="13194" spans="3:3">
      <c r="C13194"/>
    </row>
    <row r="13195" spans="3:3">
      <c r="C13195"/>
    </row>
    <row r="13196" spans="3:3">
      <c r="C13196"/>
    </row>
    <row r="13197" spans="3:3">
      <c r="C13197"/>
    </row>
    <row r="13198" spans="3:3">
      <c r="C13198"/>
    </row>
    <row r="13199" spans="3:3">
      <c r="C13199"/>
    </row>
    <row r="13200" spans="3:3">
      <c r="C13200"/>
    </row>
    <row r="13201" spans="3:3">
      <c r="C13201"/>
    </row>
    <row r="13202" spans="3:3">
      <c r="C13202"/>
    </row>
    <row r="13203" spans="3:3">
      <c r="C13203"/>
    </row>
    <row r="13204" spans="3:3">
      <c r="C13204"/>
    </row>
    <row r="13205" spans="3:3">
      <c r="C13205"/>
    </row>
    <row r="13206" spans="3:3">
      <c r="C13206"/>
    </row>
    <row r="13207" spans="3:3">
      <c r="C13207"/>
    </row>
    <row r="13208" spans="3:3">
      <c r="C13208"/>
    </row>
    <row r="13209" spans="3:3">
      <c r="C13209"/>
    </row>
    <row r="13210" spans="3:3">
      <c r="C13210"/>
    </row>
    <row r="13211" spans="3:3">
      <c r="C13211"/>
    </row>
    <row r="13212" spans="3:3">
      <c r="C13212"/>
    </row>
    <row r="13213" spans="3:3">
      <c r="C13213"/>
    </row>
    <row r="13214" spans="3:3">
      <c r="C13214"/>
    </row>
    <row r="13215" spans="3:3">
      <c r="C13215"/>
    </row>
    <row r="13216" spans="3:3">
      <c r="C13216"/>
    </row>
    <row r="13217" spans="3:3">
      <c r="C13217"/>
    </row>
    <row r="13218" spans="3:3">
      <c r="C13218"/>
    </row>
    <row r="13219" spans="3:3">
      <c r="C13219"/>
    </row>
    <row r="13220" spans="3:3">
      <c r="C13220"/>
    </row>
    <row r="13221" spans="3:3">
      <c r="C13221"/>
    </row>
    <row r="13222" spans="3:3">
      <c r="C13222"/>
    </row>
    <row r="13223" spans="3:3">
      <c r="C13223"/>
    </row>
    <row r="13224" spans="3:3">
      <c r="C13224"/>
    </row>
    <row r="13225" spans="3:3">
      <c r="C13225"/>
    </row>
    <row r="13226" spans="3:3">
      <c r="C13226"/>
    </row>
    <row r="13227" spans="3:3">
      <c r="C13227"/>
    </row>
    <row r="13228" spans="3:3">
      <c r="C13228"/>
    </row>
    <row r="13229" spans="3:3">
      <c r="C13229"/>
    </row>
    <row r="13230" spans="3:3">
      <c r="C13230"/>
    </row>
    <row r="13231" spans="3:3">
      <c r="C13231"/>
    </row>
    <row r="13232" spans="3:3">
      <c r="C13232"/>
    </row>
    <row r="13233" spans="3:3">
      <c r="C13233"/>
    </row>
    <row r="13234" spans="3:3">
      <c r="C13234"/>
    </row>
    <row r="13235" spans="3:3">
      <c r="C13235"/>
    </row>
    <row r="13236" spans="3:3">
      <c r="C13236"/>
    </row>
    <row r="13237" spans="3:3">
      <c r="C13237"/>
    </row>
    <row r="13238" spans="3:3">
      <c r="C13238"/>
    </row>
    <row r="13239" spans="3:3">
      <c r="C13239"/>
    </row>
    <row r="13240" spans="3:3">
      <c r="C13240"/>
    </row>
    <row r="13241" spans="3:3">
      <c r="C13241"/>
    </row>
    <row r="13242" spans="3:3">
      <c r="C13242"/>
    </row>
    <row r="13243" spans="3:3">
      <c r="C13243"/>
    </row>
    <row r="13244" spans="3:3">
      <c r="C13244"/>
    </row>
    <row r="13245" spans="3:3">
      <c r="C13245"/>
    </row>
    <row r="13246" spans="3:3">
      <c r="C13246"/>
    </row>
    <row r="13247" spans="3:3">
      <c r="C13247"/>
    </row>
    <row r="13248" spans="3:3">
      <c r="C13248"/>
    </row>
    <row r="13249" spans="3:3">
      <c r="C13249"/>
    </row>
    <row r="13250" spans="3:3">
      <c r="C13250"/>
    </row>
    <row r="13251" spans="3:3">
      <c r="C13251"/>
    </row>
    <row r="13252" spans="3:3">
      <c r="C13252"/>
    </row>
    <row r="13253" spans="3:3">
      <c r="C13253"/>
    </row>
    <row r="13254" spans="3:3">
      <c r="C13254"/>
    </row>
    <row r="13255" spans="3:3">
      <c r="C13255"/>
    </row>
    <row r="13256" spans="3:3">
      <c r="C13256"/>
    </row>
    <row r="13257" spans="3:3">
      <c r="C13257"/>
    </row>
    <row r="13258" spans="3:3">
      <c r="C13258"/>
    </row>
    <row r="13259" spans="3:3">
      <c r="C13259"/>
    </row>
    <row r="13260" spans="3:3">
      <c r="C13260"/>
    </row>
    <row r="13261" spans="3:3">
      <c r="C13261"/>
    </row>
    <row r="13262" spans="3:3">
      <c r="C13262"/>
    </row>
    <row r="13263" spans="3:3">
      <c r="C13263"/>
    </row>
    <row r="13264" spans="3:3">
      <c r="C13264"/>
    </row>
    <row r="13265" spans="3:3">
      <c r="C13265"/>
    </row>
    <row r="13266" spans="3:3">
      <c r="C13266"/>
    </row>
    <row r="13267" spans="3:3">
      <c r="C13267"/>
    </row>
    <row r="13268" spans="3:3">
      <c r="C13268"/>
    </row>
    <row r="13269" spans="3:3">
      <c r="C13269"/>
    </row>
    <row r="13270" spans="3:3">
      <c r="C13270"/>
    </row>
    <row r="13271" spans="3:3">
      <c r="C13271"/>
    </row>
    <row r="13272" spans="3:3">
      <c r="C13272"/>
    </row>
    <row r="13273" spans="3:3">
      <c r="C13273"/>
    </row>
    <row r="13274" spans="3:3">
      <c r="C13274"/>
    </row>
    <row r="13275" spans="3:3">
      <c r="C13275"/>
    </row>
    <row r="13276" spans="3:3">
      <c r="C13276"/>
    </row>
    <row r="13277" spans="3:3">
      <c r="C13277"/>
    </row>
    <row r="13278" spans="3:3">
      <c r="C13278"/>
    </row>
    <row r="13279" spans="3:3">
      <c r="C13279"/>
    </row>
    <row r="13280" spans="3:3">
      <c r="C13280"/>
    </row>
    <row r="13281" spans="3:3">
      <c r="C13281"/>
    </row>
    <row r="13282" spans="3:3">
      <c r="C13282"/>
    </row>
    <row r="13283" spans="3:3">
      <c r="C13283"/>
    </row>
    <row r="13284" spans="3:3">
      <c r="C13284"/>
    </row>
    <row r="13285" spans="3:3">
      <c r="C13285"/>
    </row>
    <row r="13286" spans="3:3">
      <c r="C13286"/>
    </row>
    <row r="13287" spans="3:3">
      <c r="C13287"/>
    </row>
    <row r="13288" spans="3:3">
      <c r="C13288"/>
    </row>
    <row r="13289" spans="3:3">
      <c r="C13289"/>
    </row>
    <row r="13290" spans="3:3">
      <c r="C13290"/>
    </row>
    <row r="13291" spans="3:3">
      <c r="C13291"/>
    </row>
    <row r="13292" spans="3:3">
      <c r="C13292"/>
    </row>
    <row r="13293" spans="3:3">
      <c r="C13293"/>
    </row>
    <row r="13294" spans="3:3">
      <c r="C13294"/>
    </row>
    <row r="13295" spans="3:3">
      <c r="C13295"/>
    </row>
    <row r="13296" spans="3:3">
      <c r="C13296"/>
    </row>
    <row r="13297" spans="3:3">
      <c r="C13297"/>
    </row>
    <row r="13298" spans="3:3">
      <c r="C13298"/>
    </row>
    <row r="13299" spans="3:3">
      <c r="C13299"/>
    </row>
    <row r="13300" spans="3:3">
      <c r="C13300"/>
    </row>
    <row r="13301" spans="3:3">
      <c r="C13301"/>
    </row>
    <row r="13302" spans="3:3">
      <c r="C13302"/>
    </row>
    <row r="13303" spans="3:3">
      <c r="C13303"/>
    </row>
    <row r="13304" spans="3:3">
      <c r="C13304"/>
    </row>
    <row r="13305" spans="3:3">
      <c r="C13305"/>
    </row>
    <row r="13306" spans="3:3">
      <c r="C13306"/>
    </row>
    <row r="13307" spans="3:3">
      <c r="C13307"/>
    </row>
    <row r="13308" spans="3:3">
      <c r="C13308"/>
    </row>
    <row r="13309" spans="3:3">
      <c r="C13309"/>
    </row>
    <row r="13310" spans="3:3">
      <c r="C13310"/>
    </row>
    <row r="13311" spans="3:3">
      <c r="C13311"/>
    </row>
    <row r="13312" spans="3:3">
      <c r="C13312"/>
    </row>
    <row r="13313" spans="3:3">
      <c r="C13313"/>
    </row>
    <row r="13314" spans="3:3">
      <c r="C13314"/>
    </row>
    <row r="13315" spans="3:3">
      <c r="C13315"/>
    </row>
    <row r="13316" spans="3:3">
      <c r="C13316"/>
    </row>
    <row r="13317" spans="3:3">
      <c r="C13317"/>
    </row>
    <row r="13318" spans="3:3">
      <c r="C13318"/>
    </row>
    <row r="13319" spans="3:3">
      <c r="C13319"/>
    </row>
    <row r="13320" spans="3:3">
      <c r="C13320"/>
    </row>
    <row r="13321" spans="3:3">
      <c r="C13321"/>
    </row>
    <row r="13322" spans="3:3">
      <c r="C13322"/>
    </row>
    <row r="13323" spans="3:3">
      <c r="C13323"/>
    </row>
    <row r="13324" spans="3:3">
      <c r="C13324"/>
    </row>
    <row r="13325" spans="3:3">
      <c r="C13325"/>
    </row>
    <row r="13326" spans="3:3">
      <c r="C13326"/>
    </row>
    <row r="13327" spans="3:3">
      <c r="C13327"/>
    </row>
    <row r="13328" spans="3:3">
      <c r="C13328"/>
    </row>
    <row r="13329" spans="3:3">
      <c r="C13329"/>
    </row>
    <row r="13330" spans="3:3">
      <c r="C13330"/>
    </row>
    <row r="13331" spans="3:3">
      <c r="C13331"/>
    </row>
    <row r="13332" spans="3:3">
      <c r="C13332"/>
    </row>
    <row r="13333" spans="3:3">
      <c r="C13333"/>
    </row>
    <row r="13334" spans="3:3">
      <c r="C13334"/>
    </row>
    <row r="13335" spans="3:3">
      <c r="C13335"/>
    </row>
    <row r="13336" spans="3:3">
      <c r="C13336"/>
    </row>
    <row r="13337" spans="3:3">
      <c r="C13337"/>
    </row>
    <row r="13338" spans="3:3">
      <c r="C13338"/>
    </row>
    <row r="13339" spans="3:3">
      <c r="C13339"/>
    </row>
    <row r="13340" spans="3:3">
      <c r="C13340"/>
    </row>
    <row r="13341" spans="3:3">
      <c r="C13341"/>
    </row>
    <row r="13342" spans="3:3">
      <c r="C13342"/>
    </row>
    <row r="13343" spans="3:3">
      <c r="C13343"/>
    </row>
    <row r="13344" spans="3:3">
      <c r="C13344"/>
    </row>
    <row r="13345" spans="3:3">
      <c r="C13345"/>
    </row>
    <row r="13346" spans="3:3">
      <c r="C13346"/>
    </row>
    <row r="13347" spans="3:3">
      <c r="C13347"/>
    </row>
    <row r="13348" spans="3:3">
      <c r="C13348"/>
    </row>
    <row r="13349" spans="3:3">
      <c r="C13349"/>
    </row>
    <row r="13350" spans="3:3">
      <c r="C13350"/>
    </row>
    <row r="13351" spans="3:3">
      <c r="C13351"/>
    </row>
    <row r="13352" spans="3:3">
      <c r="C13352"/>
    </row>
    <row r="13353" spans="3:3">
      <c r="C13353"/>
    </row>
    <row r="13354" spans="3:3">
      <c r="C13354"/>
    </row>
    <row r="13355" spans="3:3">
      <c r="C13355"/>
    </row>
    <row r="13356" spans="3:3">
      <c r="C13356"/>
    </row>
    <row r="13357" spans="3:3">
      <c r="C13357"/>
    </row>
    <row r="13358" spans="3:3">
      <c r="C13358"/>
    </row>
    <row r="13359" spans="3:3">
      <c r="C13359"/>
    </row>
    <row r="13360" spans="3:3">
      <c r="C13360"/>
    </row>
    <row r="13361" spans="3:3">
      <c r="C13361"/>
    </row>
    <row r="13362" spans="3:3">
      <c r="C13362"/>
    </row>
    <row r="13363" spans="3:3">
      <c r="C13363"/>
    </row>
    <row r="13364" spans="3:3">
      <c r="C13364"/>
    </row>
    <row r="13365" spans="3:3">
      <c r="C13365"/>
    </row>
    <row r="13366" spans="3:3">
      <c r="C13366"/>
    </row>
    <row r="13367" spans="3:3">
      <c r="C13367"/>
    </row>
    <row r="13368" spans="3:3">
      <c r="C13368"/>
    </row>
    <row r="13369" spans="3:3">
      <c r="C13369"/>
    </row>
    <row r="13370" spans="3:3">
      <c r="C13370"/>
    </row>
    <row r="13371" spans="3:3">
      <c r="C13371"/>
    </row>
    <row r="13372" spans="3:3">
      <c r="C13372"/>
    </row>
    <row r="13373" spans="3:3">
      <c r="C13373"/>
    </row>
    <row r="13374" spans="3:3">
      <c r="C13374"/>
    </row>
    <row r="13375" spans="3:3">
      <c r="C13375"/>
    </row>
    <row r="13376" spans="3:3">
      <c r="C13376"/>
    </row>
    <row r="13377" spans="3:3">
      <c r="C13377"/>
    </row>
    <row r="13378" spans="3:3">
      <c r="C13378"/>
    </row>
    <row r="13379" spans="3:3">
      <c r="C13379"/>
    </row>
    <row r="13380" spans="3:3">
      <c r="C13380"/>
    </row>
    <row r="13381" spans="3:3">
      <c r="C13381"/>
    </row>
    <row r="13382" spans="3:3">
      <c r="C13382"/>
    </row>
    <row r="13383" spans="3:3">
      <c r="C13383"/>
    </row>
    <row r="13384" spans="3:3">
      <c r="C13384"/>
    </row>
    <row r="13385" spans="3:3">
      <c r="C13385"/>
    </row>
    <row r="13386" spans="3:3">
      <c r="C13386"/>
    </row>
    <row r="13387" spans="3:3">
      <c r="C13387"/>
    </row>
    <row r="13388" spans="3:3">
      <c r="C13388"/>
    </row>
    <row r="13389" spans="3:3">
      <c r="C13389"/>
    </row>
    <row r="13390" spans="3:3">
      <c r="C13390"/>
    </row>
    <row r="13391" spans="3:3">
      <c r="C13391"/>
    </row>
    <row r="13392" spans="3:3">
      <c r="C13392"/>
    </row>
    <row r="13393" spans="3:3">
      <c r="C13393"/>
    </row>
    <row r="13394" spans="3:3">
      <c r="C13394"/>
    </row>
    <row r="13395" spans="3:3">
      <c r="C13395"/>
    </row>
    <row r="13396" spans="3:3">
      <c r="C13396"/>
    </row>
    <row r="13397" spans="3:3">
      <c r="C13397"/>
    </row>
    <row r="13398" spans="3:3">
      <c r="C13398"/>
    </row>
    <row r="13399" spans="3:3">
      <c r="C13399"/>
    </row>
    <row r="13400" spans="3:3">
      <c r="C13400"/>
    </row>
    <row r="13401" spans="3:3">
      <c r="C13401"/>
    </row>
    <row r="13402" spans="3:3">
      <c r="C13402"/>
    </row>
    <row r="13403" spans="3:3">
      <c r="C13403"/>
    </row>
    <row r="13404" spans="3:3">
      <c r="C13404"/>
    </row>
    <row r="13405" spans="3:3">
      <c r="C13405"/>
    </row>
    <row r="13406" spans="3:3">
      <c r="C13406"/>
    </row>
    <row r="13407" spans="3:3">
      <c r="C13407"/>
    </row>
    <row r="13408" spans="3:3">
      <c r="C13408"/>
    </row>
    <row r="13409" spans="3:3">
      <c r="C13409"/>
    </row>
    <row r="13410" spans="3:3">
      <c r="C13410"/>
    </row>
    <row r="13411" spans="3:3">
      <c r="C13411"/>
    </row>
    <row r="13412" spans="3:3">
      <c r="C13412"/>
    </row>
    <row r="13413" spans="3:3">
      <c r="C13413"/>
    </row>
    <row r="13414" spans="3:3">
      <c r="C13414"/>
    </row>
    <row r="13415" spans="3:3">
      <c r="C13415"/>
    </row>
    <row r="13416" spans="3:3">
      <c r="C13416"/>
    </row>
    <row r="13417" spans="3:3">
      <c r="C13417"/>
    </row>
    <row r="13418" spans="3:3">
      <c r="C13418"/>
    </row>
    <row r="13419" spans="3:3">
      <c r="C13419"/>
    </row>
    <row r="13420" spans="3:3">
      <c r="C13420"/>
    </row>
    <row r="13421" spans="3:3">
      <c r="C13421"/>
    </row>
    <row r="13422" spans="3:3">
      <c r="C13422"/>
    </row>
    <row r="13423" spans="3:3">
      <c r="C13423"/>
    </row>
    <row r="13424" spans="3:3">
      <c r="C13424"/>
    </row>
    <row r="13425" spans="3:3">
      <c r="C13425"/>
    </row>
    <row r="13426" spans="3:3">
      <c r="C13426"/>
    </row>
    <row r="13427" spans="3:3">
      <c r="C13427"/>
    </row>
    <row r="13428" spans="3:3">
      <c r="C13428"/>
    </row>
    <row r="13429" spans="3:3">
      <c r="C13429"/>
    </row>
    <row r="13430" spans="3:3">
      <c r="C13430"/>
    </row>
    <row r="13431" spans="3:3">
      <c r="C13431"/>
    </row>
    <row r="13432" spans="3:3">
      <c r="C13432"/>
    </row>
    <row r="13433" spans="3:3">
      <c r="C13433"/>
    </row>
    <row r="13434" spans="3:3">
      <c r="C13434"/>
    </row>
    <row r="13435" spans="3:3">
      <c r="C13435"/>
    </row>
    <row r="13436" spans="3:3">
      <c r="C13436"/>
    </row>
    <row r="13437" spans="3:3">
      <c r="C13437"/>
    </row>
    <row r="13438" spans="3:3">
      <c r="C13438"/>
    </row>
    <row r="13439" spans="3:3">
      <c r="C13439"/>
    </row>
    <row r="13440" spans="3:3">
      <c r="C13440"/>
    </row>
    <row r="13441" spans="3:3">
      <c r="C13441"/>
    </row>
    <row r="13442" spans="3:3">
      <c r="C13442"/>
    </row>
    <row r="13443" spans="3:3">
      <c r="C13443"/>
    </row>
    <row r="13444" spans="3:3">
      <c r="C13444"/>
    </row>
    <row r="13445" spans="3:3">
      <c r="C13445"/>
    </row>
    <row r="13446" spans="3:3">
      <c r="C13446"/>
    </row>
    <row r="13447" spans="3:3">
      <c r="C13447"/>
    </row>
    <row r="13448" spans="3:3">
      <c r="C13448"/>
    </row>
    <row r="13449" spans="3:3">
      <c r="C13449"/>
    </row>
    <row r="13450" spans="3:3">
      <c r="C13450"/>
    </row>
    <row r="13451" spans="3:3">
      <c r="C13451"/>
    </row>
    <row r="13452" spans="3:3">
      <c r="C13452"/>
    </row>
    <row r="13453" spans="3:3">
      <c r="C13453"/>
    </row>
    <row r="13454" spans="3:3">
      <c r="C13454"/>
    </row>
    <row r="13455" spans="3:3">
      <c r="C13455"/>
    </row>
    <row r="13456" spans="3:3">
      <c r="C13456"/>
    </row>
    <row r="13457" spans="3:3">
      <c r="C13457"/>
    </row>
    <row r="13458" spans="3:3">
      <c r="C13458"/>
    </row>
    <row r="13459" spans="3:3">
      <c r="C13459"/>
    </row>
    <row r="13460" spans="3:3">
      <c r="C13460"/>
    </row>
    <row r="13461" spans="3:3">
      <c r="C13461"/>
    </row>
    <row r="13462" spans="3:3">
      <c r="C13462"/>
    </row>
    <row r="13463" spans="3:3">
      <c r="C13463"/>
    </row>
    <row r="13464" spans="3:3">
      <c r="C13464"/>
    </row>
    <row r="13465" spans="3:3">
      <c r="C13465"/>
    </row>
    <row r="13466" spans="3:3">
      <c r="C13466"/>
    </row>
    <row r="13467" spans="3:3">
      <c r="C13467"/>
    </row>
    <row r="13468" spans="3:3">
      <c r="C13468"/>
    </row>
    <row r="13469" spans="3:3">
      <c r="C13469"/>
    </row>
    <row r="13470" spans="3:3">
      <c r="C13470"/>
    </row>
    <row r="13471" spans="3:3">
      <c r="C13471"/>
    </row>
    <row r="13472" spans="3:3">
      <c r="C13472"/>
    </row>
    <row r="13473" spans="3:3">
      <c r="C13473"/>
    </row>
    <row r="13474" spans="3:3">
      <c r="C13474"/>
    </row>
    <row r="13475" spans="3:3">
      <c r="C13475"/>
    </row>
    <row r="13476" spans="3:3">
      <c r="C13476"/>
    </row>
    <row r="13477" spans="3:3">
      <c r="C13477"/>
    </row>
    <row r="13478" spans="3:3">
      <c r="C13478"/>
    </row>
    <row r="13479" spans="3:3">
      <c r="C13479"/>
    </row>
    <row r="13480" spans="3:3">
      <c r="C13480"/>
    </row>
    <row r="13481" spans="3:3">
      <c r="C13481"/>
    </row>
    <row r="13482" spans="3:3">
      <c r="C13482"/>
    </row>
    <row r="13483" spans="3:3">
      <c r="C13483"/>
    </row>
    <row r="13484" spans="3:3">
      <c r="C13484"/>
    </row>
    <row r="13485" spans="3:3">
      <c r="C13485"/>
    </row>
    <row r="13486" spans="3:3">
      <c r="C13486"/>
    </row>
    <row r="13487" spans="3:3">
      <c r="C13487"/>
    </row>
    <row r="13488" spans="3:3">
      <c r="C13488"/>
    </row>
    <row r="13489" spans="3:3">
      <c r="C13489"/>
    </row>
    <row r="13490" spans="3:3">
      <c r="C13490"/>
    </row>
    <row r="13491" spans="3:3">
      <c r="C13491"/>
    </row>
    <row r="13492" spans="3:3">
      <c r="C13492"/>
    </row>
    <row r="13493" spans="3:3">
      <c r="C13493"/>
    </row>
    <row r="13494" spans="3:3">
      <c r="C13494"/>
    </row>
    <row r="13495" spans="3:3">
      <c r="C13495"/>
    </row>
    <row r="13496" spans="3:3">
      <c r="C13496"/>
    </row>
    <row r="13497" spans="3:3">
      <c r="C13497"/>
    </row>
    <row r="13498" spans="3:3">
      <c r="C13498"/>
    </row>
    <row r="13499" spans="3:3">
      <c r="C13499"/>
    </row>
    <row r="13500" spans="3:3">
      <c r="C13500"/>
    </row>
    <row r="13501" spans="3:3">
      <c r="C13501"/>
    </row>
    <row r="13502" spans="3:3">
      <c r="C13502"/>
    </row>
    <row r="13503" spans="3:3">
      <c r="C13503"/>
    </row>
    <row r="13504" spans="3:3">
      <c r="C13504"/>
    </row>
    <row r="13505" spans="3:3">
      <c r="C13505"/>
    </row>
    <row r="13506" spans="3:3">
      <c r="C13506"/>
    </row>
    <row r="13507" spans="3:3">
      <c r="C13507"/>
    </row>
    <row r="13508" spans="3:3">
      <c r="C13508"/>
    </row>
    <row r="13509" spans="3:3">
      <c r="C13509"/>
    </row>
    <row r="13510" spans="3:3">
      <c r="C13510"/>
    </row>
    <row r="13511" spans="3:3">
      <c r="C13511"/>
    </row>
    <row r="13512" spans="3:3">
      <c r="C13512"/>
    </row>
    <row r="13513" spans="3:3">
      <c r="C13513"/>
    </row>
    <row r="13514" spans="3:3">
      <c r="C13514"/>
    </row>
    <row r="13515" spans="3:3">
      <c r="C13515"/>
    </row>
    <row r="13516" spans="3:3">
      <c r="C13516"/>
    </row>
    <row r="13517" spans="3:3">
      <c r="C13517"/>
    </row>
    <row r="13518" spans="3:3">
      <c r="C13518"/>
    </row>
    <row r="13519" spans="3:3">
      <c r="C13519"/>
    </row>
    <row r="13520" spans="3:3">
      <c r="C13520"/>
    </row>
    <row r="13521" spans="3:3">
      <c r="C13521"/>
    </row>
    <row r="13522" spans="3:3">
      <c r="C13522"/>
    </row>
    <row r="13523" spans="3:3">
      <c r="C13523"/>
    </row>
    <row r="13524" spans="3:3">
      <c r="C13524"/>
    </row>
    <row r="13525" spans="3:3">
      <c r="C13525"/>
    </row>
    <row r="13526" spans="3:3">
      <c r="C13526"/>
    </row>
    <row r="13527" spans="3:3">
      <c r="C13527"/>
    </row>
    <row r="13528" spans="3:3">
      <c r="C13528"/>
    </row>
    <row r="13529" spans="3:3">
      <c r="C13529"/>
    </row>
    <row r="13530" spans="3:3">
      <c r="C13530"/>
    </row>
    <row r="13531" spans="3:3">
      <c r="C13531"/>
    </row>
    <row r="13532" spans="3:3">
      <c r="C13532"/>
    </row>
    <row r="13533" spans="3:3">
      <c r="C13533"/>
    </row>
    <row r="13534" spans="3:3">
      <c r="C13534"/>
    </row>
    <row r="13535" spans="3:3">
      <c r="C13535"/>
    </row>
    <row r="13536" spans="3:3">
      <c r="C13536"/>
    </row>
    <row r="13537" spans="3:3">
      <c r="C13537"/>
    </row>
    <row r="13538" spans="3:3">
      <c r="C13538"/>
    </row>
    <row r="13539" spans="3:3">
      <c r="C13539"/>
    </row>
    <row r="13540" spans="3:3">
      <c r="C13540"/>
    </row>
    <row r="13541" spans="3:3">
      <c r="C13541"/>
    </row>
    <row r="13542" spans="3:3">
      <c r="C13542"/>
    </row>
    <row r="13543" spans="3:3">
      <c r="C13543"/>
    </row>
    <row r="13544" spans="3:3">
      <c r="C13544"/>
    </row>
    <row r="13545" spans="3:3">
      <c r="C13545"/>
    </row>
    <row r="13546" spans="3:3">
      <c r="C13546"/>
    </row>
    <row r="13547" spans="3:3">
      <c r="C13547"/>
    </row>
    <row r="13548" spans="3:3">
      <c r="C13548"/>
    </row>
    <row r="13549" spans="3:3">
      <c r="C13549"/>
    </row>
    <row r="13550" spans="3:3">
      <c r="C13550"/>
    </row>
    <row r="13551" spans="3:3">
      <c r="C13551"/>
    </row>
    <row r="13552" spans="3:3">
      <c r="C13552"/>
    </row>
    <row r="13553" spans="3:3">
      <c r="C13553"/>
    </row>
    <row r="13554" spans="3:3">
      <c r="C13554"/>
    </row>
    <row r="13555" spans="3:3">
      <c r="C13555"/>
    </row>
    <row r="13556" spans="3:3">
      <c r="C13556"/>
    </row>
    <row r="13557" spans="3:3">
      <c r="C13557"/>
    </row>
    <row r="13558" spans="3:3">
      <c r="C13558"/>
    </row>
    <row r="13559" spans="3:3">
      <c r="C13559"/>
    </row>
    <row r="13560" spans="3:3">
      <c r="C13560"/>
    </row>
    <row r="13561" spans="3:3">
      <c r="C13561"/>
    </row>
    <row r="13562" spans="3:3">
      <c r="C13562"/>
    </row>
    <row r="13563" spans="3:3">
      <c r="C13563"/>
    </row>
    <row r="13564" spans="3:3">
      <c r="C13564"/>
    </row>
    <row r="13565" spans="3:3">
      <c r="C13565"/>
    </row>
    <row r="13566" spans="3:3">
      <c r="C13566"/>
    </row>
    <row r="13567" spans="3:3">
      <c r="C13567"/>
    </row>
    <row r="13568" spans="3:3">
      <c r="C13568"/>
    </row>
    <row r="13569" spans="3:3">
      <c r="C13569"/>
    </row>
    <row r="13570" spans="3:3">
      <c r="C13570"/>
    </row>
    <row r="13571" spans="3:3">
      <c r="C13571"/>
    </row>
    <row r="13572" spans="3:3">
      <c r="C13572"/>
    </row>
    <row r="13573" spans="3:3">
      <c r="C13573"/>
    </row>
    <row r="13574" spans="3:3">
      <c r="C13574"/>
    </row>
    <row r="13575" spans="3:3">
      <c r="C13575"/>
    </row>
    <row r="13576" spans="3:3">
      <c r="C13576"/>
    </row>
    <row r="13577" spans="3:3">
      <c r="C13577"/>
    </row>
    <row r="13578" spans="3:3">
      <c r="C13578"/>
    </row>
    <row r="13579" spans="3:3">
      <c r="C13579"/>
    </row>
    <row r="13580" spans="3:3">
      <c r="C13580"/>
    </row>
    <row r="13581" spans="3:3">
      <c r="C13581"/>
    </row>
    <row r="13582" spans="3:3">
      <c r="C13582"/>
    </row>
    <row r="13583" spans="3:3">
      <c r="C13583"/>
    </row>
    <row r="13584" spans="3:3">
      <c r="C13584"/>
    </row>
    <row r="13585" spans="3:3">
      <c r="C13585"/>
    </row>
    <row r="13586" spans="3:3">
      <c r="C13586"/>
    </row>
    <row r="13587" spans="3:3">
      <c r="C13587"/>
    </row>
    <row r="13588" spans="3:3">
      <c r="C13588"/>
    </row>
    <row r="13589" spans="3:3">
      <c r="C13589"/>
    </row>
    <row r="13590" spans="3:3">
      <c r="C13590"/>
    </row>
    <row r="13591" spans="3:3">
      <c r="C13591"/>
    </row>
    <row r="13592" spans="3:3">
      <c r="C13592"/>
    </row>
    <row r="13593" spans="3:3">
      <c r="C13593"/>
    </row>
    <row r="13594" spans="3:3">
      <c r="C13594"/>
    </row>
    <row r="13595" spans="3:3">
      <c r="C13595"/>
    </row>
    <row r="13596" spans="3:3">
      <c r="C13596"/>
    </row>
    <row r="13597" spans="3:3">
      <c r="C13597"/>
    </row>
    <row r="13598" spans="3:3">
      <c r="C13598"/>
    </row>
    <row r="13599" spans="3:3">
      <c r="C13599"/>
    </row>
    <row r="13600" spans="3:3">
      <c r="C13600"/>
    </row>
    <row r="13601" spans="3:3">
      <c r="C13601"/>
    </row>
    <row r="13602" spans="3:3">
      <c r="C13602"/>
    </row>
    <row r="13603" spans="3:3">
      <c r="C13603"/>
    </row>
    <row r="13604" spans="3:3">
      <c r="C13604"/>
    </row>
    <row r="13605" spans="3:3">
      <c r="C13605"/>
    </row>
    <row r="13606" spans="3:3">
      <c r="C13606"/>
    </row>
    <row r="13607" spans="3:3">
      <c r="C13607"/>
    </row>
    <row r="13608" spans="3:3">
      <c r="C13608"/>
    </row>
    <row r="13609" spans="3:3">
      <c r="C13609"/>
    </row>
    <row r="13610" spans="3:3">
      <c r="C13610"/>
    </row>
    <row r="13611" spans="3:3">
      <c r="C13611"/>
    </row>
    <row r="13612" spans="3:3">
      <c r="C13612"/>
    </row>
    <row r="13613" spans="3:3">
      <c r="C13613"/>
    </row>
    <row r="13614" spans="3:3">
      <c r="C13614"/>
    </row>
    <row r="13615" spans="3:3">
      <c r="C13615"/>
    </row>
    <row r="13616" spans="3:3">
      <c r="C13616"/>
    </row>
    <row r="13617" spans="3:3">
      <c r="C13617"/>
    </row>
    <row r="13618" spans="3:3">
      <c r="C13618"/>
    </row>
    <row r="13619" spans="3:3">
      <c r="C13619"/>
    </row>
    <row r="13620" spans="3:3">
      <c r="C13620"/>
    </row>
    <row r="13621" spans="3:3">
      <c r="C13621"/>
    </row>
    <row r="13622" spans="3:3">
      <c r="C13622"/>
    </row>
    <row r="13623" spans="3:3">
      <c r="C13623"/>
    </row>
    <row r="13624" spans="3:3">
      <c r="C13624"/>
    </row>
    <row r="13625" spans="3:3">
      <c r="C13625"/>
    </row>
    <row r="13626" spans="3:3">
      <c r="C13626"/>
    </row>
    <row r="13627" spans="3:3">
      <c r="C13627"/>
    </row>
    <row r="13628" spans="3:3">
      <c r="C13628"/>
    </row>
    <row r="13629" spans="3:3">
      <c r="C13629"/>
    </row>
    <row r="13630" spans="3:3">
      <c r="C13630"/>
    </row>
    <row r="13631" spans="3:3">
      <c r="C13631"/>
    </row>
    <row r="13632" spans="3:3">
      <c r="C13632"/>
    </row>
    <row r="13633" spans="3:3">
      <c r="C13633"/>
    </row>
    <row r="13634" spans="3:3">
      <c r="C13634"/>
    </row>
    <row r="13635" spans="3:3">
      <c r="C13635"/>
    </row>
    <row r="13636" spans="3:3">
      <c r="C13636"/>
    </row>
    <row r="13637" spans="3:3">
      <c r="C13637"/>
    </row>
    <row r="13638" spans="3:3">
      <c r="C13638"/>
    </row>
    <row r="13639" spans="3:3">
      <c r="C13639"/>
    </row>
    <row r="13640" spans="3:3">
      <c r="C13640"/>
    </row>
    <row r="13641" spans="3:3">
      <c r="C13641"/>
    </row>
    <row r="13642" spans="3:3">
      <c r="C13642"/>
    </row>
    <row r="13643" spans="3:3">
      <c r="C13643"/>
    </row>
    <row r="13644" spans="3:3">
      <c r="C13644"/>
    </row>
    <row r="13645" spans="3:3">
      <c r="C13645"/>
    </row>
    <row r="13646" spans="3:3">
      <c r="C13646"/>
    </row>
    <row r="13647" spans="3:3">
      <c r="C13647"/>
    </row>
    <row r="13648" spans="3:3">
      <c r="C13648"/>
    </row>
    <row r="13649" spans="3:3">
      <c r="C13649"/>
    </row>
    <row r="13650" spans="3:3">
      <c r="C13650"/>
    </row>
    <row r="13651" spans="3:3">
      <c r="C13651"/>
    </row>
    <row r="13652" spans="3:3">
      <c r="C13652"/>
    </row>
    <row r="13653" spans="3:3">
      <c r="C13653"/>
    </row>
    <row r="13654" spans="3:3">
      <c r="C13654"/>
    </row>
    <row r="13655" spans="3:3">
      <c r="C13655"/>
    </row>
    <row r="13656" spans="3:3">
      <c r="C13656"/>
    </row>
    <row r="13657" spans="3:3">
      <c r="C13657"/>
    </row>
    <row r="13658" spans="3:3">
      <c r="C13658"/>
    </row>
    <row r="13659" spans="3:3">
      <c r="C13659"/>
    </row>
    <row r="13660" spans="3:3">
      <c r="C13660"/>
    </row>
    <row r="13661" spans="3:3">
      <c r="C13661"/>
    </row>
    <row r="13662" spans="3:3">
      <c r="C13662"/>
    </row>
    <row r="13663" spans="3:3">
      <c r="C13663"/>
    </row>
    <row r="13664" spans="3:3">
      <c r="C13664"/>
    </row>
    <row r="13665" spans="3:3">
      <c r="C13665"/>
    </row>
    <row r="13666" spans="3:3">
      <c r="C13666"/>
    </row>
    <row r="13667" spans="3:3">
      <c r="C13667"/>
    </row>
    <row r="13668" spans="3:3">
      <c r="C13668"/>
    </row>
    <row r="13669" spans="3:3">
      <c r="C13669"/>
    </row>
    <row r="13670" spans="3:3">
      <c r="C13670"/>
    </row>
    <row r="13671" spans="3:3">
      <c r="C13671"/>
    </row>
    <row r="13672" spans="3:3">
      <c r="C13672"/>
    </row>
    <row r="13673" spans="3:3">
      <c r="C13673"/>
    </row>
    <row r="13674" spans="3:3">
      <c r="C13674"/>
    </row>
    <row r="13675" spans="3:3">
      <c r="C13675"/>
    </row>
    <row r="13676" spans="3:3">
      <c r="C13676"/>
    </row>
    <row r="13677" spans="3:3">
      <c r="C13677"/>
    </row>
    <row r="13678" spans="3:3">
      <c r="C13678"/>
    </row>
    <row r="13679" spans="3:3">
      <c r="C13679"/>
    </row>
    <row r="13680" spans="3:3">
      <c r="C13680"/>
    </row>
    <row r="13681" spans="3:3">
      <c r="C13681"/>
    </row>
    <row r="13682" spans="3:3">
      <c r="C13682"/>
    </row>
    <row r="13683" spans="3:3">
      <c r="C13683"/>
    </row>
    <row r="13684" spans="3:3">
      <c r="C13684"/>
    </row>
    <row r="13685" spans="3:3">
      <c r="C13685"/>
    </row>
    <row r="13686" spans="3:3">
      <c r="C13686"/>
    </row>
    <row r="13687" spans="3:3">
      <c r="C13687"/>
    </row>
    <row r="13688" spans="3:3">
      <c r="C13688"/>
    </row>
    <row r="13689" spans="3:3">
      <c r="C13689"/>
    </row>
    <row r="13690" spans="3:3">
      <c r="C13690"/>
    </row>
    <row r="13691" spans="3:3">
      <c r="C13691"/>
    </row>
    <row r="13692" spans="3:3">
      <c r="C13692"/>
    </row>
    <row r="13693" spans="3:3">
      <c r="C13693"/>
    </row>
    <row r="13694" spans="3:3">
      <c r="C13694"/>
    </row>
    <row r="13695" spans="3:3">
      <c r="C13695"/>
    </row>
    <row r="13696" spans="3:3">
      <c r="C13696"/>
    </row>
    <row r="13697" spans="3:3">
      <c r="C13697"/>
    </row>
    <row r="13698" spans="3:3">
      <c r="C13698"/>
    </row>
    <row r="13699" spans="3:3">
      <c r="C13699"/>
    </row>
    <row r="13700" spans="3:3">
      <c r="C13700"/>
    </row>
    <row r="13701" spans="3:3">
      <c r="C13701"/>
    </row>
    <row r="13702" spans="3:3">
      <c r="C13702"/>
    </row>
    <row r="13703" spans="3:3">
      <c r="C13703"/>
    </row>
    <row r="13704" spans="3:3">
      <c r="C13704"/>
    </row>
    <row r="13705" spans="3:3">
      <c r="C13705"/>
    </row>
    <row r="13706" spans="3:3">
      <c r="C13706"/>
    </row>
    <row r="13707" spans="3:3">
      <c r="C13707"/>
    </row>
    <row r="13708" spans="3:3">
      <c r="C13708"/>
    </row>
    <row r="13709" spans="3:3">
      <c r="C13709"/>
    </row>
    <row r="13710" spans="3:3">
      <c r="C13710"/>
    </row>
    <row r="13711" spans="3:3">
      <c r="C13711"/>
    </row>
    <row r="13712" spans="3:3">
      <c r="C13712"/>
    </row>
    <row r="13713" spans="3:3">
      <c r="C13713"/>
    </row>
    <row r="13714" spans="3:3">
      <c r="C13714"/>
    </row>
    <row r="13715" spans="3:3">
      <c r="C13715"/>
    </row>
    <row r="13716" spans="3:3">
      <c r="C13716"/>
    </row>
    <row r="13717" spans="3:3">
      <c r="C13717"/>
    </row>
    <row r="13718" spans="3:3">
      <c r="C13718"/>
    </row>
    <row r="13719" spans="3:3">
      <c r="C13719"/>
    </row>
    <row r="13720" spans="3:3">
      <c r="C13720"/>
    </row>
    <row r="13721" spans="3:3">
      <c r="C13721"/>
    </row>
    <row r="13722" spans="3:3">
      <c r="C13722"/>
    </row>
    <row r="13723" spans="3:3">
      <c r="C13723"/>
    </row>
    <row r="13724" spans="3:3">
      <c r="C13724"/>
    </row>
    <row r="13725" spans="3:3">
      <c r="C13725"/>
    </row>
    <row r="13726" spans="3:3">
      <c r="C13726"/>
    </row>
    <row r="13727" spans="3:3">
      <c r="C13727"/>
    </row>
    <row r="13728" spans="3:3">
      <c r="C13728"/>
    </row>
    <row r="13729" spans="3:3">
      <c r="C13729"/>
    </row>
    <row r="13730" spans="3:3">
      <c r="C13730"/>
    </row>
    <row r="13731" spans="3:3">
      <c r="C13731"/>
    </row>
    <row r="13732" spans="3:3">
      <c r="C13732"/>
    </row>
    <row r="13733" spans="3:3">
      <c r="C13733"/>
    </row>
    <row r="13734" spans="3:3">
      <c r="C13734"/>
    </row>
    <row r="13735" spans="3:3">
      <c r="C13735"/>
    </row>
    <row r="13736" spans="3:3">
      <c r="C13736"/>
    </row>
    <row r="13737" spans="3:3">
      <c r="C13737"/>
    </row>
    <row r="13738" spans="3:3">
      <c r="C13738"/>
    </row>
    <row r="13739" spans="3:3">
      <c r="C13739"/>
    </row>
    <row r="13740" spans="3:3">
      <c r="C13740"/>
    </row>
    <row r="13741" spans="3:3">
      <c r="C13741"/>
    </row>
    <row r="13742" spans="3:3">
      <c r="C13742"/>
    </row>
    <row r="13743" spans="3:3">
      <c r="C13743"/>
    </row>
    <row r="13744" spans="3:3">
      <c r="C13744"/>
    </row>
    <row r="13745" spans="3:3">
      <c r="C13745"/>
    </row>
    <row r="13746" spans="3:3">
      <c r="C13746"/>
    </row>
    <row r="13747" spans="3:3">
      <c r="C13747"/>
    </row>
    <row r="13748" spans="3:3">
      <c r="C13748"/>
    </row>
    <row r="13749" spans="3:3">
      <c r="C13749"/>
    </row>
    <row r="13750" spans="3:3">
      <c r="C13750"/>
    </row>
    <row r="13751" spans="3:3">
      <c r="C13751"/>
    </row>
    <row r="13752" spans="3:3">
      <c r="C13752"/>
    </row>
    <row r="13753" spans="3:3">
      <c r="C13753"/>
    </row>
    <row r="13754" spans="3:3">
      <c r="C13754"/>
    </row>
    <row r="13755" spans="3:3">
      <c r="C13755"/>
    </row>
    <row r="13756" spans="3:3">
      <c r="C13756"/>
    </row>
    <row r="13757" spans="3:3">
      <c r="C13757"/>
    </row>
    <row r="13758" spans="3:3">
      <c r="C13758"/>
    </row>
    <row r="13759" spans="3:3">
      <c r="C13759"/>
    </row>
    <row r="13760" spans="3:3">
      <c r="C13760"/>
    </row>
    <row r="13761" spans="3:3">
      <c r="C13761"/>
    </row>
    <row r="13762" spans="3:3">
      <c r="C13762"/>
    </row>
    <row r="13763" spans="3:3">
      <c r="C13763"/>
    </row>
    <row r="13764" spans="3:3">
      <c r="C13764"/>
    </row>
    <row r="13765" spans="3:3">
      <c r="C13765"/>
    </row>
    <row r="13766" spans="3:3">
      <c r="C13766"/>
    </row>
    <row r="13767" spans="3:3">
      <c r="C13767"/>
    </row>
    <row r="13768" spans="3:3">
      <c r="C13768"/>
    </row>
    <row r="13769" spans="3:3">
      <c r="C13769"/>
    </row>
    <row r="13770" spans="3:3">
      <c r="C13770"/>
    </row>
    <row r="13771" spans="3:3">
      <c r="C13771"/>
    </row>
    <row r="13772" spans="3:3">
      <c r="C13772"/>
    </row>
    <row r="13773" spans="3:3">
      <c r="C13773"/>
    </row>
    <row r="13774" spans="3:3">
      <c r="C13774"/>
    </row>
    <row r="13775" spans="3:3">
      <c r="C13775"/>
    </row>
    <row r="13776" spans="3:3">
      <c r="C13776"/>
    </row>
    <row r="13777" spans="3:3">
      <c r="C13777"/>
    </row>
    <row r="13778" spans="3:3">
      <c r="C13778"/>
    </row>
    <row r="13779" spans="3:3">
      <c r="C13779"/>
    </row>
    <row r="13780" spans="3:3">
      <c r="C13780"/>
    </row>
    <row r="13781" spans="3:3">
      <c r="C13781"/>
    </row>
    <row r="13782" spans="3:3">
      <c r="C13782"/>
    </row>
    <row r="13783" spans="3:3">
      <c r="C13783"/>
    </row>
    <row r="13784" spans="3:3">
      <c r="C13784"/>
    </row>
    <row r="13785" spans="3:3">
      <c r="C13785"/>
    </row>
    <row r="13786" spans="3:3">
      <c r="C13786"/>
    </row>
    <row r="13787" spans="3:3">
      <c r="C13787"/>
    </row>
    <row r="13788" spans="3:3">
      <c r="C13788"/>
    </row>
    <row r="13789" spans="3:3">
      <c r="C13789"/>
    </row>
    <row r="13790" spans="3:3">
      <c r="C13790"/>
    </row>
    <row r="13791" spans="3:3">
      <c r="C13791"/>
    </row>
    <row r="13792" spans="3:3">
      <c r="C13792"/>
    </row>
    <row r="13793" spans="3:3">
      <c r="C13793"/>
    </row>
    <row r="13794" spans="3:3">
      <c r="C13794"/>
    </row>
    <row r="13795" spans="3:3">
      <c r="C13795"/>
    </row>
    <row r="13796" spans="3:3">
      <c r="C13796"/>
    </row>
    <row r="13797" spans="3:3">
      <c r="C13797"/>
    </row>
    <row r="13798" spans="3:3">
      <c r="C13798"/>
    </row>
    <row r="13799" spans="3:3">
      <c r="C13799"/>
    </row>
    <row r="13800" spans="3:3">
      <c r="C13800"/>
    </row>
    <row r="13801" spans="3:3">
      <c r="C13801"/>
    </row>
    <row r="13802" spans="3:3">
      <c r="C13802"/>
    </row>
    <row r="13803" spans="3:3">
      <c r="C13803"/>
    </row>
    <row r="13804" spans="3:3">
      <c r="C13804"/>
    </row>
    <row r="13805" spans="3:3">
      <c r="C13805"/>
    </row>
    <row r="13806" spans="3:3">
      <c r="C13806"/>
    </row>
    <row r="13807" spans="3:3">
      <c r="C13807"/>
    </row>
    <row r="13808" spans="3:3">
      <c r="C13808"/>
    </row>
    <row r="13809" spans="3:3">
      <c r="C13809"/>
    </row>
    <row r="13810" spans="3:3">
      <c r="C13810"/>
    </row>
    <row r="13811" spans="3:3">
      <c r="C13811"/>
    </row>
    <row r="13812" spans="3:3">
      <c r="C13812"/>
    </row>
    <row r="13813" spans="3:3">
      <c r="C13813"/>
    </row>
    <row r="13814" spans="3:3">
      <c r="C13814"/>
    </row>
    <row r="13815" spans="3:3">
      <c r="C13815"/>
    </row>
    <row r="13816" spans="3:3">
      <c r="C13816"/>
    </row>
    <row r="13817" spans="3:3">
      <c r="C13817"/>
    </row>
    <row r="13818" spans="3:3">
      <c r="C13818"/>
    </row>
    <row r="13819" spans="3:3">
      <c r="C13819"/>
    </row>
    <row r="13820" spans="3:3">
      <c r="C13820"/>
    </row>
    <row r="13821" spans="3:3">
      <c r="C13821"/>
    </row>
    <row r="13822" spans="3:3">
      <c r="C13822"/>
    </row>
    <row r="13823" spans="3:3">
      <c r="C13823"/>
    </row>
    <row r="13824" spans="3:3">
      <c r="C13824"/>
    </row>
    <row r="13825" spans="3:3">
      <c r="C13825"/>
    </row>
    <row r="13826" spans="3:3">
      <c r="C13826"/>
    </row>
    <row r="13827" spans="3:3">
      <c r="C13827"/>
    </row>
    <row r="13828" spans="3:3">
      <c r="C13828"/>
    </row>
    <row r="13829" spans="3:3">
      <c r="C13829"/>
    </row>
    <row r="13830" spans="3:3">
      <c r="C13830"/>
    </row>
    <row r="13831" spans="3:3">
      <c r="C13831"/>
    </row>
    <row r="13832" spans="3:3">
      <c r="C13832"/>
    </row>
    <row r="13833" spans="3:3">
      <c r="C13833"/>
    </row>
    <row r="13834" spans="3:3">
      <c r="C13834"/>
    </row>
    <row r="13835" spans="3:3">
      <c r="C13835"/>
    </row>
    <row r="13836" spans="3:3">
      <c r="C13836"/>
    </row>
    <row r="13837" spans="3:3">
      <c r="C13837"/>
    </row>
    <row r="13838" spans="3:3">
      <c r="C13838"/>
    </row>
    <row r="13839" spans="3:3">
      <c r="C13839"/>
    </row>
    <row r="13840" spans="3:3">
      <c r="C13840"/>
    </row>
    <row r="13841" spans="3:3">
      <c r="C13841"/>
    </row>
    <row r="13842" spans="3:3">
      <c r="C13842"/>
    </row>
    <row r="13843" spans="3:3">
      <c r="C13843"/>
    </row>
    <row r="13844" spans="3:3">
      <c r="C13844"/>
    </row>
    <row r="13845" spans="3:3">
      <c r="C13845"/>
    </row>
    <row r="13846" spans="3:3">
      <c r="C13846"/>
    </row>
    <row r="13847" spans="3:3">
      <c r="C13847"/>
    </row>
    <row r="13848" spans="3:3">
      <c r="C13848"/>
    </row>
    <row r="13849" spans="3:3">
      <c r="C13849"/>
    </row>
    <row r="13850" spans="3:3">
      <c r="C13850"/>
    </row>
    <row r="13851" spans="3:3">
      <c r="C13851"/>
    </row>
    <row r="13852" spans="3:3">
      <c r="C13852"/>
    </row>
    <row r="13853" spans="3:3">
      <c r="C13853"/>
    </row>
    <row r="13854" spans="3:3">
      <c r="C13854"/>
    </row>
    <row r="13855" spans="3:3">
      <c r="C13855"/>
    </row>
    <row r="13856" spans="3:3">
      <c r="C13856"/>
    </row>
    <row r="13857" spans="3:3">
      <c r="C13857"/>
    </row>
    <row r="13858" spans="3:3">
      <c r="C13858"/>
    </row>
    <row r="13859" spans="3:3">
      <c r="C13859"/>
    </row>
    <row r="13860" spans="3:3">
      <c r="C13860"/>
    </row>
    <row r="13861" spans="3:3">
      <c r="C13861"/>
    </row>
    <row r="13862" spans="3:3">
      <c r="C13862"/>
    </row>
    <row r="13863" spans="3:3">
      <c r="C13863"/>
    </row>
    <row r="13864" spans="3:3">
      <c r="C13864"/>
    </row>
    <row r="13865" spans="3:3">
      <c r="C13865"/>
    </row>
    <row r="13866" spans="3:3">
      <c r="C13866"/>
    </row>
    <row r="13867" spans="3:3">
      <c r="C13867"/>
    </row>
    <row r="13868" spans="3:3">
      <c r="C13868"/>
    </row>
    <row r="13869" spans="3:3">
      <c r="C13869"/>
    </row>
    <row r="13870" spans="3:3">
      <c r="C13870"/>
    </row>
    <row r="13871" spans="3:3">
      <c r="C13871"/>
    </row>
    <row r="13872" spans="3:3">
      <c r="C13872"/>
    </row>
    <row r="13873" spans="3:3">
      <c r="C13873"/>
    </row>
    <row r="13874" spans="3:3">
      <c r="C13874"/>
    </row>
    <row r="13875" spans="3:3">
      <c r="C13875"/>
    </row>
    <row r="13876" spans="3:3">
      <c r="C13876"/>
    </row>
    <row r="13877" spans="3:3">
      <c r="C13877"/>
    </row>
    <row r="13878" spans="3:3">
      <c r="C13878"/>
    </row>
    <row r="13879" spans="3:3">
      <c r="C13879"/>
    </row>
    <row r="13880" spans="3:3">
      <c r="C13880"/>
    </row>
    <row r="13881" spans="3:3">
      <c r="C13881"/>
    </row>
    <row r="13882" spans="3:3">
      <c r="C13882"/>
    </row>
    <row r="13883" spans="3:3">
      <c r="C13883"/>
    </row>
    <row r="13884" spans="3:3">
      <c r="C13884"/>
    </row>
    <row r="13885" spans="3:3">
      <c r="C13885"/>
    </row>
    <row r="13886" spans="3:3">
      <c r="C13886"/>
    </row>
    <row r="13887" spans="3:3">
      <c r="C13887"/>
    </row>
    <row r="13888" spans="3:3">
      <c r="C13888"/>
    </row>
    <row r="13889" spans="3:3">
      <c r="C13889"/>
    </row>
    <row r="13890" spans="3:3">
      <c r="C13890"/>
    </row>
    <row r="13891" spans="3:3">
      <c r="C13891"/>
    </row>
    <row r="13892" spans="3:3">
      <c r="C13892"/>
    </row>
    <row r="13893" spans="3:3">
      <c r="C13893"/>
    </row>
    <row r="13894" spans="3:3">
      <c r="C13894"/>
    </row>
    <row r="13895" spans="3:3">
      <c r="C13895"/>
    </row>
    <row r="13896" spans="3:3">
      <c r="C13896"/>
    </row>
    <row r="13897" spans="3:3">
      <c r="C13897"/>
    </row>
    <row r="13898" spans="3:3">
      <c r="C13898"/>
    </row>
    <row r="13899" spans="3:3">
      <c r="C13899"/>
    </row>
    <row r="13900" spans="3:3">
      <c r="C13900"/>
    </row>
    <row r="13901" spans="3:3">
      <c r="C13901"/>
    </row>
    <row r="13902" spans="3:3">
      <c r="C13902"/>
    </row>
    <row r="13903" spans="3:3">
      <c r="C13903"/>
    </row>
    <row r="13904" spans="3:3">
      <c r="C13904"/>
    </row>
    <row r="13905" spans="3:3">
      <c r="C13905"/>
    </row>
    <row r="13906" spans="3:3">
      <c r="C13906"/>
    </row>
    <row r="13907" spans="3:3">
      <c r="C13907"/>
    </row>
    <row r="13908" spans="3:3">
      <c r="C13908"/>
    </row>
    <row r="13909" spans="3:3">
      <c r="C13909"/>
    </row>
    <row r="13910" spans="3:3">
      <c r="C13910"/>
    </row>
    <row r="13911" spans="3:3">
      <c r="C13911"/>
    </row>
    <row r="13912" spans="3:3">
      <c r="C13912"/>
    </row>
    <row r="13913" spans="3:3">
      <c r="C13913"/>
    </row>
    <row r="13914" spans="3:3">
      <c r="C13914"/>
    </row>
    <row r="13915" spans="3:3">
      <c r="C13915"/>
    </row>
    <row r="13916" spans="3:3">
      <c r="C13916"/>
    </row>
    <row r="13917" spans="3:3">
      <c r="C13917"/>
    </row>
    <row r="13918" spans="3:3">
      <c r="C13918"/>
    </row>
    <row r="13919" spans="3:3">
      <c r="C13919"/>
    </row>
    <row r="13920" spans="3:3">
      <c r="C13920"/>
    </row>
    <row r="13921" spans="3:3">
      <c r="C13921"/>
    </row>
    <row r="13922" spans="3:3">
      <c r="C13922"/>
    </row>
    <row r="13923" spans="3:3">
      <c r="C13923"/>
    </row>
    <row r="13924" spans="3:3">
      <c r="C13924"/>
    </row>
    <row r="13925" spans="3:3">
      <c r="C13925"/>
    </row>
    <row r="13926" spans="3:3">
      <c r="C13926"/>
    </row>
    <row r="13927" spans="3:3">
      <c r="C13927"/>
    </row>
    <row r="13928" spans="3:3">
      <c r="C13928"/>
    </row>
    <row r="13929" spans="3:3">
      <c r="C13929"/>
    </row>
    <row r="13930" spans="3:3">
      <c r="C13930"/>
    </row>
    <row r="13931" spans="3:3">
      <c r="C13931"/>
    </row>
    <row r="13932" spans="3:3">
      <c r="C13932"/>
    </row>
    <row r="13933" spans="3:3">
      <c r="C13933"/>
    </row>
    <row r="13934" spans="3:3">
      <c r="C13934"/>
    </row>
    <row r="13935" spans="3:3">
      <c r="C13935"/>
    </row>
    <row r="13936" spans="3:3">
      <c r="C13936"/>
    </row>
    <row r="13937" spans="3:3">
      <c r="C13937"/>
    </row>
    <row r="13938" spans="3:3">
      <c r="C13938"/>
    </row>
    <row r="13939" spans="3:3">
      <c r="C13939"/>
    </row>
    <row r="13940" spans="3:3">
      <c r="C13940"/>
    </row>
    <row r="13941" spans="3:3">
      <c r="C13941"/>
    </row>
    <row r="13942" spans="3:3">
      <c r="C13942"/>
    </row>
    <row r="13943" spans="3:3">
      <c r="C13943"/>
    </row>
    <row r="13944" spans="3:3">
      <c r="C13944"/>
    </row>
    <row r="13945" spans="3:3">
      <c r="C13945"/>
    </row>
    <row r="13946" spans="3:3">
      <c r="C13946"/>
    </row>
    <row r="13947" spans="3:3">
      <c r="C13947"/>
    </row>
    <row r="13948" spans="3:3">
      <c r="C13948"/>
    </row>
    <row r="13949" spans="3:3">
      <c r="C13949"/>
    </row>
    <row r="13950" spans="3:3">
      <c r="C13950"/>
    </row>
    <row r="13951" spans="3:3">
      <c r="C13951"/>
    </row>
    <row r="13952" spans="3:3">
      <c r="C13952"/>
    </row>
    <row r="13953" spans="3:3">
      <c r="C13953"/>
    </row>
    <row r="13954" spans="3:3">
      <c r="C13954"/>
    </row>
    <row r="13955" spans="3:3">
      <c r="C13955"/>
    </row>
    <row r="13956" spans="3:3">
      <c r="C13956"/>
    </row>
    <row r="13957" spans="3:3">
      <c r="C13957"/>
    </row>
    <row r="13958" spans="3:3">
      <c r="C13958"/>
    </row>
    <row r="13959" spans="3:3">
      <c r="C13959"/>
    </row>
    <row r="13960" spans="3:3">
      <c r="C13960"/>
    </row>
    <row r="13961" spans="3:3">
      <c r="C13961"/>
    </row>
    <row r="13962" spans="3:3">
      <c r="C13962"/>
    </row>
    <row r="13963" spans="3:3">
      <c r="C13963"/>
    </row>
    <row r="13964" spans="3:3">
      <c r="C13964"/>
    </row>
    <row r="13965" spans="3:3">
      <c r="C13965"/>
    </row>
    <row r="13966" spans="3:3">
      <c r="C13966"/>
    </row>
    <row r="13967" spans="3:3">
      <c r="C13967"/>
    </row>
    <row r="13968" spans="3:3">
      <c r="C13968"/>
    </row>
    <row r="13969" spans="3:3">
      <c r="C13969"/>
    </row>
    <row r="13970" spans="3:3">
      <c r="C13970"/>
    </row>
    <row r="13971" spans="3:3">
      <c r="C13971"/>
    </row>
    <row r="13972" spans="3:3">
      <c r="C13972"/>
    </row>
    <row r="13973" spans="3:3">
      <c r="C13973"/>
    </row>
    <row r="13974" spans="3:3">
      <c r="C13974"/>
    </row>
    <row r="13975" spans="3:3">
      <c r="C13975"/>
    </row>
    <row r="13976" spans="3:3">
      <c r="C13976"/>
    </row>
    <row r="13977" spans="3:3">
      <c r="C13977"/>
    </row>
    <row r="13978" spans="3:3">
      <c r="C13978"/>
    </row>
    <row r="13979" spans="3:3">
      <c r="C13979"/>
    </row>
    <row r="13980" spans="3:3">
      <c r="C13980"/>
    </row>
    <row r="13981" spans="3:3">
      <c r="C13981"/>
    </row>
    <row r="13982" spans="3:3">
      <c r="C13982"/>
    </row>
    <row r="13983" spans="3:3">
      <c r="C13983"/>
    </row>
    <row r="13984" spans="3:3">
      <c r="C13984"/>
    </row>
    <row r="13985" spans="3:3">
      <c r="C13985"/>
    </row>
    <row r="13986" spans="3:3">
      <c r="C13986"/>
    </row>
    <row r="13987" spans="3:3">
      <c r="C13987"/>
    </row>
    <row r="13988" spans="3:3">
      <c r="C13988"/>
    </row>
    <row r="13989" spans="3:3">
      <c r="C13989"/>
    </row>
    <row r="13990" spans="3:3">
      <c r="C13990"/>
    </row>
    <row r="13991" spans="3:3">
      <c r="C13991"/>
    </row>
    <row r="13992" spans="3:3">
      <c r="C13992"/>
    </row>
    <row r="13993" spans="3:3">
      <c r="C13993"/>
    </row>
    <row r="13994" spans="3:3">
      <c r="C13994"/>
    </row>
    <row r="13995" spans="3:3">
      <c r="C13995"/>
    </row>
    <row r="13996" spans="3:3">
      <c r="C13996"/>
    </row>
    <row r="13997" spans="3:3">
      <c r="C13997"/>
    </row>
    <row r="13998" spans="3:3">
      <c r="C13998"/>
    </row>
    <row r="13999" spans="3:3">
      <c r="C13999"/>
    </row>
    <row r="14000" spans="3:3">
      <c r="C14000"/>
    </row>
    <row r="14001" spans="3:3">
      <c r="C14001"/>
    </row>
    <row r="14002" spans="3:3">
      <c r="C14002"/>
    </row>
    <row r="14003" spans="3:3">
      <c r="C14003"/>
    </row>
    <row r="14004" spans="3:3">
      <c r="C14004"/>
    </row>
    <row r="14005" spans="3:3">
      <c r="C14005"/>
    </row>
    <row r="14006" spans="3:3">
      <c r="C14006"/>
    </row>
    <row r="14007" spans="3:3">
      <c r="C14007"/>
    </row>
    <row r="14008" spans="3:3">
      <c r="C14008"/>
    </row>
    <row r="14009" spans="3:3">
      <c r="C14009"/>
    </row>
    <row r="14010" spans="3:3">
      <c r="C14010"/>
    </row>
    <row r="14011" spans="3:3">
      <c r="C14011"/>
    </row>
    <row r="14012" spans="3:3">
      <c r="C14012"/>
    </row>
    <row r="14013" spans="3:3">
      <c r="C14013"/>
    </row>
    <row r="14014" spans="3:3">
      <c r="C14014"/>
    </row>
    <row r="14015" spans="3:3">
      <c r="C14015"/>
    </row>
    <row r="14016" spans="3:3">
      <c r="C14016"/>
    </row>
    <row r="14017" spans="3:3">
      <c r="C14017"/>
    </row>
    <row r="14018" spans="3:3">
      <c r="C14018"/>
    </row>
    <row r="14019" spans="3:3">
      <c r="C14019"/>
    </row>
    <row r="14020" spans="3:3">
      <c r="C14020"/>
    </row>
    <row r="14021" spans="3:3">
      <c r="C14021"/>
    </row>
    <row r="14022" spans="3:3">
      <c r="C14022"/>
    </row>
    <row r="14023" spans="3:3">
      <c r="C14023"/>
    </row>
    <row r="14024" spans="3:3">
      <c r="C14024"/>
    </row>
    <row r="14025" spans="3:3">
      <c r="C14025"/>
    </row>
    <row r="14026" spans="3:3">
      <c r="C14026"/>
    </row>
    <row r="14027" spans="3:3">
      <c r="C14027"/>
    </row>
    <row r="14028" spans="3:3">
      <c r="C14028"/>
    </row>
    <row r="14029" spans="3:3">
      <c r="C14029"/>
    </row>
    <row r="14030" spans="3:3">
      <c r="C14030"/>
    </row>
    <row r="14031" spans="3:3">
      <c r="C14031"/>
    </row>
    <row r="14032" spans="3:3">
      <c r="C14032"/>
    </row>
    <row r="14033" spans="3:3">
      <c r="C14033"/>
    </row>
    <row r="14034" spans="3:3">
      <c r="C14034"/>
    </row>
    <row r="14035" spans="3:3">
      <c r="C14035"/>
    </row>
    <row r="14036" spans="3:3">
      <c r="C14036"/>
    </row>
    <row r="14037" spans="3:3">
      <c r="C14037"/>
    </row>
    <row r="14038" spans="3:3">
      <c r="C14038"/>
    </row>
    <row r="14039" spans="3:3">
      <c r="C14039"/>
    </row>
    <row r="14040" spans="3:3">
      <c r="C14040"/>
    </row>
    <row r="14041" spans="3:3">
      <c r="C14041"/>
    </row>
    <row r="14042" spans="3:3">
      <c r="C14042"/>
    </row>
    <row r="14043" spans="3:3">
      <c r="C14043"/>
    </row>
    <row r="14044" spans="3:3">
      <c r="C14044"/>
    </row>
    <row r="14045" spans="3:3">
      <c r="C14045"/>
    </row>
    <row r="14046" spans="3:3">
      <c r="C14046"/>
    </row>
    <row r="14047" spans="3:3">
      <c r="C14047"/>
    </row>
    <row r="14048" spans="3:3">
      <c r="C14048"/>
    </row>
    <row r="14049" spans="3:3">
      <c r="C14049"/>
    </row>
    <row r="14050" spans="3:3">
      <c r="C14050"/>
    </row>
    <row r="14051" spans="3:3">
      <c r="C14051"/>
    </row>
    <row r="14052" spans="3:3">
      <c r="C14052"/>
    </row>
    <row r="14053" spans="3:3">
      <c r="C14053"/>
    </row>
    <row r="14054" spans="3:3">
      <c r="C14054"/>
    </row>
    <row r="14055" spans="3:3">
      <c r="C14055"/>
    </row>
    <row r="14056" spans="3:3">
      <c r="C14056"/>
    </row>
    <row r="14057" spans="3:3">
      <c r="C14057"/>
    </row>
    <row r="14058" spans="3:3">
      <c r="C14058"/>
    </row>
    <row r="14059" spans="3:3">
      <c r="C14059"/>
    </row>
    <row r="14060" spans="3:3">
      <c r="C14060"/>
    </row>
    <row r="14061" spans="3:3">
      <c r="C14061"/>
    </row>
    <row r="14062" spans="3:3">
      <c r="C14062"/>
    </row>
    <row r="14063" spans="3:3">
      <c r="C14063"/>
    </row>
    <row r="14064" spans="3:3">
      <c r="C14064"/>
    </row>
    <row r="14065" spans="3:3">
      <c r="C14065"/>
    </row>
    <row r="14066" spans="3:3">
      <c r="C14066"/>
    </row>
    <row r="14067" spans="3:3">
      <c r="C14067"/>
    </row>
    <row r="14068" spans="3:3">
      <c r="C14068"/>
    </row>
    <row r="14069" spans="3:3">
      <c r="C14069"/>
    </row>
    <row r="14070" spans="3:3">
      <c r="C14070"/>
    </row>
    <row r="14071" spans="3:3">
      <c r="C14071"/>
    </row>
    <row r="14072" spans="3:3">
      <c r="C14072"/>
    </row>
    <row r="14073" spans="3:3">
      <c r="C14073"/>
    </row>
    <row r="14074" spans="3:3">
      <c r="C14074"/>
    </row>
    <row r="14075" spans="3:3">
      <c r="C14075"/>
    </row>
    <row r="14076" spans="3:3">
      <c r="C14076"/>
    </row>
    <row r="14077" spans="3:3">
      <c r="C14077"/>
    </row>
    <row r="14078" spans="3:3">
      <c r="C14078"/>
    </row>
    <row r="14079" spans="3:3">
      <c r="C14079"/>
    </row>
    <row r="14080" spans="3:3">
      <c r="C14080"/>
    </row>
    <row r="14081" spans="3:3">
      <c r="C14081"/>
    </row>
    <row r="14082" spans="3:3">
      <c r="C14082"/>
    </row>
    <row r="14083" spans="3:3">
      <c r="C14083"/>
    </row>
    <row r="14084" spans="3:3">
      <c r="C14084"/>
    </row>
    <row r="14085" spans="3:3">
      <c r="C14085"/>
    </row>
    <row r="14086" spans="3:3">
      <c r="C14086"/>
    </row>
    <row r="14087" spans="3:3">
      <c r="C14087"/>
    </row>
    <row r="14088" spans="3:3">
      <c r="C14088"/>
    </row>
    <row r="14089" spans="3:3">
      <c r="C14089"/>
    </row>
    <row r="14090" spans="3:3">
      <c r="C14090"/>
    </row>
    <row r="14091" spans="3:3">
      <c r="C14091"/>
    </row>
    <row r="14092" spans="3:3">
      <c r="C14092"/>
    </row>
    <row r="14093" spans="3:3">
      <c r="C14093"/>
    </row>
    <row r="14094" spans="3:3">
      <c r="C14094"/>
    </row>
    <row r="14095" spans="3:3">
      <c r="C14095"/>
    </row>
    <row r="14096" spans="3:3">
      <c r="C14096"/>
    </row>
    <row r="14097" spans="3:3">
      <c r="C14097"/>
    </row>
    <row r="14098" spans="3:3">
      <c r="C14098"/>
    </row>
    <row r="14099" spans="3:3">
      <c r="C14099"/>
    </row>
    <row r="14100" spans="3:3">
      <c r="C14100"/>
    </row>
    <row r="14101" spans="3:3">
      <c r="C14101"/>
    </row>
    <row r="14102" spans="3:3">
      <c r="C14102"/>
    </row>
    <row r="14103" spans="3:3">
      <c r="C14103"/>
    </row>
    <row r="14104" spans="3:3">
      <c r="C14104"/>
    </row>
    <row r="14105" spans="3:3">
      <c r="C14105"/>
    </row>
    <row r="14106" spans="3:3">
      <c r="C14106"/>
    </row>
    <row r="14107" spans="3:3">
      <c r="C14107"/>
    </row>
    <row r="14108" spans="3:3">
      <c r="C14108"/>
    </row>
    <row r="14109" spans="3:3">
      <c r="C14109"/>
    </row>
    <row r="14110" spans="3:3">
      <c r="C14110"/>
    </row>
    <row r="14111" spans="3:3">
      <c r="C14111"/>
    </row>
    <row r="14112" spans="3:3">
      <c r="C14112"/>
    </row>
    <row r="14113" spans="3:3">
      <c r="C14113"/>
    </row>
    <row r="14114" spans="3:3">
      <c r="C14114"/>
    </row>
    <row r="14115" spans="3:3">
      <c r="C14115"/>
    </row>
    <row r="14116" spans="3:3">
      <c r="C14116"/>
    </row>
    <row r="14117" spans="3:3">
      <c r="C14117"/>
    </row>
    <row r="14118" spans="3:3">
      <c r="C14118"/>
    </row>
    <row r="14119" spans="3:3">
      <c r="C14119"/>
    </row>
    <row r="14120" spans="3:3">
      <c r="C14120"/>
    </row>
    <row r="14121" spans="3:3">
      <c r="C14121"/>
    </row>
    <row r="14122" spans="3:3">
      <c r="C14122"/>
    </row>
    <row r="14123" spans="3:3">
      <c r="C14123"/>
    </row>
    <row r="14124" spans="3:3">
      <c r="C14124"/>
    </row>
    <row r="14125" spans="3:3">
      <c r="C14125"/>
    </row>
    <row r="14126" spans="3:3">
      <c r="C14126"/>
    </row>
    <row r="14127" spans="3:3">
      <c r="C14127"/>
    </row>
    <row r="14128" spans="3:3">
      <c r="C14128"/>
    </row>
    <row r="14129" spans="3:3">
      <c r="C14129"/>
    </row>
    <row r="14130" spans="3:3">
      <c r="C14130"/>
    </row>
    <row r="14131" spans="3:3">
      <c r="C14131"/>
    </row>
    <row r="14132" spans="3:3">
      <c r="C14132"/>
    </row>
    <row r="14133" spans="3:3">
      <c r="C14133"/>
    </row>
    <row r="14134" spans="3:3">
      <c r="C14134"/>
    </row>
    <row r="14135" spans="3:3">
      <c r="C14135"/>
    </row>
    <row r="14136" spans="3:3">
      <c r="C14136"/>
    </row>
    <row r="14137" spans="3:3">
      <c r="C14137"/>
    </row>
    <row r="14138" spans="3:3">
      <c r="C14138"/>
    </row>
    <row r="14139" spans="3:3">
      <c r="C14139"/>
    </row>
    <row r="14140" spans="3:3">
      <c r="C14140"/>
    </row>
    <row r="14141" spans="3:3">
      <c r="C14141"/>
    </row>
    <row r="14142" spans="3:3">
      <c r="C14142"/>
    </row>
    <row r="14143" spans="3:3">
      <c r="C14143"/>
    </row>
    <row r="14144" spans="3:3">
      <c r="C14144"/>
    </row>
    <row r="14145" spans="3:3">
      <c r="C14145"/>
    </row>
    <row r="14146" spans="3:3">
      <c r="C14146"/>
    </row>
    <row r="14147" spans="3:3">
      <c r="C14147"/>
    </row>
    <row r="14148" spans="3:3">
      <c r="C14148"/>
    </row>
    <row r="14149" spans="3:3">
      <c r="C14149"/>
    </row>
    <row r="14150" spans="3:3">
      <c r="C14150"/>
    </row>
    <row r="14151" spans="3:3">
      <c r="C14151"/>
    </row>
    <row r="14152" spans="3:3">
      <c r="C14152"/>
    </row>
    <row r="14153" spans="3:3">
      <c r="C14153"/>
    </row>
    <row r="14154" spans="3:3">
      <c r="C14154"/>
    </row>
    <row r="14155" spans="3:3">
      <c r="C14155"/>
    </row>
    <row r="14156" spans="3:3">
      <c r="C14156"/>
    </row>
    <row r="14157" spans="3:3">
      <c r="C14157"/>
    </row>
    <row r="14158" spans="3:3">
      <c r="C14158"/>
    </row>
    <row r="14159" spans="3:3">
      <c r="C14159"/>
    </row>
    <row r="14160" spans="3:3">
      <c r="C14160"/>
    </row>
    <row r="14161" spans="3:3">
      <c r="C14161"/>
    </row>
    <row r="14162" spans="3:3">
      <c r="C14162"/>
    </row>
    <row r="14163" spans="3:3">
      <c r="C14163"/>
    </row>
    <row r="14164" spans="3:3">
      <c r="C14164"/>
    </row>
    <row r="14165" spans="3:3">
      <c r="C14165"/>
    </row>
    <row r="14166" spans="3:3">
      <c r="C14166"/>
    </row>
    <row r="14167" spans="3:3">
      <c r="C14167"/>
    </row>
    <row r="14168" spans="3:3">
      <c r="C14168"/>
    </row>
    <row r="14169" spans="3:3">
      <c r="C14169"/>
    </row>
    <row r="14170" spans="3:3">
      <c r="C14170"/>
    </row>
    <row r="14171" spans="3:3">
      <c r="C14171"/>
    </row>
    <row r="14172" spans="3:3">
      <c r="C14172"/>
    </row>
    <row r="14173" spans="3:3">
      <c r="C14173"/>
    </row>
    <row r="14174" spans="3:3">
      <c r="C14174"/>
    </row>
    <row r="14175" spans="3:3">
      <c r="C14175"/>
    </row>
    <row r="14176" spans="3:3">
      <c r="C14176"/>
    </row>
    <row r="14177" spans="3:3">
      <c r="C14177"/>
    </row>
    <row r="14178" spans="3:3">
      <c r="C14178"/>
    </row>
    <row r="14179" spans="3:3">
      <c r="C14179"/>
    </row>
    <row r="14180" spans="3:3">
      <c r="C14180"/>
    </row>
    <row r="14181" spans="3:3">
      <c r="C14181"/>
    </row>
    <row r="14182" spans="3:3">
      <c r="C14182"/>
    </row>
    <row r="14183" spans="3:3">
      <c r="C14183"/>
    </row>
    <row r="14184" spans="3:3">
      <c r="C14184"/>
    </row>
    <row r="14185" spans="3:3">
      <c r="C14185"/>
    </row>
    <row r="14186" spans="3:3">
      <c r="C14186"/>
    </row>
    <row r="14187" spans="3:3">
      <c r="C14187"/>
    </row>
    <row r="14188" spans="3:3">
      <c r="C14188"/>
    </row>
    <row r="14189" spans="3:3">
      <c r="C14189"/>
    </row>
    <row r="14190" spans="3:3">
      <c r="C14190"/>
    </row>
    <row r="14191" spans="3:3">
      <c r="C14191"/>
    </row>
    <row r="14192" spans="3:3">
      <c r="C14192"/>
    </row>
    <row r="14193" spans="3:3">
      <c r="C14193"/>
    </row>
    <row r="14194" spans="3:3">
      <c r="C14194"/>
    </row>
    <row r="14195" spans="3:3">
      <c r="C14195"/>
    </row>
    <row r="14196" spans="3:3">
      <c r="C14196"/>
    </row>
    <row r="14197" spans="3:3">
      <c r="C14197"/>
    </row>
    <row r="14198" spans="3:3">
      <c r="C14198"/>
    </row>
    <row r="14199" spans="3:3">
      <c r="C14199"/>
    </row>
    <row r="14200" spans="3:3">
      <c r="C14200"/>
    </row>
    <row r="14201" spans="3:3">
      <c r="C14201"/>
    </row>
    <row r="14202" spans="3:3">
      <c r="C14202"/>
    </row>
    <row r="14203" spans="3:3">
      <c r="C14203"/>
    </row>
    <row r="14204" spans="3:3">
      <c r="C14204"/>
    </row>
    <row r="14205" spans="3:3">
      <c r="C14205"/>
    </row>
    <row r="14206" spans="3:3">
      <c r="C14206"/>
    </row>
    <row r="14207" spans="3:3">
      <c r="C14207"/>
    </row>
    <row r="14208" spans="3:3">
      <c r="C14208"/>
    </row>
    <row r="14209" spans="3:3">
      <c r="C14209"/>
    </row>
    <row r="14210" spans="3:3">
      <c r="C14210"/>
    </row>
    <row r="14211" spans="3:3">
      <c r="C14211"/>
    </row>
    <row r="14212" spans="3:3">
      <c r="C14212"/>
    </row>
    <row r="14213" spans="3:3">
      <c r="C14213"/>
    </row>
    <row r="14214" spans="3:3">
      <c r="C14214"/>
    </row>
    <row r="14215" spans="3:3">
      <c r="C14215"/>
    </row>
    <row r="14216" spans="3:3">
      <c r="C14216"/>
    </row>
    <row r="14217" spans="3:3">
      <c r="C14217"/>
    </row>
    <row r="14218" spans="3:3">
      <c r="C14218"/>
    </row>
    <row r="14219" spans="3:3">
      <c r="C14219"/>
    </row>
    <row r="14220" spans="3:3">
      <c r="C14220"/>
    </row>
    <row r="14221" spans="3:3">
      <c r="C14221"/>
    </row>
    <row r="14222" spans="3:3">
      <c r="C14222"/>
    </row>
    <row r="14223" spans="3:3">
      <c r="C14223"/>
    </row>
    <row r="14224" spans="3:3">
      <c r="C14224"/>
    </row>
    <row r="14225" spans="3:3">
      <c r="C14225"/>
    </row>
    <row r="14226" spans="3:3">
      <c r="C14226"/>
    </row>
    <row r="14227" spans="3:3">
      <c r="C14227"/>
    </row>
    <row r="14228" spans="3:3">
      <c r="C14228"/>
    </row>
    <row r="14229" spans="3:3">
      <c r="C14229"/>
    </row>
    <row r="14230" spans="3:3">
      <c r="C14230"/>
    </row>
    <row r="14231" spans="3:3">
      <c r="C14231"/>
    </row>
    <row r="14232" spans="3:3">
      <c r="C14232"/>
    </row>
    <row r="14233" spans="3:3">
      <c r="C14233"/>
    </row>
    <row r="14234" spans="3:3">
      <c r="C14234"/>
    </row>
    <row r="14235" spans="3:3">
      <c r="C14235"/>
    </row>
    <row r="14236" spans="3:3">
      <c r="C14236"/>
    </row>
    <row r="14237" spans="3:3">
      <c r="C14237"/>
    </row>
    <row r="14238" spans="3:3">
      <c r="C14238"/>
    </row>
    <row r="14239" spans="3:3">
      <c r="C14239"/>
    </row>
    <row r="14240" spans="3:3">
      <c r="C14240"/>
    </row>
    <row r="14241" spans="3:3">
      <c r="C14241"/>
    </row>
    <row r="14242" spans="3:3">
      <c r="C14242"/>
    </row>
    <row r="14243" spans="3:3">
      <c r="C14243"/>
    </row>
    <row r="14244" spans="3:3">
      <c r="C14244"/>
    </row>
    <row r="14245" spans="3:3">
      <c r="C14245"/>
    </row>
    <row r="14246" spans="3:3">
      <c r="C14246"/>
    </row>
    <row r="14247" spans="3:3">
      <c r="C14247"/>
    </row>
    <row r="14248" spans="3:3">
      <c r="C14248"/>
    </row>
    <row r="14249" spans="3:3">
      <c r="C14249"/>
    </row>
    <row r="14250" spans="3:3">
      <c r="C14250"/>
    </row>
    <row r="14251" spans="3:3">
      <c r="C14251"/>
    </row>
    <row r="14252" spans="3:3">
      <c r="C14252"/>
    </row>
    <row r="14253" spans="3:3">
      <c r="C14253"/>
    </row>
    <row r="14254" spans="3:3">
      <c r="C14254"/>
    </row>
    <row r="14255" spans="3:3">
      <c r="C14255"/>
    </row>
    <row r="14256" spans="3:3">
      <c r="C14256"/>
    </row>
    <row r="14257" spans="3:3">
      <c r="C14257"/>
    </row>
    <row r="14258" spans="3:3">
      <c r="C14258"/>
    </row>
    <row r="14259" spans="3:3">
      <c r="C14259"/>
    </row>
    <row r="14260" spans="3:3">
      <c r="C14260"/>
    </row>
    <row r="14261" spans="3:3">
      <c r="C14261"/>
    </row>
    <row r="14262" spans="3:3">
      <c r="C14262"/>
    </row>
    <row r="14263" spans="3:3">
      <c r="C14263"/>
    </row>
    <row r="14264" spans="3:3">
      <c r="C14264"/>
    </row>
    <row r="14265" spans="3:3">
      <c r="C14265"/>
    </row>
    <row r="14266" spans="3:3">
      <c r="C14266"/>
    </row>
    <row r="14267" spans="3:3">
      <c r="C14267"/>
    </row>
    <row r="14268" spans="3:3">
      <c r="C14268"/>
    </row>
    <row r="14269" spans="3:3">
      <c r="C14269"/>
    </row>
    <row r="14270" spans="3:3">
      <c r="C14270"/>
    </row>
    <row r="14271" spans="3:3">
      <c r="C14271"/>
    </row>
    <row r="14272" spans="3:3">
      <c r="C14272"/>
    </row>
    <row r="14273" spans="3:3">
      <c r="C14273"/>
    </row>
    <row r="14274" spans="3:3">
      <c r="C14274"/>
    </row>
    <row r="14275" spans="3:3">
      <c r="C14275"/>
    </row>
    <row r="14276" spans="3:3">
      <c r="C14276"/>
    </row>
    <row r="14277" spans="3:3">
      <c r="C14277"/>
    </row>
    <row r="14278" spans="3:3">
      <c r="C14278"/>
    </row>
    <row r="14279" spans="3:3">
      <c r="C14279"/>
    </row>
    <row r="14280" spans="3:3">
      <c r="C14280"/>
    </row>
    <row r="14281" spans="3:3">
      <c r="C14281"/>
    </row>
    <row r="14282" spans="3:3">
      <c r="C14282"/>
    </row>
    <row r="14283" spans="3:3">
      <c r="C14283"/>
    </row>
    <row r="14284" spans="3:3">
      <c r="C14284"/>
    </row>
    <row r="14285" spans="3:3">
      <c r="C14285"/>
    </row>
    <row r="14286" spans="3:3">
      <c r="C14286"/>
    </row>
    <row r="14287" spans="3:3">
      <c r="C14287"/>
    </row>
    <row r="14288" spans="3:3">
      <c r="C14288"/>
    </row>
    <row r="14289" spans="3:3">
      <c r="C14289"/>
    </row>
    <row r="14290" spans="3:3">
      <c r="C14290"/>
    </row>
    <row r="14291" spans="3:3">
      <c r="C14291"/>
    </row>
    <row r="14292" spans="3:3">
      <c r="C14292"/>
    </row>
    <row r="14293" spans="3:3">
      <c r="C14293"/>
    </row>
    <row r="14294" spans="3:3">
      <c r="C14294"/>
    </row>
    <row r="14295" spans="3:3">
      <c r="C14295"/>
    </row>
    <row r="14296" spans="3:3">
      <c r="C14296"/>
    </row>
    <row r="14297" spans="3:3">
      <c r="C14297"/>
    </row>
    <row r="14298" spans="3:3">
      <c r="C14298"/>
    </row>
    <row r="14299" spans="3:3">
      <c r="C14299"/>
    </row>
    <row r="14300" spans="3:3">
      <c r="C14300"/>
    </row>
    <row r="14301" spans="3:3">
      <c r="C14301"/>
    </row>
    <row r="14302" spans="3:3">
      <c r="C14302"/>
    </row>
    <row r="14303" spans="3:3">
      <c r="C14303"/>
    </row>
    <row r="14304" spans="3:3">
      <c r="C14304"/>
    </row>
    <row r="14305" spans="3:3">
      <c r="C14305"/>
    </row>
    <row r="14306" spans="3:3">
      <c r="C14306"/>
    </row>
    <row r="14307" spans="3:3">
      <c r="C14307"/>
    </row>
    <row r="14308" spans="3:3">
      <c r="C14308"/>
    </row>
    <row r="14309" spans="3:3">
      <c r="C14309"/>
    </row>
    <row r="14310" spans="3:3">
      <c r="C14310"/>
    </row>
    <row r="14311" spans="3:3">
      <c r="C14311"/>
    </row>
    <row r="14312" spans="3:3">
      <c r="C14312"/>
    </row>
    <row r="14313" spans="3:3">
      <c r="C14313"/>
    </row>
    <row r="14314" spans="3:3">
      <c r="C14314"/>
    </row>
    <row r="14315" spans="3:3">
      <c r="C14315"/>
    </row>
    <row r="14316" spans="3:3">
      <c r="C14316"/>
    </row>
    <row r="14317" spans="3:3">
      <c r="C14317"/>
    </row>
    <row r="14318" spans="3:3">
      <c r="C14318"/>
    </row>
    <row r="14319" spans="3:3">
      <c r="C14319"/>
    </row>
    <row r="14320" spans="3:3">
      <c r="C14320"/>
    </row>
    <row r="14321" spans="3:3">
      <c r="C14321"/>
    </row>
    <row r="14322" spans="3:3">
      <c r="C14322"/>
    </row>
    <row r="14323" spans="3:3">
      <c r="C14323"/>
    </row>
    <row r="14324" spans="3:3">
      <c r="C14324"/>
    </row>
    <row r="14325" spans="3:3">
      <c r="C14325"/>
    </row>
    <row r="14326" spans="3:3">
      <c r="C14326"/>
    </row>
    <row r="14327" spans="3:3">
      <c r="C14327"/>
    </row>
    <row r="14328" spans="3:3">
      <c r="C14328"/>
    </row>
    <row r="14329" spans="3:3">
      <c r="C14329"/>
    </row>
    <row r="14330" spans="3:3">
      <c r="C14330"/>
    </row>
    <row r="14331" spans="3:3">
      <c r="C14331"/>
    </row>
    <row r="14332" spans="3:3">
      <c r="C14332"/>
    </row>
    <row r="14333" spans="3:3">
      <c r="C14333"/>
    </row>
    <row r="14334" spans="3:3">
      <c r="C14334"/>
    </row>
    <row r="14335" spans="3:3">
      <c r="C14335"/>
    </row>
    <row r="14336" spans="3:3">
      <c r="C14336"/>
    </row>
    <row r="14337" spans="3:3">
      <c r="C14337"/>
    </row>
    <row r="14338" spans="3:3">
      <c r="C14338"/>
    </row>
    <row r="14339" spans="3:3">
      <c r="C14339"/>
    </row>
    <row r="14340" spans="3:3">
      <c r="C14340"/>
    </row>
    <row r="14341" spans="3:3">
      <c r="C14341"/>
    </row>
    <row r="14342" spans="3:3">
      <c r="C14342"/>
    </row>
    <row r="14343" spans="3:3">
      <c r="C14343"/>
    </row>
    <row r="14344" spans="3:3">
      <c r="C14344"/>
    </row>
    <row r="14345" spans="3:3">
      <c r="C14345"/>
    </row>
    <row r="14346" spans="3:3">
      <c r="C14346"/>
    </row>
    <row r="14347" spans="3:3">
      <c r="C14347"/>
    </row>
    <row r="14348" spans="3:3">
      <c r="C14348"/>
    </row>
    <row r="14349" spans="3:3">
      <c r="C14349"/>
    </row>
    <row r="14350" spans="3:3">
      <c r="C14350"/>
    </row>
    <row r="14351" spans="3:3">
      <c r="C14351"/>
    </row>
    <row r="14352" spans="3:3">
      <c r="C14352"/>
    </row>
    <row r="14353" spans="3:3">
      <c r="C14353"/>
    </row>
    <row r="14354" spans="3:3">
      <c r="C14354"/>
    </row>
    <row r="14355" spans="3:3">
      <c r="C14355"/>
    </row>
    <row r="14356" spans="3:3">
      <c r="C14356"/>
    </row>
    <row r="14357" spans="3:3">
      <c r="C14357"/>
    </row>
    <row r="14358" spans="3:3">
      <c r="C14358"/>
    </row>
    <row r="14359" spans="3:3">
      <c r="C14359"/>
    </row>
    <row r="14360" spans="3:3">
      <c r="C14360"/>
    </row>
    <row r="14361" spans="3:3">
      <c r="C14361"/>
    </row>
    <row r="14362" spans="3:3">
      <c r="C14362"/>
    </row>
    <row r="14363" spans="3:3">
      <c r="C14363"/>
    </row>
    <row r="14364" spans="3:3">
      <c r="C14364"/>
    </row>
    <row r="14365" spans="3:3">
      <c r="C14365"/>
    </row>
    <row r="14366" spans="3:3">
      <c r="C14366"/>
    </row>
    <row r="14367" spans="3:3">
      <c r="C14367"/>
    </row>
    <row r="14368" spans="3:3">
      <c r="C14368"/>
    </row>
    <row r="14369" spans="3:3">
      <c r="C14369"/>
    </row>
    <row r="14370" spans="3:3">
      <c r="C14370"/>
    </row>
    <row r="14371" spans="3:3">
      <c r="C14371"/>
    </row>
    <row r="14372" spans="3:3">
      <c r="C14372"/>
    </row>
    <row r="14373" spans="3:3">
      <c r="C14373"/>
    </row>
    <row r="14374" spans="3:3">
      <c r="C14374"/>
    </row>
    <row r="14375" spans="3:3">
      <c r="C14375"/>
    </row>
    <row r="14376" spans="3:3">
      <c r="C14376"/>
    </row>
    <row r="14377" spans="3:3">
      <c r="C14377"/>
    </row>
    <row r="14378" spans="3:3">
      <c r="C14378"/>
    </row>
    <row r="14379" spans="3:3">
      <c r="C14379"/>
    </row>
    <row r="14380" spans="3:3">
      <c r="C14380"/>
    </row>
    <row r="14381" spans="3:3">
      <c r="C14381"/>
    </row>
    <row r="14382" spans="3:3">
      <c r="C14382"/>
    </row>
    <row r="14383" spans="3:3">
      <c r="C14383"/>
    </row>
    <row r="14384" spans="3:3">
      <c r="C14384"/>
    </row>
    <row r="14385" spans="3:3">
      <c r="C14385"/>
    </row>
    <row r="14386" spans="3:3">
      <c r="C14386"/>
    </row>
    <row r="14387" spans="3:3">
      <c r="C14387"/>
    </row>
    <row r="14388" spans="3:3">
      <c r="C14388"/>
    </row>
    <row r="14389" spans="3:3">
      <c r="C14389"/>
    </row>
    <row r="14390" spans="3:3">
      <c r="C14390"/>
    </row>
    <row r="14391" spans="3:3">
      <c r="C14391"/>
    </row>
    <row r="14392" spans="3:3">
      <c r="C14392"/>
    </row>
    <row r="14393" spans="3:3">
      <c r="C14393"/>
    </row>
    <row r="14394" spans="3:3">
      <c r="C14394"/>
    </row>
    <row r="14395" spans="3:3">
      <c r="C14395"/>
    </row>
    <row r="14396" spans="3:3">
      <c r="C14396"/>
    </row>
    <row r="14397" spans="3:3">
      <c r="C14397"/>
    </row>
    <row r="14398" spans="3:3">
      <c r="C14398"/>
    </row>
    <row r="14399" spans="3:3">
      <c r="C14399"/>
    </row>
    <row r="14400" spans="3:3">
      <c r="C14400"/>
    </row>
    <row r="14401" spans="3:3">
      <c r="C14401"/>
    </row>
    <row r="14402" spans="3:3">
      <c r="C14402"/>
    </row>
    <row r="14403" spans="3:3">
      <c r="C14403"/>
    </row>
    <row r="14404" spans="3:3">
      <c r="C14404"/>
    </row>
    <row r="14405" spans="3:3">
      <c r="C14405"/>
    </row>
    <row r="14406" spans="3:3">
      <c r="C14406"/>
    </row>
    <row r="14407" spans="3:3">
      <c r="C14407"/>
    </row>
    <row r="14408" spans="3:3">
      <c r="C14408"/>
    </row>
    <row r="14409" spans="3:3">
      <c r="C14409"/>
    </row>
    <row r="14410" spans="3:3">
      <c r="C14410"/>
    </row>
    <row r="14411" spans="3:3">
      <c r="C14411"/>
    </row>
    <row r="14412" spans="3:3">
      <c r="C14412"/>
    </row>
    <row r="14413" spans="3:3">
      <c r="C14413"/>
    </row>
    <row r="14414" spans="3:3">
      <c r="C14414"/>
    </row>
    <row r="14415" spans="3:3">
      <c r="C14415"/>
    </row>
    <row r="14416" spans="3:3">
      <c r="C14416"/>
    </row>
    <row r="14417" spans="3:3">
      <c r="C14417"/>
    </row>
    <row r="14418" spans="3:3">
      <c r="C14418"/>
    </row>
    <row r="14419" spans="3:3">
      <c r="C14419"/>
    </row>
    <row r="14420" spans="3:3">
      <c r="C14420"/>
    </row>
    <row r="14421" spans="3:3">
      <c r="C14421"/>
    </row>
    <row r="14422" spans="3:3">
      <c r="C14422"/>
    </row>
    <row r="14423" spans="3:3">
      <c r="C14423"/>
    </row>
    <row r="14424" spans="3:3">
      <c r="C14424"/>
    </row>
    <row r="14425" spans="3:3">
      <c r="C14425"/>
    </row>
    <row r="14426" spans="3:3">
      <c r="C14426"/>
    </row>
    <row r="14427" spans="3:3">
      <c r="C14427"/>
    </row>
    <row r="14428" spans="3:3">
      <c r="C14428"/>
    </row>
    <row r="14429" spans="3:3">
      <c r="C14429"/>
    </row>
    <row r="14430" spans="3:3">
      <c r="C14430"/>
    </row>
    <row r="14431" spans="3:3">
      <c r="C14431"/>
    </row>
    <row r="14432" spans="3:3">
      <c r="C14432"/>
    </row>
    <row r="14433" spans="3:3">
      <c r="C14433"/>
    </row>
    <row r="14434" spans="3:3">
      <c r="C14434"/>
    </row>
    <row r="14435" spans="3:3">
      <c r="C14435"/>
    </row>
    <row r="14436" spans="3:3">
      <c r="C14436"/>
    </row>
    <row r="14437" spans="3:3">
      <c r="C14437"/>
    </row>
    <row r="14438" spans="3:3">
      <c r="C14438"/>
    </row>
    <row r="14439" spans="3:3">
      <c r="C14439"/>
    </row>
    <row r="14440" spans="3:3">
      <c r="C14440"/>
    </row>
    <row r="14441" spans="3:3">
      <c r="C14441"/>
    </row>
    <row r="14442" spans="3:3">
      <c r="C14442"/>
    </row>
    <row r="14443" spans="3:3">
      <c r="C14443"/>
    </row>
    <row r="14444" spans="3:3">
      <c r="C14444"/>
    </row>
    <row r="14445" spans="3:3">
      <c r="C14445"/>
    </row>
    <row r="14446" spans="3:3">
      <c r="C14446"/>
    </row>
    <row r="14447" spans="3:3">
      <c r="C14447"/>
    </row>
    <row r="14448" spans="3:3">
      <c r="C14448"/>
    </row>
    <row r="14449" spans="3:3">
      <c r="C14449"/>
    </row>
    <row r="14450" spans="3:3">
      <c r="C14450"/>
    </row>
    <row r="14451" spans="3:3">
      <c r="C14451"/>
    </row>
    <row r="14452" spans="3:3">
      <c r="C14452"/>
    </row>
    <row r="14453" spans="3:3">
      <c r="C14453"/>
    </row>
    <row r="14454" spans="3:3">
      <c r="C14454"/>
    </row>
    <row r="14455" spans="3:3">
      <c r="C14455"/>
    </row>
    <row r="14456" spans="3:3">
      <c r="C14456"/>
    </row>
    <row r="14457" spans="3:3">
      <c r="C14457"/>
    </row>
    <row r="14458" spans="3:3">
      <c r="C14458"/>
    </row>
    <row r="14459" spans="3:3">
      <c r="C14459"/>
    </row>
    <row r="14460" spans="3:3">
      <c r="C14460"/>
    </row>
    <row r="14461" spans="3:3">
      <c r="C14461"/>
    </row>
    <row r="14462" spans="3:3">
      <c r="C14462"/>
    </row>
    <row r="14463" spans="3:3">
      <c r="C14463"/>
    </row>
    <row r="14464" spans="3:3">
      <c r="C14464"/>
    </row>
    <row r="14465" spans="3:3">
      <c r="C14465"/>
    </row>
    <row r="14466" spans="3:3">
      <c r="C14466"/>
    </row>
    <row r="14467" spans="3:3">
      <c r="C14467"/>
    </row>
    <row r="14468" spans="3:3">
      <c r="C14468"/>
    </row>
    <row r="14469" spans="3:3">
      <c r="C14469"/>
    </row>
    <row r="14470" spans="3:3">
      <c r="C14470"/>
    </row>
    <row r="14471" spans="3:3">
      <c r="C14471"/>
    </row>
    <row r="14472" spans="3:3">
      <c r="C14472"/>
    </row>
    <row r="14473" spans="3:3">
      <c r="C14473"/>
    </row>
    <row r="14474" spans="3:3">
      <c r="C14474"/>
    </row>
    <row r="14475" spans="3:3">
      <c r="C14475"/>
    </row>
    <row r="14476" spans="3:3">
      <c r="C14476"/>
    </row>
    <row r="14477" spans="3:3">
      <c r="C14477"/>
    </row>
    <row r="14478" spans="3:3">
      <c r="C14478"/>
    </row>
    <row r="14479" spans="3:3">
      <c r="C14479"/>
    </row>
    <row r="14480" spans="3:3">
      <c r="C14480"/>
    </row>
    <row r="14481" spans="3:3">
      <c r="C14481"/>
    </row>
    <row r="14482" spans="3:3">
      <c r="C14482"/>
    </row>
    <row r="14483" spans="3:3">
      <c r="C14483"/>
    </row>
    <row r="14484" spans="3:3">
      <c r="C14484"/>
    </row>
    <row r="14485" spans="3:3">
      <c r="C14485"/>
    </row>
    <row r="14486" spans="3:3">
      <c r="C14486"/>
    </row>
    <row r="14487" spans="3:3">
      <c r="C14487"/>
    </row>
    <row r="14488" spans="3:3">
      <c r="C14488"/>
    </row>
    <row r="14489" spans="3:3">
      <c r="C14489"/>
    </row>
    <row r="14490" spans="3:3">
      <c r="C14490"/>
    </row>
    <row r="14491" spans="3:3">
      <c r="C14491"/>
    </row>
    <row r="14492" spans="3:3">
      <c r="C14492"/>
    </row>
    <row r="14493" spans="3:3">
      <c r="C14493"/>
    </row>
    <row r="14494" spans="3:3">
      <c r="C14494"/>
    </row>
    <row r="14495" spans="3:3">
      <c r="C14495"/>
    </row>
    <row r="14496" spans="3:3">
      <c r="C14496"/>
    </row>
    <row r="14497" spans="3:3">
      <c r="C14497"/>
    </row>
    <row r="14498" spans="3:3">
      <c r="C14498"/>
    </row>
    <row r="14499" spans="3:3">
      <c r="C14499"/>
    </row>
    <row r="14500" spans="3:3">
      <c r="C14500"/>
    </row>
    <row r="14501" spans="3:3">
      <c r="C14501"/>
    </row>
    <row r="14502" spans="3:3">
      <c r="C14502"/>
    </row>
    <row r="14503" spans="3:3">
      <c r="C14503"/>
    </row>
    <row r="14504" spans="3:3">
      <c r="C14504"/>
    </row>
    <row r="14505" spans="3:3">
      <c r="C14505"/>
    </row>
    <row r="14506" spans="3:3">
      <c r="C14506"/>
    </row>
    <row r="14507" spans="3:3">
      <c r="C14507"/>
    </row>
    <row r="14508" spans="3:3">
      <c r="C14508"/>
    </row>
    <row r="14509" spans="3:3">
      <c r="C14509"/>
    </row>
    <row r="14510" spans="3:3">
      <c r="C14510"/>
    </row>
    <row r="14511" spans="3:3">
      <c r="C14511"/>
    </row>
    <row r="14512" spans="3:3">
      <c r="C14512"/>
    </row>
    <row r="14513" spans="3:3">
      <c r="C14513"/>
    </row>
    <row r="14514" spans="3:3">
      <c r="C14514"/>
    </row>
    <row r="14515" spans="3:3">
      <c r="C14515"/>
    </row>
    <row r="14516" spans="3:3">
      <c r="C14516"/>
    </row>
    <row r="14517" spans="3:3">
      <c r="C14517"/>
    </row>
    <row r="14518" spans="3:3">
      <c r="C14518"/>
    </row>
    <row r="14519" spans="3:3">
      <c r="C14519"/>
    </row>
    <row r="14520" spans="3:3">
      <c r="C14520"/>
    </row>
    <row r="14521" spans="3:3">
      <c r="C14521"/>
    </row>
    <row r="14522" spans="3:3">
      <c r="C14522"/>
    </row>
    <row r="14523" spans="3:3">
      <c r="C14523"/>
    </row>
    <row r="14524" spans="3:3">
      <c r="C14524"/>
    </row>
    <row r="14525" spans="3:3">
      <c r="C14525"/>
    </row>
    <row r="14526" spans="3:3">
      <c r="C14526"/>
    </row>
    <row r="14527" spans="3:3">
      <c r="C14527"/>
    </row>
    <row r="14528" spans="3:3">
      <c r="C14528"/>
    </row>
    <row r="14529" spans="3:3">
      <c r="C1452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J166"/>
  <sheetViews>
    <sheetView workbookViewId="0"/>
  </sheetViews>
  <sheetFormatPr defaultRowHeight="15"/>
  <cols>
    <col min="2" max="2" width="10.85546875" style="22" bestFit="1" customWidth="1"/>
    <col min="4" max="4" width="10.85546875" style="22" bestFit="1" customWidth="1"/>
  </cols>
  <sheetData>
    <row r="1" spans="1:10">
      <c r="A1" s="21"/>
      <c r="B1" s="21"/>
      <c r="C1" s="21"/>
      <c r="D1" s="21"/>
      <c r="E1" t="s">
        <v>111</v>
      </c>
    </row>
    <row r="2" spans="1:10">
      <c r="A2" s="21"/>
      <c r="B2" s="21"/>
      <c r="C2" s="21"/>
      <c r="D2" s="21"/>
      <c r="E2" t="s">
        <v>54</v>
      </c>
    </row>
    <row r="3" spans="1:10">
      <c r="A3" s="21"/>
      <c r="B3" s="21"/>
      <c r="C3" s="21"/>
      <c r="D3" s="21"/>
      <c r="E3" s="6" t="s">
        <v>55</v>
      </c>
      <c r="G3">
        <v>5</v>
      </c>
    </row>
    <row r="4" spans="1:10">
      <c r="A4" s="21"/>
      <c r="B4" s="21"/>
      <c r="C4" s="21"/>
      <c r="D4" s="21"/>
      <c r="E4" s="6" t="s">
        <v>1</v>
      </c>
      <c r="F4" t="s">
        <v>2</v>
      </c>
      <c r="G4" t="s">
        <v>3</v>
      </c>
      <c r="H4" t="s">
        <v>4</v>
      </c>
      <c r="I4" t="s">
        <v>5</v>
      </c>
      <c r="J4" t="s">
        <v>6</v>
      </c>
    </row>
    <row r="5" spans="1:10">
      <c r="A5">
        <f>DC!A5</f>
        <v>1</v>
      </c>
      <c r="B5" t="str">
        <f>DC!B5</f>
        <v>08:30-09:15</v>
      </c>
      <c r="C5">
        <f>DC!C5</f>
        <v>2</v>
      </c>
      <c r="D5" t="str">
        <f>DC!D5</f>
        <v>08:30-09:30</v>
      </c>
      <c r="E5">
        <f>SUM(DC!E5,DC!K5,DC!Q5,DC!W5,DC!AC5,DC!AI5,DC!AO5,DC!AU5,DC!BA5,DC!BG5)</f>
        <v>0</v>
      </c>
      <c r="F5">
        <f>SUM(DC!F5,DC!L5,DC!R5,DC!X5,DC!AD5,DC!AJ5,DC!AP5,DC!AV5,DC!BB5,DC!BH5)</f>
        <v>0</v>
      </c>
      <c r="G5">
        <f>SUM(DC!G5,DC!M5,DC!S5,DC!Y5,DC!AE5,DC!AK5,DC!AQ5,DC!AW5,DC!BC5,DC!BI5)</f>
        <v>0</v>
      </c>
      <c r="H5">
        <f>SUM(DC!H5,DC!N5,DC!T5,DC!Z5,DC!AF5,DC!AL5,DC!AR5,DC!AX5,DC!BD5,DC!BJ5)</f>
        <v>0</v>
      </c>
      <c r="I5">
        <f>SUM(DC!I5,DC!O5,DC!U5,DC!AA5,DC!AG5,DC!AM5,DC!AS5,DC!AY5,DC!BE5,DC!BK5)</f>
        <v>0</v>
      </c>
      <c r="J5">
        <f>SUM(DC!J5,DC!P5,DC!V5,DC!AB5,DC!AH5,DC!AN5,DC!AT5,DC!AZ5,DC!BF5,DC!BL5)</f>
        <v>0</v>
      </c>
    </row>
    <row r="6" spans="1:10">
      <c r="A6">
        <f>DC!A6</f>
        <v>1</v>
      </c>
      <c r="B6" t="str">
        <f>DC!B6</f>
        <v>08:30-09:15</v>
      </c>
      <c r="C6">
        <f>DC!C6</f>
        <v>3</v>
      </c>
      <c r="D6" t="str">
        <f>DC!D6</f>
        <v>08:45-09:30</v>
      </c>
      <c r="E6">
        <f>SUM(DC!E6,DC!K6,DC!Q6,DC!W6,DC!AC6,DC!AI6,DC!AO6,DC!AU6,DC!BA6,DC!BG6)</f>
        <v>0</v>
      </c>
      <c r="F6">
        <f>SUM(DC!F6,DC!L6,DC!R6,DC!X6,DC!AD6,DC!AJ6,DC!AP6,DC!AV6,DC!BB6,DC!BH6)</f>
        <v>0</v>
      </c>
      <c r="G6">
        <f>SUM(DC!G6,DC!M6,DC!S6,DC!Y6,DC!AE6,DC!AK6,DC!AQ6,DC!AW6,DC!BC6,DC!BI6)</f>
        <v>0</v>
      </c>
      <c r="H6">
        <f>SUM(DC!H6,DC!N6,DC!T6,DC!Z6,DC!AF6,DC!AL6,DC!AR6,DC!AX6,DC!BD6,DC!BJ6)</f>
        <v>0</v>
      </c>
      <c r="I6">
        <f>SUM(DC!I6,DC!O6,DC!U6,DC!AA6,DC!AG6,DC!AM6,DC!AS6,DC!AY6,DC!BE6,DC!BK6)</f>
        <v>0</v>
      </c>
      <c r="J6">
        <f>SUM(DC!J6,DC!P6,DC!V6,DC!AB6,DC!AH6,DC!AN6,DC!AT6,DC!AZ6,DC!BF6,DC!BL6)</f>
        <v>0</v>
      </c>
    </row>
    <row r="7" spans="1:10">
      <c r="A7">
        <f>DC!A7</f>
        <v>1</v>
      </c>
      <c r="B7" t="str">
        <f>DC!B7</f>
        <v>08:30-09:15</v>
      </c>
      <c r="C7">
        <f>DC!C7</f>
        <v>4</v>
      </c>
      <c r="D7" t="str">
        <f>DC!D7</f>
        <v>09:00-09:45</v>
      </c>
      <c r="E7">
        <f>SUM(DC!E7,DC!K7,DC!Q7,DC!W7,DC!AC7,DC!AI7,DC!AO7,DC!AU7,DC!BA7,DC!BG7)</f>
        <v>0</v>
      </c>
      <c r="F7">
        <f>SUM(DC!F7,DC!L7,DC!R7,DC!X7,DC!AD7,DC!AJ7,DC!AP7,DC!AV7,DC!BB7,DC!BH7)</f>
        <v>0</v>
      </c>
      <c r="G7">
        <f>SUM(DC!G7,DC!M7,DC!S7,DC!Y7,DC!AE7,DC!AK7,DC!AQ7,DC!AW7,DC!BC7,DC!BI7)</f>
        <v>0</v>
      </c>
      <c r="H7">
        <f>SUM(DC!H7,DC!N7,DC!T7,DC!Z7,DC!AF7,DC!AL7,DC!AR7,DC!AX7,DC!BD7,DC!BJ7)</f>
        <v>0</v>
      </c>
      <c r="I7">
        <f>SUM(DC!I7,DC!O7,DC!U7,DC!AA7,DC!AG7,DC!AM7,DC!AS7,DC!AY7,DC!BE7,DC!BK7)</f>
        <v>0</v>
      </c>
      <c r="J7">
        <f>SUM(DC!J7,DC!P7,DC!V7,DC!AB7,DC!AH7,DC!AN7,DC!AT7,DC!AZ7,DC!BF7,DC!BL7)</f>
        <v>0</v>
      </c>
    </row>
    <row r="8" spans="1:10">
      <c r="A8">
        <f>DC!A8</f>
        <v>1</v>
      </c>
      <c r="B8" t="str">
        <f>DC!B8</f>
        <v>08:30-09:15</v>
      </c>
      <c r="C8">
        <f>DC!C8</f>
        <v>5</v>
      </c>
      <c r="D8" t="str">
        <f>DC!D8</f>
        <v>09:00-10:00</v>
      </c>
      <c r="E8">
        <f>SUM(DC!E8,DC!K8,DC!Q8,DC!W8,DC!AC8,DC!AI8,DC!AO8,DC!AU8,DC!BA8,DC!BG8)</f>
        <v>0</v>
      </c>
      <c r="F8">
        <f>SUM(DC!F8,DC!L8,DC!R8,DC!X8,DC!AD8,DC!AJ8,DC!AP8,DC!AV8,DC!BB8,DC!BH8)</f>
        <v>0</v>
      </c>
      <c r="G8">
        <f>SUM(DC!G8,DC!M8,DC!S8,DC!Y8,DC!AE8,DC!AK8,DC!AQ8,DC!AW8,DC!BC8,DC!BI8)</f>
        <v>0</v>
      </c>
      <c r="H8">
        <f>SUM(DC!H8,DC!N8,DC!T8,DC!Z8,DC!AF8,DC!AL8,DC!AR8,DC!AX8,DC!BD8,DC!BJ8)</f>
        <v>0</v>
      </c>
      <c r="I8">
        <f>SUM(DC!I8,DC!O8,DC!U8,DC!AA8,DC!AG8,DC!AM8,DC!AS8,DC!AY8,DC!BE8,DC!BK8)</f>
        <v>0</v>
      </c>
      <c r="J8">
        <f>SUM(DC!J8,DC!P8,DC!V8,DC!AB8,DC!AH8,DC!AN8,DC!AT8,DC!AZ8,DC!BF8,DC!BL8)</f>
        <v>0</v>
      </c>
    </row>
    <row r="9" spans="1:10">
      <c r="A9">
        <f>DC!A9</f>
        <v>2</v>
      </c>
      <c r="B9" t="str">
        <f>DC!B9</f>
        <v>08:30-09:30</v>
      </c>
      <c r="C9">
        <f>DC!C9</f>
        <v>3</v>
      </c>
      <c r="D9" t="str">
        <f>DC!D9</f>
        <v>08:45-09:30</v>
      </c>
      <c r="E9">
        <f>SUM(DC!E9,DC!K9,DC!Q9,DC!W9,DC!AC9,DC!AI9,DC!AO9,DC!AU9,DC!BA9,DC!BG9)</f>
        <v>0</v>
      </c>
      <c r="F9">
        <f>SUM(DC!F9,DC!L9,DC!R9,DC!X9,DC!AD9,DC!AJ9,DC!AP9,DC!AV9,DC!BB9,DC!BH9)</f>
        <v>0</v>
      </c>
      <c r="G9">
        <f>SUM(DC!G9,DC!M9,DC!S9,DC!Y9,DC!AE9,DC!AK9,DC!AQ9,DC!AW9,DC!BC9,DC!BI9)</f>
        <v>0</v>
      </c>
      <c r="H9">
        <f>SUM(DC!H9,DC!N9,DC!T9,DC!Z9,DC!AF9,DC!AL9,DC!AR9,DC!AX9,DC!BD9,DC!BJ9)</f>
        <v>0</v>
      </c>
      <c r="I9">
        <f>SUM(DC!I9,DC!O9,DC!U9,DC!AA9,DC!AG9,DC!AM9,DC!AS9,DC!AY9,DC!BE9,DC!BK9)</f>
        <v>0</v>
      </c>
      <c r="J9">
        <f>SUM(DC!J9,DC!P9,DC!V9,DC!AB9,DC!AH9,DC!AN9,DC!AT9,DC!AZ9,DC!BF9,DC!BL9)</f>
        <v>0</v>
      </c>
    </row>
    <row r="10" spans="1:10">
      <c r="A10">
        <f>DC!A10</f>
        <v>2</v>
      </c>
      <c r="B10" t="str">
        <f>DC!B10</f>
        <v>08:30-09:30</v>
      </c>
      <c r="C10">
        <f>DC!C10</f>
        <v>4</v>
      </c>
      <c r="D10" t="str">
        <f>DC!D10</f>
        <v>09:00-09:45</v>
      </c>
      <c r="E10">
        <f>SUM(DC!E10,DC!K10,DC!Q10,DC!W10,DC!AC10,DC!AI10,DC!AO10,DC!AU10,DC!BA10,DC!BG10)</f>
        <v>0</v>
      </c>
      <c r="F10">
        <f>SUM(DC!F10,DC!L10,DC!R10,DC!X10,DC!AD10,DC!AJ10,DC!AP10,DC!AV10,DC!BB10,DC!BH10)</f>
        <v>0</v>
      </c>
      <c r="G10">
        <f>SUM(DC!G10,DC!M10,DC!S10,DC!Y10,DC!AE10,DC!AK10,DC!AQ10,DC!AW10,DC!BC10,DC!BI10)</f>
        <v>0</v>
      </c>
      <c r="H10">
        <f>SUM(DC!H10,DC!N10,DC!T10,DC!Z10,DC!AF10,DC!AL10,DC!AR10,DC!AX10,DC!BD10,DC!BJ10)</f>
        <v>0</v>
      </c>
      <c r="I10">
        <f>SUM(DC!I10,DC!O10,DC!U10,DC!AA10,DC!AG10,DC!AM10,DC!AS10,DC!AY10,DC!BE10,DC!BK10)</f>
        <v>0</v>
      </c>
      <c r="J10">
        <f>SUM(DC!J10,DC!P10,DC!V10,DC!AB10,DC!AH10,DC!AN10,DC!AT10,DC!AZ10,DC!BF10,DC!BL10)</f>
        <v>0</v>
      </c>
    </row>
    <row r="11" spans="1:10">
      <c r="A11">
        <f>DC!A11</f>
        <v>2</v>
      </c>
      <c r="B11" t="str">
        <f>DC!B11</f>
        <v>08:30-09:30</v>
      </c>
      <c r="C11">
        <f>DC!C11</f>
        <v>5</v>
      </c>
      <c r="D11" t="str">
        <f>DC!D11</f>
        <v>09:00-10:00</v>
      </c>
      <c r="E11">
        <f>SUM(DC!E11,DC!K11,DC!Q11,DC!W11,DC!AC11,DC!AI11,DC!AO11,DC!AU11,DC!BA11,DC!BG11)</f>
        <v>0</v>
      </c>
      <c r="F11">
        <f>SUM(DC!F11,DC!L11,DC!R11,DC!X11,DC!AD11,DC!AJ11,DC!AP11,DC!AV11,DC!BB11,DC!BH11)</f>
        <v>0</v>
      </c>
      <c r="G11">
        <f>SUM(DC!G11,DC!M11,DC!S11,DC!Y11,DC!AE11,DC!AK11,DC!AQ11,DC!AW11,DC!BC11,DC!BI11)</f>
        <v>0</v>
      </c>
      <c r="H11">
        <f>SUM(DC!H11,DC!N11,DC!T11,DC!Z11,DC!AF11,DC!AL11,DC!AR11,DC!AX11,DC!BD11,DC!BJ11)</f>
        <v>0</v>
      </c>
      <c r="I11">
        <f>SUM(DC!I11,DC!O11,DC!U11,DC!AA11,DC!AG11,DC!AM11,DC!AS11,DC!AY11,DC!BE11,DC!BK11)</f>
        <v>0</v>
      </c>
      <c r="J11">
        <f>SUM(DC!J11,DC!P11,DC!V11,DC!AB11,DC!AH11,DC!AN11,DC!AT11,DC!AZ11,DC!BF11,DC!BL11)</f>
        <v>0</v>
      </c>
    </row>
    <row r="12" spans="1:10">
      <c r="A12">
        <f>DC!A12</f>
        <v>2</v>
      </c>
      <c r="B12" t="str">
        <f>DC!B12</f>
        <v>08:30-09:30</v>
      </c>
      <c r="C12">
        <f>DC!C12</f>
        <v>6</v>
      </c>
      <c r="D12" t="str">
        <f>DC!D12</f>
        <v>09:15-10:00</v>
      </c>
      <c r="E12">
        <f>SUM(DC!E12,DC!K12,DC!Q12,DC!W12,DC!AC12,DC!AI12,DC!AO12,DC!AU12,DC!BA12,DC!BG12)</f>
        <v>0</v>
      </c>
      <c r="F12">
        <f>SUM(DC!F12,DC!L12,DC!R12,DC!X12,DC!AD12,DC!AJ12,DC!AP12,DC!AV12,DC!BB12,DC!BH12)</f>
        <v>0</v>
      </c>
      <c r="G12">
        <f>SUM(DC!G12,DC!M12,DC!S12,DC!Y12,DC!AE12,DC!AK12,DC!AQ12,DC!AW12,DC!BC12,DC!BI12)</f>
        <v>0</v>
      </c>
      <c r="H12">
        <f>SUM(DC!H12,DC!N12,DC!T12,DC!Z12,DC!AF12,DC!AL12,DC!AR12,DC!AX12,DC!BD12,DC!BJ12)</f>
        <v>0</v>
      </c>
      <c r="I12">
        <f>SUM(DC!I12,DC!O12,DC!U12,DC!AA12,DC!AG12,DC!AM12,DC!AS12,DC!AY12,DC!BE12,DC!BK12)</f>
        <v>0</v>
      </c>
      <c r="J12">
        <f>SUM(DC!J12,DC!P12,DC!V12,DC!AB12,DC!AH12,DC!AN12,DC!AT12,DC!AZ12,DC!BF12,DC!BL12)</f>
        <v>0</v>
      </c>
    </row>
    <row r="13" spans="1:10">
      <c r="A13">
        <f>DC!A13</f>
        <v>3</v>
      </c>
      <c r="B13" t="str">
        <f>DC!B13</f>
        <v>08:45-09:30</v>
      </c>
      <c r="C13">
        <f>DC!C13</f>
        <v>4</v>
      </c>
      <c r="D13" t="str">
        <f>DC!D13</f>
        <v>09:00-09:45</v>
      </c>
      <c r="E13">
        <f>SUM(DC!E13,DC!K13,DC!Q13,DC!W13,DC!AC13,DC!AI13,DC!AO13,DC!AU13,DC!BA13,DC!BG13)</f>
        <v>0</v>
      </c>
      <c r="F13">
        <f>SUM(DC!F13,DC!L13,DC!R13,DC!X13,DC!AD13,DC!AJ13,DC!AP13,DC!AV13,DC!BB13,DC!BH13)</f>
        <v>0</v>
      </c>
      <c r="G13">
        <f>SUM(DC!G13,DC!M13,DC!S13,DC!Y13,DC!AE13,DC!AK13,DC!AQ13,DC!AW13,DC!BC13,DC!BI13)</f>
        <v>0</v>
      </c>
      <c r="H13">
        <f>SUM(DC!H13,DC!N13,DC!T13,DC!Z13,DC!AF13,DC!AL13,DC!AR13,DC!AX13,DC!BD13,DC!BJ13)</f>
        <v>0</v>
      </c>
      <c r="I13">
        <f>SUM(DC!I13,DC!O13,DC!U13,DC!AA13,DC!AG13,DC!AM13,DC!AS13,DC!AY13,DC!BE13,DC!BK13)</f>
        <v>0</v>
      </c>
      <c r="J13">
        <f>SUM(DC!J13,DC!P13,DC!V13,DC!AB13,DC!AH13,DC!AN13,DC!AT13,DC!AZ13,DC!BF13,DC!BL13)</f>
        <v>0</v>
      </c>
    </row>
    <row r="14" spans="1:10">
      <c r="A14">
        <f>DC!A14</f>
        <v>3</v>
      </c>
      <c r="B14" t="str">
        <f>DC!B14</f>
        <v>08:45-09:30</v>
      </c>
      <c r="C14">
        <f>DC!C14</f>
        <v>5</v>
      </c>
      <c r="D14" t="str">
        <f>DC!D14</f>
        <v>09:00-10:00</v>
      </c>
      <c r="E14">
        <f>SUM(DC!E14,DC!K14,DC!Q14,DC!W14,DC!AC14,DC!AI14,DC!AO14,DC!AU14,DC!BA14,DC!BG14)</f>
        <v>0</v>
      </c>
      <c r="F14">
        <f>SUM(DC!F14,DC!L14,DC!R14,DC!X14,DC!AD14,DC!AJ14,DC!AP14,DC!AV14,DC!BB14,DC!BH14)</f>
        <v>0</v>
      </c>
      <c r="G14">
        <f>SUM(DC!G14,DC!M14,DC!S14,DC!Y14,DC!AE14,DC!AK14,DC!AQ14,DC!AW14,DC!BC14,DC!BI14)</f>
        <v>0</v>
      </c>
      <c r="H14">
        <f>SUM(DC!H14,DC!N14,DC!T14,DC!Z14,DC!AF14,DC!AL14,DC!AR14,DC!AX14,DC!BD14,DC!BJ14)</f>
        <v>0</v>
      </c>
      <c r="I14">
        <f>SUM(DC!I14,DC!O14,DC!U14,DC!AA14,DC!AG14,DC!AM14,DC!AS14,DC!AY14,DC!BE14,DC!BK14)</f>
        <v>0</v>
      </c>
      <c r="J14">
        <f>SUM(DC!J14,DC!P14,DC!V14,DC!AB14,DC!AH14,DC!AN14,DC!AT14,DC!AZ14,DC!BF14,DC!BL14)</f>
        <v>0</v>
      </c>
    </row>
    <row r="15" spans="1:10">
      <c r="A15">
        <f>DC!A15</f>
        <v>3</v>
      </c>
      <c r="B15" t="str">
        <f>DC!B15</f>
        <v>08:45-09:30</v>
      </c>
      <c r="C15">
        <f>DC!C15</f>
        <v>6</v>
      </c>
      <c r="D15" t="str">
        <f>DC!D15</f>
        <v>09:15-10:00</v>
      </c>
      <c r="E15">
        <f>SUM(DC!E15,DC!K15,DC!Q15,DC!W15,DC!AC15,DC!AI15,DC!AO15,DC!AU15,DC!BA15,DC!BG15)</f>
        <v>0</v>
      </c>
      <c r="F15">
        <f>SUM(DC!F15,DC!L15,DC!R15,DC!X15,DC!AD15,DC!AJ15,DC!AP15,DC!AV15,DC!BB15,DC!BH15)</f>
        <v>0</v>
      </c>
      <c r="G15">
        <f>SUM(DC!G15,DC!M15,DC!S15,DC!Y15,DC!AE15,DC!AK15,DC!AQ15,DC!AW15,DC!BC15,DC!BI15)</f>
        <v>0</v>
      </c>
      <c r="H15">
        <f>SUM(DC!H15,DC!N15,DC!T15,DC!Z15,DC!AF15,DC!AL15,DC!AR15,DC!AX15,DC!BD15,DC!BJ15)</f>
        <v>0</v>
      </c>
      <c r="I15">
        <f>SUM(DC!I15,DC!O15,DC!U15,DC!AA15,DC!AG15,DC!AM15,DC!AS15,DC!AY15,DC!BE15,DC!BK15)</f>
        <v>0</v>
      </c>
      <c r="J15">
        <f>SUM(DC!J15,DC!P15,DC!V15,DC!AB15,DC!AH15,DC!AN15,DC!AT15,DC!AZ15,DC!BF15,DC!BL15)</f>
        <v>0</v>
      </c>
    </row>
    <row r="16" spans="1:10">
      <c r="A16">
        <f>DC!A16</f>
        <v>4</v>
      </c>
      <c r="B16" t="str">
        <f>DC!B16</f>
        <v>09:00-09:45</v>
      </c>
      <c r="C16">
        <f>DC!C16</f>
        <v>5</v>
      </c>
      <c r="D16" t="str">
        <f>DC!D16</f>
        <v>09:00-10:00</v>
      </c>
      <c r="E16">
        <f>SUM(DC!E16,DC!K16,DC!Q16,DC!W16,DC!AC16,DC!AI16,DC!AO16,DC!AU16,DC!BA16,DC!BG16)</f>
        <v>0</v>
      </c>
      <c r="F16">
        <f>SUM(DC!F16,DC!L16,DC!R16,DC!X16,DC!AD16,DC!AJ16,DC!AP16,DC!AV16,DC!BB16,DC!BH16)</f>
        <v>0</v>
      </c>
      <c r="G16">
        <f>SUM(DC!G16,DC!M16,DC!S16,DC!Y16,DC!AE16,DC!AK16,DC!AQ16,DC!AW16,DC!BC16,DC!BI16)</f>
        <v>0</v>
      </c>
      <c r="H16">
        <f>SUM(DC!H16,DC!N16,DC!T16,DC!Z16,DC!AF16,DC!AL16,DC!AR16,DC!AX16,DC!BD16,DC!BJ16)</f>
        <v>0</v>
      </c>
      <c r="I16">
        <f>SUM(DC!I16,DC!O16,DC!U16,DC!AA16,DC!AG16,DC!AM16,DC!AS16,DC!AY16,DC!BE16,DC!BK16)</f>
        <v>0</v>
      </c>
      <c r="J16">
        <f>SUM(DC!J16,DC!P16,DC!V16,DC!AB16,DC!AH16,DC!AN16,DC!AT16,DC!AZ16,DC!BF16,DC!BL16)</f>
        <v>0</v>
      </c>
    </row>
    <row r="17" spans="1:10">
      <c r="A17">
        <f>DC!A17</f>
        <v>4</v>
      </c>
      <c r="B17" t="str">
        <f>DC!B17</f>
        <v>09:00-09:45</v>
      </c>
      <c r="C17">
        <f>DC!C17</f>
        <v>6</v>
      </c>
      <c r="D17" t="str">
        <f>DC!D17</f>
        <v>09:15-10:00</v>
      </c>
      <c r="E17">
        <f>SUM(DC!E17,DC!K17,DC!Q17,DC!W17,DC!AC17,DC!AI17,DC!AO17,DC!AU17,DC!BA17,DC!BG17)</f>
        <v>0</v>
      </c>
      <c r="F17">
        <f>SUM(DC!F17,DC!L17,DC!R17,DC!X17,DC!AD17,DC!AJ17,DC!AP17,DC!AV17,DC!BB17,DC!BH17)</f>
        <v>0</v>
      </c>
      <c r="G17">
        <f>SUM(DC!G17,DC!M17,DC!S17,DC!Y17,DC!AE17,DC!AK17,DC!AQ17,DC!AW17,DC!BC17,DC!BI17)</f>
        <v>0</v>
      </c>
      <c r="H17">
        <f>SUM(DC!H17,DC!N17,DC!T17,DC!Z17,DC!AF17,DC!AL17,DC!AR17,DC!AX17,DC!BD17,DC!BJ17)</f>
        <v>0</v>
      </c>
      <c r="I17">
        <f>SUM(DC!I17,DC!O17,DC!U17,DC!AA17,DC!AG17,DC!AM17,DC!AS17,DC!AY17,DC!BE17,DC!BK17)</f>
        <v>0</v>
      </c>
      <c r="J17">
        <f>SUM(DC!J17,DC!P17,DC!V17,DC!AB17,DC!AH17,DC!AN17,DC!AT17,DC!AZ17,DC!BF17,DC!BL17)</f>
        <v>0</v>
      </c>
    </row>
    <row r="18" spans="1:10">
      <c r="A18">
        <f>DC!A18</f>
        <v>4</v>
      </c>
      <c r="B18" t="str">
        <f>DC!B18</f>
        <v>09:00-09:45</v>
      </c>
      <c r="C18">
        <f>DC!C18</f>
        <v>7</v>
      </c>
      <c r="D18" t="str">
        <f>DC!D18</f>
        <v>09:30-10:15</v>
      </c>
      <c r="E18">
        <f>SUM(DC!E18,DC!K18,DC!Q18,DC!W18,DC!AC18,DC!AI18,DC!AO18,DC!AU18,DC!BA18,DC!BG18)</f>
        <v>0</v>
      </c>
      <c r="F18">
        <f>SUM(DC!F18,DC!L18,DC!R18,DC!X18,DC!AD18,DC!AJ18,DC!AP18,DC!AV18,DC!BB18,DC!BH18)</f>
        <v>0</v>
      </c>
      <c r="G18">
        <f>SUM(DC!G18,DC!M18,DC!S18,DC!Y18,DC!AE18,DC!AK18,DC!AQ18,DC!AW18,DC!BC18,DC!BI18)</f>
        <v>0</v>
      </c>
      <c r="H18">
        <f>SUM(DC!H18,DC!N18,DC!T18,DC!Z18,DC!AF18,DC!AL18,DC!AR18,DC!AX18,DC!BD18,DC!BJ18)</f>
        <v>0</v>
      </c>
      <c r="I18">
        <f>SUM(DC!I18,DC!O18,DC!U18,DC!AA18,DC!AG18,DC!AM18,DC!AS18,DC!AY18,DC!BE18,DC!BK18)</f>
        <v>0</v>
      </c>
      <c r="J18">
        <f>SUM(DC!J18,DC!P18,DC!V18,DC!AB18,DC!AH18,DC!AN18,DC!AT18,DC!AZ18,DC!BF18,DC!BL18)</f>
        <v>0</v>
      </c>
    </row>
    <row r="19" spans="1:10">
      <c r="A19">
        <f>DC!A19</f>
        <v>5</v>
      </c>
      <c r="B19" t="str">
        <f>DC!B19</f>
        <v>09:00-10:00</v>
      </c>
      <c r="C19">
        <f>DC!C19</f>
        <v>6</v>
      </c>
      <c r="D19" t="str">
        <f>DC!D19</f>
        <v>09:15-10:00</v>
      </c>
      <c r="E19">
        <f>SUM(DC!E19,DC!K19,DC!Q19,DC!W19,DC!AC19,DC!AI19,DC!AO19,DC!AU19,DC!BA19,DC!BG19)</f>
        <v>0</v>
      </c>
      <c r="F19">
        <f>SUM(DC!F19,DC!L19,DC!R19,DC!X19,DC!AD19,DC!AJ19,DC!AP19,DC!AV19,DC!BB19,DC!BH19)</f>
        <v>0</v>
      </c>
      <c r="G19">
        <f>SUM(DC!G19,DC!M19,DC!S19,DC!Y19,DC!AE19,DC!AK19,DC!AQ19,DC!AW19,DC!BC19,DC!BI19)</f>
        <v>0</v>
      </c>
      <c r="H19">
        <f>SUM(DC!H19,DC!N19,DC!T19,DC!Z19,DC!AF19,DC!AL19,DC!AR19,DC!AX19,DC!BD19,DC!BJ19)</f>
        <v>0</v>
      </c>
      <c r="I19">
        <f>SUM(DC!I19,DC!O19,DC!U19,DC!AA19,DC!AG19,DC!AM19,DC!AS19,DC!AY19,DC!BE19,DC!BK19)</f>
        <v>0</v>
      </c>
      <c r="J19">
        <f>SUM(DC!J19,DC!P19,DC!V19,DC!AB19,DC!AH19,DC!AN19,DC!AT19,DC!AZ19,DC!BF19,DC!BL19)</f>
        <v>0</v>
      </c>
    </row>
    <row r="20" spans="1:10">
      <c r="A20">
        <f>DC!A20</f>
        <v>5</v>
      </c>
      <c r="B20" t="str">
        <f>DC!B20</f>
        <v>09:00-10:00</v>
      </c>
      <c r="C20">
        <f>DC!C20</f>
        <v>7</v>
      </c>
      <c r="D20" t="str">
        <f>DC!D20</f>
        <v>09:30-10:15</v>
      </c>
      <c r="E20">
        <f>SUM(DC!E20,DC!K20,DC!Q20,DC!W20,DC!AC20,DC!AI20,DC!AO20,DC!AU20,DC!BA20,DC!BG20)</f>
        <v>0</v>
      </c>
      <c r="F20">
        <f>SUM(DC!F20,DC!L20,DC!R20,DC!X20,DC!AD20,DC!AJ20,DC!AP20,DC!AV20,DC!BB20,DC!BH20)</f>
        <v>0</v>
      </c>
      <c r="G20">
        <f>SUM(DC!G20,DC!M20,DC!S20,DC!Y20,DC!AE20,DC!AK20,DC!AQ20,DC!AW20,DC!BC20,DC!BI20)</f>
        <v>0</v>
      </c>
      <c r="H20">
        <f>SUM(DC!H20,DC!N20,DC!T20,DC!Z20,DC!AF20,DC!AL20,DC!AR20,DC!AX20,DC!BD20,DC!BJ20)</f>
        <v>0</v>
      </c>
      <c r="I20">
        <f>SUM(DC!I20,DC!O20,DC!U20,DC!AA20,DC!AG20,DC!AM20,DC!AS20,DC!AY20,DC!BE20,DC!BK20)</f>
        <v>0</v>
      </c>
      <c r="J20">
        <f>SUM(DC!J20,DC!P20,DC!V20,DC!AB20,DC!AH20,DC!AN20,DC!AT20,DC!AZ20,DC!BF20,DC!BL20)</f>
        <v>0</v>
      </c>
    </row>
    <row r="21" spans="1:10">
      <c r="A21">
        <f>DC!A21</f>
        <v>5</v>
      </c>
      <c r="B21" t="str">
        <f>DC!B21</f>
        <v>09:00-10:00</v>
      </c>
      <c r="C21">
        <f>DC!C21</f>
        <v>8</v>
      </c>
      <c r="D21" t="str">
        <f>DC!D21</f>
        <v>09:45-10:30</v>
      </c>
      <c r="E21">
        <f>SUM(DC!E21,DC!K21,DC!Q21,DC!W21,DC!AC21,DC!AI21,DC!AO21,DC!AU21,DC!BA21,DC!BG21)</f>
        <v>0</v>
      </c>
      <c r="F21">
        <f>SUM(DC!F21,DC!L21,DC!R21,DC!X21,DC!AD21,DC!AJ21,DC!AP21,DC!AV21,DC!BB21,DC!BH21)</f>
        <v>0</v>
      </c>
      <c r="G21">
        <f>SUM(DC!G21,DC!M21,DC!S21,DC!Y21,DC!AE21,DC!AK21,DC!AQ21,DC!AW21,DC!BC21,DC!BI21)</f>
        <v>0</v>
      </c>
      <c r="H21">
        <f>SUM(DC!H21,DC!N21,DC!T21,DC!Z21,DC!AF21,DC!AL21,DC!AR21,DC!AX21,DC!BD21,DC!BJ21)</f>
        <v>0</v>
      </c>
      <c r="I21">
        <f>SUM(DC!I21,DC!O21,DC!U21,DC!AA21,DC!AG21,DC!AM21,DC!AS21,DC!AY21,DC!BE21,DC!BK21)</f>
        <v>0</v>
      </c>
      <c r="J21">
        <f>SUM(DC!J21,DC!P21,DC!V21,DC!AB21,DC!AH21,DC!AN21,DC!AT21,DC!AZ21,DC!BF21,DC!BL21)</f>
        <v>0</v>
      </c>
    </row>
    <row r="22" spans="1:10">
      <c r="A22">
        <f>DC!A22</f>
        <v>6</v>
      </c>
      <c r="B22" t="str">
        <f>DC!B22</f>
        <v>09:15-10:00</v>
      </c>
      <c r="C22">
        <f>DC!C22</f>
        <v>7</v>
      </c>
      <c r="D22" t="str">
        <f>DC!D22</f>
        <v>09:30-10:15</v>
      </c>
      <c r="E22">
        <f>SUM(DC!E22,DC!K22,DC!Q22,DC!W22,DC!AC22,DC!AI22,DC!AO22,DC!AU22,DC!BA22,DC!BG22)</f>
        <v>0</v>
      </c>
      <c r="F22">
        <f>SUM(DC!F22,DC!L22,DC!R22,DC!X22,DC!AD22,DC!AJ22,DC!AP22,DC!AV22,DC!BB22,DC!BH22)</f>
        <v>0</v>
      </c>
      <c r="G22">
        <f>SUM(DC!G22,DC!M22,DC!S22,DC!Y22,DC!AE22,DC!AK22,DC!AQ22,DC!AW22,DC!BC22,DC!BI22)</f>
        <v>0</v>
      </c>
      <c r="H22">
        <f>SUM(DC!H22,DC!N22,DC!T22,DC!Z22,DC!AF22,DC!AL22,DC!AR22,DC!AX22,DC!BD22,DC!BJ22)</f>
        <v>0</v>
      </c>
      <c r="I22">
        <f>SUM(DC!I22,DC!O22,DC!U22,DC!AA22,DC!AG22,DC!AM22,DC!AS22,DC!AY22,DC!BE22,DC!BK22)</f>
        <v>0</v>
      </c>
      <c r="J22">
        <f>SUM(DC!J22,DC!P22,DC!V22,DC!AB22,DC!AH22,DC!AN22,DC!AT22,DC!AZ22,DC!BF22,DC!BL22)</f>
        <v>0</v>
      </c>
    </row>
    <row r="23" spans="1:10">
      <c r="A23">
        <f>DC!A23</f>
        <v>6</v>
      </c>
      <c r="B23" t="str">
        <f>DC!B23</f>
        <v>09:15-10:00</v>
      </c>
      <c r="C23">
        <f>DC!C23</f>
        <v>8</v>
      </c>
      <c r="D23" t="str">
        <f>DC!D23</f>
        <v>09:45-10:30</v>
      </c>
      <c r="E23">
        <f>SUM(DC!E23,DC!K23,DC!Q23,DC!W23,DC!AC23,DC!AI23,DC!AO23,DC!AU23,DC!BA23,DC!BG23)</f>
        <v>0</v>
      </c>
      <c r="F23">
        <f>SUM(DC!F23,DC!L23,DC!R23,DC!X23,DC!AD23,DC!AJ23,DC!AP23,DC!AV23,DC!BB23,DC!BH23)</f>
        <v>0</v>
      </c>
      <c r="G23">
        <f>SUM(DC!G23,DC!M23,DC!S23,DC!Y23,DC!AE23,DC!AK23,DC!AQ23,DC!AW23,DC!BC23,DC!BI23)</f>
        <v>0</v>
      </c>
      <c r="H23">
        <f>SUM(DC!H23,DC!N23,DC!T23,DC!Z23,DC!AF23,DC!AL23,DC!AR23,DC!AX23,DC!BD23,DC!BJ23)</f>
        <v>0</v>
      </c>
      <c r="I23">
        <f>SUM(DC!I23,DC!O23,DC!U23,DC!AA23,DC!AG23,DC!AM23,DC!AS23,DC!AY23,DC!BE23,DC!BK23)</f>
        <v>0</v>
      </c>
      <c r="J23">
        <f>SUM(DC!J23,DC!P23,DC!V23,DC!AB23,DC!AH23,DC!AN23,DC!AT23,DC!AZ23,DC!BF23,DC!BL23)</f>
        <v>0</v>
      </c>
    </row>
    <row r="24" spans="1:10">
      <c r="A24">
        <f>DC!A24</f>
        <v>7</v>
      </c>
      <c r="B24" t="str">
        <f>DC!B24</f>
        <v>09:30-10:15</v>
      </c>
      <c r="C24">
        <f>DC!C24</f>
        <v>8</v>
      </c>
      <c r="D24" t="str">
        <f>DC!D24</f>
        <v>09:45-10:30</v>
      </c>
      <c r="E24">
        <f>SUM(DC!E24,DC!K24,DC!Q24,DC!W24,DC!AC24,DC!AI24,DC!AO24,DC!AU24,DC!BA24,DC!BG24)</f>
        <v>0</v>
      </c>
      <c r="F24">
        <f>SUM(DC!F24,DC!L24,DC!R24,DC!X24,DC!AD24,DC!AJ24,DC!AP24,DC!AV24,DC!BB24,DC!BH24)</f>
        <v>0</v>
      </c>
      <c r="G24">
        <f>SUM(DC!G24,DC!M24,DC!S24,DC!Y24,DC!AE24,DC!AK24,DC!AQ24,DC!AW24,DC!BC24,DC!BI24)</f>
        <v>0</v>
      </c>
      <c r="H24">
        <f>SUM(DC!H24,DC!N24,DC!T24,DC!Z24,DC!AF24,DC!AL24,DC!AR24,DC!AX24,DC!BD24,DC!BJ24)</f>
        <v>0</v>
      </c>
      <c r="I24">
        <f>SUM(DC!I24,DC!O24,DC!U24,DC!AA24,DC!AG24,DC!AM24,DC!AS24,DC!AY24,DC!BE24,DC!BK24)</f>
        <v>0</v>
      </c>
      <c r="J24">
        <f>SUM(DC!J24,DC!P24,DC!V24,DC!AB24,DC!AH24,DC!AN24,DC!AT24,DC!AZ24,DC!BF24,DC!BL24)</f>
        <v>0</v>
      </c>
    </row>
    <row r="25" spans="1:10">
      <c r="A25">
        <f>DC!A25</f>
        <v>7</v>
      </c>
      <c r="B25" t="str">
        <f>DC!B25</f>
        <v>09:30-10:15</v>
      </c>
      <c r="C25">
        <f>DC!C25</f>
        <v>9</v>
      </c>
      <c r="D25" t="str">
        <f>DC!D25</f>
        <v>10:00-10:45</v>
      </c>
      <c r="E25">
        <f>SUM(DC!E25,DC!K25,DC!Q25,DC!W25,DC!AC25,DC!AI25,DC!AO25,DC!AU25,DC!BA25,DC!BG25)</f>
        <v>0</v>
      </c>
      <c r="F25">
        <f>SUM(DC!F25,DC!L25,DC!R25,DC!X25,DC!AD25,DC!AJ25,DC!AP25,DC!AV25,DC!BB25,DC!BH25)</f>
        <v>0</v>
      </c>
      <c r="G25">
        <f>SUM(DC!G25,DC!M25,DC!S25,DC!Y25,DC!AE25,DC!AK25,DC!AQ25,DC!AW25,DC!BC25,DC!BI25)</f>
        <v>0</v>
      </c>
      <c r="H25">
        <f>SUM(DC!H25,DC!N25,DC!T25,DC!Z25,DC!AF25,DC!AL25,DC!AR25,DC!AX25,DC!BD25,DC!BJ25)</f>
        <v>0</v>
      </c>
      <c r="I25">
        <f>SUM(DC!I25,DC!O25,DC!U25,DC!AA25,DC!AG25,DC!AM25,DC!AS25,DC!AY25,DC!BE25,DC!BK25)</f>
        <v>0</v>
      </c>
      <c r="J25">
        <f>SUM(DC!J25,DC!P25,DC!V25,DC!AB25,DC!AH25,DC!AN25,DC!AT25,DC!AZ25,DC!BF25,DC!BL25)</f>
        <v>0</v>
      </c>
    </row>
    <row r="26" spans="1:10">
      <c r="A26">
        <f>DC!A26</f>
        <v>7</v>
      </c>
      <c r="B26" t="str">
        <f>DC!B26</f>
        <v>09:30-10:15</v>
      </c>
      <c r="C26">
        <f>DC!C26</f>
        <v>10</v>
      </c>
      <c r="D26" t="str">
        <f>DC!D26</f>
        <v>10:00-11:00</v>
      </c>
      <c r="E26">
        <f>SUM(DC!E26,DC!K26,DC!Q26,DC!W26,DC!AC26,DC!AI26,DC!AO26,DC!AU26,DC!BA26,DC!BG26)</f>
        <v>0</v>
      </c>
      <c r="F26">
        <f>SUM(DC!F26,DC!L26,DC!R26,DC!X26,DC!AD26,DC!AJ26,DC!AP26,DC!AV26,DC!BB26,DC!BH26)</f>
        <v>0</v>
      </c>
      <c r="G26">
        <f>SUM(DC!G26,DC!M26,DC!S26,DC!Y26,DC!AE26,DC!AK26,DC!AQ26,DC!AW26,DC!BC26,DC!BI26)</f>
        <v>0</v>
      </c>
      <c r="H26">
        <f>SUM(DC!H26,DC!N26,DC!T26,DC!Z26,DC!AF26,DC!AL26,DC!AR26,DC!AX26,DC!BD26,DC!BJ26)</f>
        <v>0</v>
      </c>
      <c r="I26">
        <f>SUM(DC!I26,DC!O26,DC!U26,DC!AA26,DC!AG26,DC!AM26,DC!AS26,DC!AY26,DC!BE26,DC!BK26)</f>
        <v>0</v>
      </c>
      <c r="J26">
        <f>SUM(DC!J26,DC!P26,DC!V26,DC!AB26,DC!AH26,DC!AN26,DC!AT26,DC!AZ26,DC!BF26,DC!BL26)</f>
        <v>0</v>
      </c>
    </row>
    <row r="27" spans="1:10">
      <c r="A27">
        <f>DC!A27</f>
        <v>8</v>
      </c>
      <c r="B27" t="str">
        <f>DC!B27</f>
        <v>09:45-10:30</v>
      </c>
      <c r="C27">
        <f>DC!C27</f>
        <v>9</v>
      </c>
      <c r="D27" t="str">
        <f>DC!D27</f>
        <v>10:00-10:45</v>
      </c>
      <c r="E27">
        <f>SUM(DC!E27,DC!K27,DC!Q27,DC!W27,DC!AC27,DC!AI27,DC!AO27,DC!AU27,DC!BA27,DC!BG27)</f>
        <v>0</v>
      </c>
      <c r="F27">
        <f>SUM(DC!F27,DC!L27,DC!R27,DC!X27,DC!AD27,DC!AJ27,DC!AP27,DC!AV27,DC!BB27,DC!BH27)</f>
        <v>0</v>
      </c>
      <c r="G27">
        <f>SUM(DC!G27,DC!M27,DC!S27,DC!Y27,DC!AE27,DC!AK27,DC!AQ27,DC!AW27,DC!BC27,DC!BI27)</f>
        <v>0</v>
      </c>
      <c r="H27">
        <f>SUM(DC!H27,DC!N27,DC!T27,DC!Z27,DC!AF27,DC!AL27,DC!AR27,DC!AX27,DC!BD27,DC!BJ27)</f>
        <v>0</v>
      </c>
      <c r="I27">
        <f>SUM(DC!I27,DC!O27,DC!U27,DC!AA27,DC!AG27,DC!AM27,DC!AS27,DC!AY27,DC!BE27,DC!BK27)</f>
        <v>0</v>
      </c>
      <c r="J27">
        <f>SUM(DC!J27,DC!P27,DC!V27,DC!AB27,DC!AH27,DC!AN27,DC!AT27,DC!AZ27,DC!BF27,DC!BL27)</f>
        <v>0</v>
      </c>
    </row>
    <row r="28" spans="1:10">
      <c r="A28">
        <f>DC!A28</f>
        <v>8</v>
      </c>
      <c r="B28" t="str">
        <f>DC!B28</f>
        <v>09:45-10:30</v>
      </c>
      <c r="C28">
        <f>DC!C28</f>
        <v>10</v>
      </c>
      <c r="D28" t="str">
        <f>DC!D28</f>
        <v>10:00-11:00</v>
      </c>
      <c r="E28">
        <f>SUM(DC!E28,DC!K28,DC!Q28,DC!W28,DC!AC28,DC!AI28,DC!AO28,DC!AU28,DC!BA28,DC!BG28)</f>
        <v>0</v>
      </c>
      <c r="F28">
        <f>SUM(DC!F28,DC!L28,DC!R28,DC!X28,DC!AD28,DC!AJ28,DC!AP28,DC!AV28,DC!BB28,DC!BH28)</f>
        <v>0</v>
      </c>
      <c r="G28">
        <f>SUM(DC!G28,DC!M28,DC!S28,DC!Y28,DC!AE28,DC!AK28,DC!AQ28,DC!AW28,DC!BC28,DC!BI28)</f>
        <v>0</v>
      </c>
      <c r="H28">
        <f>SUM(DC!H28,DC!N28,DC!T28,DC!Z28,DC!AF28,DC!AL28,DC!AR28,DC!AX28,DC!BD28,DC!BJ28)</f>
        <v>0</v>
      </c>
      <c r="I28">
        <f>SUM(DC!I28,DC!O28,DC!U28,DC!AA28,DC!AG28,DC!AM28,DC!AS28,DC!AY28,DC!BE28,DC!BK28)</f>
        <v>0</v>
      </c>
      <c r="J28">
        <f>SUM(DC!J28,DC!P28,DC!V28,DC!AB28,DC!AH28,DC!AN28,DC!AT28,DC!AZ28,DC!BF28,DC!BL28)</f>
        <v>0</v>
      </c>
    </row>
    <row r="29" spans="1:10">
      <c r="A29">
        <f>DC!A29</f>
        <v>8</v>
      </c>
      <c r="B29" t="str">
        <f>DC!B29</f>
        <v>09:45-10:30</v>
      </c>
      <c r="C29">
        <f>DC!C29</f>
        <v>11</v>
      </c>
      <c r="D29" t="str">
        <f>DC!D29</f>
        <v>10:15-11:00</v>
      </c>
      <c r="E29">
        <f>SUM(DC!E29,DC!K29,DC!Q29,DC!W29,DC!AC29,DC!AI29,DC!AO29,DC!AU29,DC!BA29,DC!BG29)</f>
        <v>0</v>
      </c>
      <c r="F29">
        <f>SUM(DC!F29,DC!L29,DC!R29,DC!X29,DC!AD29,DC!AJ29,DC!AP29,DC!AV29,DC!BB29,DC!BH29)</f>
        <v>0</v>
      </c>
      <c r="G29">
        <f>SUM(DC!G29,DC!M29,DC!S29,DC!Y29,DC!AE29,DC!AK29,DC!AQ29,DC!AW29,DC!BC29,DC!BI29)</f>
        <v>0</v>
      </c>
      <c r="H29">
        <f>SUM(DC!H29,DC!N29,DC!T29,DC!Z29,DC!AF29,DC!AL29,DC!AR29,DC!AX29,DC!BD29,DC!BJ29)</f>
        <v>0</v>
      </c>
      <c r="I29">
        <f>SUM(DC!I29,DC!O29,DC!U29,DC!AA29,DC!AG29,DC!AM29,DC!AS29,DC!AY29,DC!BE29,DC!BK29)</f>
        <v>0</v>
      </c>
      <c r="J29">
        <f>SUM(DC!J29,DC!P29,DC!V29,DC!AB29,DC!AH29,DC!AN29,DC!AT29,DC!AZ29,DC!BF29,DC!BL29)</f>
        <v>0</v>
      </c>
    </row>
    <row r="30" spans="1:10">
      <c r="A30">
        <f>DC!A30</f>
        <v>9</v>
      </c>
      <c r="B30" t="str">
        <f>DC!B30</f>
        <v>10:00-10:45</v>
      </c>
      <c r="C30">
        <f>DC!C30</f>
        <v>10</v>
      </c>
      <c r="D30" t="str">
        <f>DC!D30</f>
        <v>10:00-11:00</v>
      </c>
      <c r="E30">
        <f>SUM(DC!E30,DC!K30,DC!Q30,DC!W30,DC!AC30,DC!AI30,DC!AO30,DC!AU30,DC!BA30,DC!BG30)</f>
        <v>0</v>
      </c>
      <c r="F30">
        <f>SUM(DC!F30,DC!L30,DC!R30,DC!X30,DC!AD30,DC!AJ30,DC!AP30,DC!AV30,DC!BB30,DC!BH30)</f>
        <v>0</v>
      </c>
      <c r="G30">
        <f>SUM(DC!G30,DC!M30,DC!S30,DC!Y30,DC!AE30,DC!AK30,DC!AQ30,DC!AW30,DC!BC30,DC!BI30)</f>
        <v>0</v>
      </c>
      <c r="H30">
        <f>SUM(DC!H30,DC!N30,DC!T30,DC!Z30,DC!AF30,DC!AL30,DC!AR30,DC!AX30,DC!BD30,DC!BJ30)</f>
        <v>0</v>
      </c>
      <c r="I30">
        <f>SUM(DC!I30,DC!O30,DC!U30,DC!AA30,DC!AG30,DC!AM30,DC!AS30,DC!AY30,DC!BE30,DC!BK30)</f>
        <v>0</v>
      </c>
      <c r="J30">
        <f>SUM(DC!J30,DC!P30,DC!V30,DC!AB30,DC!AH30,DC!AN30,DC!AT30,DC!AZ30,DC!BF30,DC!BL30)</f>
        <v>0</v>
      </c>
    </row>
    <row r="31" spans="1:10">
      <c r="A31">
        <f>DC!A31</f>
        <v>9</v>
      </c>
      <c r="B31" t="str">
        <f>DC!B31</f>
        <v>10:00-10:45</v>
      </c>
      <c r="C31">
        <f>DC!C31</f>
        <v>11</v>
      </c>
      <c r="D31" t="str">
        <f>DC!D31</f>
        <v>10:15-11:00</v>
      </c>
      <c r="E31">
        <f>SUM(DC!E31,DC!K31,DC!Q31,DC!W31,DC!AC31,DC!AI31,DC!AO31,DC!AU31,DC!BA31,DC!BG31)</f>
        <v>0</v>
      </c>
      <c r="F31">
        <f>SUM(DC!F31,DC!L31,DC!R31,DC!X31,DC!AD31,DC!AJ31,DC!AP31,DC!AV31,DC!BB31,DC!BH31)</f>
        <v>0</v>
      </c>
      <c r="G31">
        <f>SUM(DC!G31,DC!M31,DC!S31,DC!Y31,DC!AE31,DC!AK31,DC!AQ31,DC!AW31,DC!BC31,DC!BI31)</f>
        <v>0</v>
      </c>
      <c r="H31">
        <f>SUM(DC!H31,DC!N31,DC!T31,DC!Z31,DC!AF31,DC!AL31,DC!AR31,DC!AX31,DC!BD31,DC!BJ31)</f>
        <v>0</v>
      </c>
      <c r="I31">
        <f>SUM(DC!I31,DC!O31,DC!U31,DC!AA31,DC!AG31,DC!AM31,DC!AS31,DC!AY31,DC!BE31,DC!BK31)</f>
        <v>0</v>
      </c>
      <c r="J31">
        <f>SUM(DC!J31,DC!P31,DC!V31,DC!AB31,DC!AH31,DC!AN31,DC!AT31,DC!AZ31,DC!BF31,DC!BL31)</f>
        <v>0</v>
      </c>
    </row>
    <row r="32" spans="1:10">
      <c r="A32">
        <f>DC!A32</f>
        <v>9</v>
      </c>
      <c r="B32" t="str">
        <f>DC!B32</f>
        <v>10:00-10:45</v>
      </c>
      <c r="C32">
        <f>DC!C32</f>
        <v>12</v>
      </c>
      <c r="D32" t="str">
        <f>DC!D32</f>
        <v>10:30-11:15</v>
      </c>
      <c r="E32">
        <f>SUM(DC!E32,DC!K32,DC!Q32,DC!W32,DC!AC32,DC!AI32,DC!AO32,DC!AU32,DC!BA32,DC!BG32)</f>
        <v>0</v>
      </c>
      <c r="F32">
        <f>SUM(DC!F32,DC!L32,DC!R32,DC!X32,DC!AD32,DC!AJ32,DC!AP32,DC!AV32,DC!BB32,DC!BH32)</f>
        <v>0</v>
      </c>
      <c r="G32">
        <f>SUM(DC!G32,DC!M32,DC!S32,DC!Y32,DC!AE32,DC!AK32,DC!AQ32,DC!AW32,DC!BC32,DC!BI32)</f>
        <v>0</v>
      </c>
      <c r="H32">
        <f>SUM(DC!H32,DC!N32,DC!T32,DC!Z32,DC!AF32,DC!AL32,DC!AR32,DC!AX32,DC!BD32,DC!BJ32)</f>
        <v>0</v>
      </c>
      <c r="I32">
        <f>SUM(DC!I32,DC!O32,DC!U32,DC!AA32,DC!AG32,DC!AM32,DC!AS32,DC!AY32,DC!BE32,DC!BK32)</f>
        <v>0</v>
      </c>
      <c r="J32">
        <f>SUM(DC!J32,DC!P32,DC!V32,DC!AB32,DC!AH32,DC!AN32,DC!AT32,DC!AZ32,DC!BF32,DC!BL32)</f>
        <v>0</v>
      </c>
    </row>
    <row r="33" spans="1:10">
      <c r="A33">
        <f>DC!A33</f>
        <v>10</v>
      </c>
      <c r="B33" t="str">
        <f>DC!B33</f>
        <v>10:00-11:00</v>
      </c>
      <c r="C33">
        <f>DC!C33</f>
        <v>11</v>
      </c>
      <c r="D33" t="str">
        <f>DC!D33</f>
        <v>10:15-11:00</v>
      </c>
      <c r="E33">
        <f>SUM(DC!E33,DC!K33,DC!Q33,DC!W33,DC!AC33,DC!AI33,DC!AO33,DC!AU33,DC!BA33,DC!BG33)</f>
        <v>0</v>
      </c>
      <c r="F33">
        <f>SUM(DC!F33,DC!L33,DC!R33,DC!X33,DC!AD33,DC!AJ33,DC!AP33,DC!AV33,DC!BB33,DC!BH33)</f>
        <v>0</v>
      </c>
      <c r="G33">
        <f>SUM(DC!G33,DC!M33,DC!S33,DC!Y33,DC!AE33,DC!AK33,DC!AQ33,DC!AW33,DC!BC33,DC!BI33)</f>
        <v>0</v>
      </c>
      <c r="H33">
        <f>SUM(DC!H33,DC!N33,DC!T33,DC!Z33,DC!AF33,DC!AL33,DC!AR33,DC!AX33,DC!BD33,DC!BJ33)</f>
        <v>0</v>
      </c>
      <c r="I33">
        <f>SUM(DC!I33,DC!O33,DC!U33,DC!AA33,DC!AG33,DC!AM33,DC!AS33,DC!AY33,DC!BE33,DC!BK33)</f>
        <v>0</v>
      </c>
      <c r="J33">
        <f>SUM(DC!J33,DC!P33,DC!V33,DC!AB33,DC!AH33,DC!AN33,DC!AT33,DC!AZ33,DC!BF33,DC!BL33)</f>
        <v>0</v>
      </c>
    </row>
    <row r="34" spans="1:10">
      <c r="A34">
        <f>DC!A34</f>
        <v>10</v>
      </c>
      <c r="B34" t="str">
        <f>DC!B34</f>
        <v>10:00-11:00</v>
      </c>
      <c r="C34">
        <f>DC!C34</f>
        <v>12</v>
      </c>
      <c r="D34" t="str">
        <f>DC!D34</f>
        <v>10:30-11:15</v>
      </c>
      <c r="E34">
        <f>SUM(DC!E34,DC!K34,DC!Q34,DC!W34,DC!AC34,DC!AI34,DC!AO34,DC!AU34,DC!BA34,DC!BG34)</f>
        <v>0</v>
      </c>
      <c r="F34">
        <f>SUM(DC!F34,DC!L34,DC!R34,DC!X34,DC!AD34,DC!AJ34,DC!AP34,DC!AV34,DC!BB34,DC!BH34)</f>
        <v>0</v>
      </c>
      <c r="G34">
        <f>SUM(DC!G34,DC!M34,DC!S34,DC!Y34,DC!AE34,DC!AK34,DC!AQ34,DC!AW34,DC!BC34,DC!BI34)</f>
        <v>0</v>
      </c>
      <c r="H34">
        <f>SUM(DC!H34,DC!N34,DC!T34,DC!Z34,DC!AF34,DC!AL34,DC!AR34,DC!AX34,DC!BD34,DC!BJ34)</f>
        <v>0</v>
      </c>
      <c r="I34">
        <f>SUM(DC!I34,DC!O34,DC!U34,DC!AA34,DC!AG34,DC!AM34,DC!AS34,DC!AY34,DC!BE34,DC!BK34)</f>
        <v>0</v>
      </c>
      <c r="J34">
        <f>SUM(DC!J34,DC!P34,DC!V34,DC!AB34,DC!AH34,DC!AN34,DC!AT34,DC!AZ34,DC!BF34,DC!BL34)</f>
        <v>0</v>
      </c>
    </row>
    <row r="35" spans="1:10">
      <c r="A35">
        <f>DC!A35</f>
        <v>10</v>
      </c>
      <c r="B35" t="str">
        <f>DC!B35</f>
        <v>10:00-11:00</v>
      </c>
      <c r="C35">
        <f>DC!C35</f>
        <v>13</v>
      </c>
      <c r="D35" t="str">
        <f>DC!D35</f>
        <v>10:45-11:30</v>
      </c>
      <c r="E35">
        <f>SUM(DC!E35,DC!K35,DC!Q35,DC!W35,DC!AC35,DC!AI35,DC!AO35,DC!AU35,DC!BA35,DC!BG35)</f>
        <v>0</v>
      </c>
      <c r="F35">
        <f>SUM(DC!F35,DC!L35,DC!R35,DC!X35,DC!AD35,DC!AJ35,DC!AP35,DC!AV35,DC!BB35,DC!BH35)</f>
        <v>0</v>
      </c>
      <c r="G35">
        <f>SUM(DC!G35,DC!M35,DC!S35,DC!Y35,DC!AE35,DC!AK35,DC!AQ35,DC!AW35,DC!BC35,DC!BI35)</f>
        <v>0</v>
      </c>
      <c r="H35">
        <f>SUM(DC!H35,DC!N35,DC!T35,DC!Z35,DC!AF35,DC!AL35,DC!AR35,DC!AX35,DC!BD35,DC!BJ35)</f>
        <v>0</v>
      </c>
      <c r="I35">
        <f>SUM(DC!I35,DC!O35,DC!U35,DC!AA35,DC!AG35,DC!AM35,DC!AS35,DC!AY35,DC!BE35,DC!BK35)</f>
        <v>0</v>
      </c>
      <c r="J35">
        <f>SUM(DC!J35,DC!P35,DC!V35,DC!AB35,DC!AH35,DC!AN35,DC!AT35,DC!AZ35,DC!BF35,DC!BL35)</f>
        <v>0</v>
      </c>
    </row>
    <row r="36" spans="1:10">
      <c r="A36">
        <f>DC!A36</f>
        <v>11</v>
      </c>
      <c r="B36" t="str">
        <f>DC!B36</f>
        <v>10:15-11:00</v>
      </c>
      <c r="C36">
        <f>DC!C36</f>
        <v>12</v>
      </c>
      <c r="D36" t="str">
        <f>DC!D36</f>
        <v>10:30-11:15</v>
      </c>
      <c r="E36">
        <f>SUM(DC!E36,DC!K36,DC!Q36,DC!W36,DC!AC36,DC!AI36,DC!AO36,DC!AU36,DC!BA36,DC!BG36)</f>
        <v>0</v>
      </c>
      <c r="F36">
        <f>SUM(DC!F36,DC!L36,DC!R36,DC!X36,DC!AD36,DC!AJ36,DC!AP36,DC!AV36,DC!BB36,DC!BH36)</f>
        <v>0</v>
      </c>
      <c r="G36">
        <f>SUM(DC!G36,DC!M36,DC!S36,DC!Y36,DC!AE36,DC!AK36,DC!AQ36,DC!AW36,DC!BC36,DC!BI36)</f>
        <v>0</v>
      </c>
      <c r="H36">
        <f>SUM(DC!H36,DC!N36,DC!T36,DC!Z36,DC!AF36,DC!AL36,DC!AR36,DC!AX36,DC!BD36,DC!BJ36)</f>
        <v>0</v>
      </c>
      <c r="I36">
        <f>SUM(DC!I36,DC!O36,DC!U36,DC!AA36,DC!AG36,DC!AM36,DC!AS36,DC!AY36,DC!BE36,DC!BK36)</f>
        <v>0</v>
      </c>
      <c r="J36">
        <f>SUM(DC!J36,DC!P36,DC!V36,DC!AB36,DC!AH36,DC!AN36,DC!AT36,DC!AZ36,DC!BF36,DC!BL36)</f>
        <v>0</v>
      </c>
    </row>
    <row r="37" spans="1:10">
      <c r="A37">
        <f>DC!A37</f>
        <v>11</v>
      </c>
      <c r="B37" t="str">
        <f>DC!B37</f>
        <v>10:15-11:00</v>
      </c>
      <c r="C37">
        <f>DC!C37</f>
        <v>13</v>
      </c>
      <c r="D37" t="str">
        <f>DC!D37</f>
        <v>10:45-11:30</v>
      </c>
      <c r="E37">
        <f>SUM(DC!E37,DC!K37,DC!Q37,DC!W37,DC!AC37,DC!AI37,DC!AO37,DC!AU37,DC!BA37,DC!BG37)</f>
        <v>0</v>
      </c>
      <c r="F37">
        <f>SUM(DC!F37,DC!L37,DC!R37,DC!X37,DC!AD37,DC!AJ37,DC!AP37,DC!AV37,DC!BB37,DC!BH37)</f>
        <v>0</v>
      </c>
      <c r="G37">
        <f>SUM(DC!G37,DC!M37,DC!S37,DC!Y37,DC!AE37,DC!AK37,DC!AQ37,DC!AW37,DC!BC37,DC!BI37)</f>
        <v>0</v>
      </c>
      <c r="H37">
        <f>SUM(DC!H37,DC!N37,DC!T37,DC!Z37,DC!AF37,DC!AL37,DC!AR37,DC!AX37,DC!BD37,DC!BJ37)</f>
        <v>0</v>
      </c>
      <c r="I37">
        <f>SUM(DC!I37,DC!O37,DC!U37,DC!AA37,DC!AG37,DC!AM37,DC!AS37,DC!AY37,DC!BE37,DC!BK37)</f>
        <v>0</v>
      </c>
      <c r="J37">
        <f>SUM(DC!J37,DC!P37,DC!V37,DC!AB37,DC!AH37,DC!AN37,DC!AT37,DC!AZ37,DC!BF37,DC!BL37)</f>
        <v>0</v>
      </c>
    </row>
    <row r="38" spans="1:10">
      <c r="A38">
        <f>DC!A38</f>
        <v>12</v>
      </c>
      <c r="B38" t="str">
        <f>DC!B38</f>
        <v>10:30-11:15</v>
      </c>
      <c r="C38">
        <f>DC!C38</f>
        <v>13</v>
      </c>
      <c r="D38" t="str">
        <f>DC!D38</f>
        <v>10:45-11:30</v>
      </c>
      <c r="E38">
        <f>SUM(DC!E38,DC!K38,DC!Q38,DC!W38,DC!AC38,DC!AI38,DC!AO38,DC!AU38,DC!BA38,DC!BG38)</f>
        <v>0</v>
      </c>
      <c r="F38">
        <f>SUM(DC!F38,DC!L38,DC!R38,DC!X38,DC!AD38,DC!AJ38,DC!AP38,DC!AV38,DC!BB38,DC!BH38)</f>
        <v>0</v>
      </c>
      <c r="G38">
        <f>SUM(DC!G38,DC!M38,DC!S38,DC!Y38,DC!AE38,DC!AK38,DC!AQ38,DC!AW38,DC!BC38,DC!BI38)</f>
        <v>0</v>
      </c>
      <c r="H38">
        <f>SUM(DC!H38,DC!N38,DC!T38,DC!Z38,DC!AF38,DC!AL38,DC!AR38,DC!AX38,DC!BD38,DC!BJ38)</f>
        <v>0</v>
      </c>
      <c r="I38">
        <f>SUM(DC!I38,DC!O38,DC!U38,DC!AA38,DC!AG38,DC!AM38,DC!AS38,DC!AY38,DC!BE38,DC!BK38)</f>
        <v>0</v>
      </c>
      <c r="J38">
        <f>SUM(DC!J38,DC!P38,DC!V38,DC!AB38,DC!AH38,DC!AN38,DC!AT38,DC!AZ38,DC!BF38,DC!BL38)</f>
        <v>0</v>
      </c>
    </row>
    <row r="39" spans="1:10">
      <c r="A39">
        <f>DC!A39</f>
        <v>12</v>
      </c>
      <c r="B39" t="str">
        <f>DC!B39</f>
        <v>10:30-11:15</v>
      </c>
      <c r="C39">
        <f>DC!C39</f>
        <v>14</v>
      </c>
      <c r="D39" t="str">
        <f>DC!D39</f>
        <v>11:00-12:00</v>
      </c>
      <c r="E39">
        <f>SUM(DC!E39,DC!K39,DC!Q39,DC!W39,DC!AC39,DC!AI39,DC!AO39,DC!AU39,DC!BA39,DC!BG39)</f>
        <v>0</v>
      </c>
      <c r="F39">
        <f>SUM(DC!F39,DC!L39,DC!R39,DC!X39,DC!AD39,DC!AJ39,DC!AP39,DC!AV39,DC!BB39,DC!BH39)</f>
        <v>0</v>
      </c>
      <c r="G39">
        <f>SUM(DC!G39,DC!M39,DC!S39,DC!Y39,DC!AE39,DC!AK39,DC!AQ39,DC!AW39,DC!BC39,DC!BI39)</f>
        <v>0</v>
      </c>
      <c r="H39">
        <f>SUM(DC!H39,DC!N39,DC!T39,DC!Z39,DC!AF39,DC!AL39,DC!AR39,DC!AX39,DC!BD39,DC!BJ39)</f>
        <v>0</v>
      </c>
      <c r="I39">
        <f>SUM(DC!I39,DC!O39,DC!U39,DC!AA39,DC!AG39,DC!AM39,DC!AS39,DC!AY39,DC!BE39,DC!BK39)</f>
        <v>0</v>
      </c>
      <c r="J39">
        <f>SUM(DC!J39,DC!P39,DC!V39,DC!AB39,DC!AH39,DC!AN39,DC!AT39,DC!AZ39,DC!BF39,DC!BL39)</f>
        <v>0</v>
      </c>
    </row>
    <row r="40" spans="1:10">
      <c r="A40">
        <f>DC!A40</f>
        <v>13</v>
      </c>
      <c r="B40" t="str">
        <f>DC!B40</f>
        <v>10:45-11:30</v>
      </c>
      <c r="C40">
        <f>DC!C40</f>
        <v>14</v>
      </c>
      <c r="D40" t="str">
        <f>DC!D40</f>
        <v>11:00-12:00</v>
      </c>
      <c r="E40">
        <f>SUM(DC!E40,DC!K40,DC!Q40,DC!W40,DC!AC40,DC!AI40,DC!AO40,DC!AU40,DC!BA40,DC!BG40)</f>
        <v>0</v>
      </c>
      <c r="F40">
        <f>SUM(DC!F40,DC!L40,DC!R40,DC!X40,DC!AD40,DC!AJ40,DC!AP40,DC!AV40,DC!BB40,DC!BH40)</f>
        <v>0</v>
      </c>
      <c r="G40">
        <f>SUM(DC!G40,DC!M40,DC!S40,DC!Y40,DC!AE40,DC!AK40,DC!AQ40,DC!AW40,DC!BC40,DC!BI40)</f>
        <v>0</v>
      </c>
      <c r="H40">
        <f>SUM(DC!H40,DC!N40,DC!T40,DC!Z40,DC!AF40,DC!AL40,DC!AR40,DC!AX40,DC!BD40,DC!BJ40)</f>
        <v>0</v>
      </c>
      <c r="I40">
        <f>SUM(DC!I40,DC!O40,DC!U40,DC!AA40,DC!AG40,DC!AM40,DC!AS40,DC!AY40,DC!BE40,DC!BK40)</f>
        <v>0</v>
      </c>
      <c r="J40">
        <f>SUM(DC!J40,DC!P40,DC!V40,DC!AB40,DC!AH40,DC!AN40,DC!AT40,DC!AZ40,DC!BF40,DC!BL40)</f>
        <v>0</v>
      </c>
    </row>
    <row r="41" spans="1:10">
      <c r="A41">
        <f>DC!A41</f>
        <v>13</v>
      </c>
      <c r="B41" t="str">
        <f>DC!B41</f>
        <v>10:45-11:30</v>
      </c>
      <c r="C41">
        <f>DC!C41</f>
        <v>15</v>
      </c>
      <c r="D41" t="str">
        <f>DC!D41</f>
        <v>11:15-12:00</v>
      </c>
      <c r="E41">
        <f>SUM(DC!E41,DC!K41,DC!Q41,DC!W41,DC!AC41,DC!AI41,DC!AO41,DC!AU41,DC!BA41,DC!BG41)</f>
        <v>0</v>
      </c>
      <c r="F41">
        <f>SUM(DC!F41,DC!L41,DC!R41,DC!X41,DC!AD41,DC!AJ41,DC!AP41,DC!AV41,DC!BB41,DC!BH41)</f>
        <v>0</v>
      </c>
      <c r="G41">
        <f>SUM(DC!G41,DC!M41,DC!S41,DC!Y41,DC!AE41,DC!AK41,DC!AQ41,DC!AW41,DC!BC41,DC!BI41)</f>
        <v>0</v>
      </c>
      <c r="H41">
        <f>SUM(DC!H41,DC!N41,DC!T41,DC!Z41,DC!AF41,DC!AL41,DC!AR41,DC!AX41,DC!BD41,DC!BJ41)</f>
        <v>0</v>
      </c>
      <c r="I41">
        <f>SUM(DC!I41,DC!O41,DC!U41,DC!AA41,DC!AG41,DC!AM41,DC!AS41,DC!AY41,DC!BE41,DC!BK41)</f>
        <v>0</v>
      </c>
      <c r="J41">
        <f>SUM(DC!J41,DC!P41,DC!V41,DC!AB41,DC!AH41,DC!AN41,DC!AT41,DC!AZ41,DC!BF41,DC!BL41)</f>
        <v>1</v>
      </c>
    </row>
    <row r="42" spans="1:10">
      <c r="A42">
        <f>DC!A42</f>
        <v>14</v>
      </c>
      <c r="B42" t="str">
        <f>DC!B42</f>
        <v>11:00-12:00</v>
      </c>
      <c r="C42">
        <f>DC!C42</f>
        <v>15</v>
      </c>
      <c r="D42" t="str">
        <f>DC!D42</f>
        <v>11:15-12:00</v>
      </c>
      <c r="E42">
        <f>SUM(DC!E42,DC!K42,DC!Q42,DC!W42,DC!AC42,DC!AI42,DC!AO42,DC!AU42,DC!BA42,DC!BG42)</f>
        <v>0</v>
      </c>
      <c r="F42">
        <f>SUM(DC!F42,DC!L42,DC!R42,DC!X42,DC!AD42,DC!AJ42,DC!AP42,DC!AV42,DC!BB42,DC!BH42)</f>
        <v>0</v>
      </c>
      <c r="G42">
        <f>SUM(DC!G42,DC!M42,DC!S42,DC!Y42,DC!AE42,DC!AK42,DC!AQ42,DC!AW42,DC!BC42,DC!BI42)</f>
        <v>0</v>
      </c>
      <c r="H42">
        <f>SUM(DC!H42,DC!N42,DC!T42,DC!Z42,DC!AF42,DC!AL42,DC!AR42,DC!AX42,DC!BD42,DC!BJ42)</f>
        <v>0</v>
      </c>
      <c r="I42">
        <f>SUM(DC!I42,DC!O42,DC!U42,DC!AA42,DC!AG42,DC!AM42,DC!AS42,DC!AY42,DC!BE42,DC!BK42)</f>
        <v>0</v>
      </c>
      <c r="J42">
        <f>SUM(DC!J42,DC!P42,DC!V42,DC!AB42,DC!AH42,DC!AN42,DC!AT42,DC!AZ42,DC!BF42,DC!BL42)</f>
        <v>1</v>
      </c>
    </row>
    <row r="43" spans="1:10">
      <c r="A43">
        <f>DC!A43</f>
        <v>14</v>
      </c>
      <c r="B43" t="str">
        <f>DC!B43</f>
        <v>11:00-12:00</v>
      </c>
      <c r="C43">
        <f>DC!C43</f>
        <v>16</v>
      </c>
      <c r="D43" t="str">
        <f>DC!D43</f>
        <v>11:30-12:15</v>
      </c>
      <c r="E43">
        <f>SUM(DC!E43,DC!K43,DC!Q43,DC!W43,DC!AC43,DC!AI43,DC!AO43,DC!AU43,DC!BA43,DC!BG43)</f>
        <v>0</v>
      </c>
      <c r="F43">
        <f>SUM(DC!F43,DC!L43,DC!R43,DC!X43,DC!AD43,DC!AJ43,DC!AP43,DC!AV43,DC!BB43,DC!BH43)</f>
        <v>0</v>
      </c>
      <c r="G43">
        <f>SUM(DC!G43,DC!M43,DC!S43,DC!Y43,DC!AE43,DC!AK43,DC!AQ43,DC!AW43,DC!BC43,DC!BI43)</f>
        <v>0</v>
      </c>
      <c r="H43">
        <f>SUM(DC!H43,DC!N43,DC!T43,DC!Z43,DC!AF43,DC!AL43,DC!AR43,DC!AX43,DC!BD43,DC!BJ43)</f>
        <v>0</v>
      </c>
      <c r="I43">
        <f>SUM(DC!I43,DC!O43,DC!U43,DC!AA43,DC!AG43,DC!AM43,DC!AS43,DC!AY43,DC!BE43,DC!BK43)</f>
        <v>0</v>
      </c>
      <c r="J43">
        <f>SUM(DC!J43,DC!P43,DC!V43,DC!AB43,DC!AH43,DC!AN43,DC!AT43,DC!AZ43,DC!BF43,DC!BL43)</f>
        <v>0</v>
      </c>
    </row>
    <row r="44" spans="1:10">
      <c r="A44">
        <f>DC!A44</f>
        <v>14</v>
      </c>
      <c r="B44" t="str">
        <f>DC!B44</f>
        <v>11:00-12:00</v>
      </c>
      <c r="C44">
        <f>DC!C44</f>
        <v>17</v>
      </c>
      <c r="D44" t="str">
        <f>DC!D44</f>
        <v>11:45-12:30</v>
      </c>
      <c r="E44">
        <f>SUM(DC!E44,DC!K44,DC!Q44,DC!W44,DC!AC44,DC!AI44,DC!AO44,DC!AU44,DC!BA44,DC!BG44)</f>
        <v>0</v>
      </c>
      <c r="F44">
        <f>SUM(DC!F44,DC!L44,DC!R44,DC!X44,DC!AD44,DC!AJ44,DC!AP44,DC!AV44,DC!BB44,DC!BH44)</f>
        <v>0</v>
      </c>
      <c r="G44">
        <f>SUM(DC!G44,DC!M44,DC!S44,DC!Y44,DC!AE44,DC!AK44,DC!AQ44,DC!AW44,DC!BC44,DC!BI44)</f>
        <v>0</v>
      </c>
      <c r="H44">
        <f>SUM(DC!H44,DC!N44,DC!T44,DC!Z44,DC!AF44,DC!AL44,DC!AR44,DC!AX44,DC!BD44,DC!BJ44)</f>
        <v>0</v>
      </c>
      <c r="I44">
        <f>SUM(DC!I44,DC!O44,DC!U44,DC!AA44,DC!AG44,DC!AM44,DC!AS44,DC!AY44,DC!BE44,DC!BK44)</f>
        <v>0</v>
      </c>
      <c r="J44">
        <f>SUM(DC!J44,DC!P44,DC!V44,DC!AB44,DC!AH44,DC!AN44,DC!AT44,DC!AZ44,DC!BF44,DC!BL44)</f>
        <v>0</v>
      </c>
    </row>
    <row r="45" spans="1:10">
      <c r="A45">
        <f>DC!A45</f>
        <v>15</v>
      </c>
      <c r="B45" t="str">
        <f>DC!B45</f>
        <v>11:15-12:00</v>
      </c>
      <c r="C45">
        <f>DC!C45</f>
        <v>16</v>
      </c>
      <c r="D45" t="str">
        <f>DC!D45</f>
        <v>11:30-12:15</v>
      </c>
      <c r="E45">
        <f>SUM(DC!E45,DC!K45,DC!Q45,DC!W45,DC!AC45,DC!AI45,DC!AO45,DC!AU45,DC!BA45,DC!BG45)</f>
        <v>0</v>
      </c>
      <c r="F45">
        <f>SUM(DC!F45,DC!L45,DC!R45,DC!X45,DC!AD45,DC!AJ45,DC!AP45,DC!AV45,DC!BB45,DC!BH45)</f>
        <v>0</v>
      </c>
      <c r="G45">
        <f>SUM(DC!G45,DC!M45,DC!S45,DC!Y45,DC!AE45,DC!AK45,DC!AQ45,DC!AW45,DC!BC45,DC!BI45)</f>
        <v>0</v>
      </c>
      <c r="H45">
        <f>SUM(DC!H45,DC!N45,DC!T45,DC!Z45,DC!AF45,DC!AL45,DC!AR45,DC!AX45,DC!BD45,DC!BJ45)</f>
        <v>0</v>
      </c>
      <c r="I45">
        <f>SUM(DC!I45,DC!O45,DC!U45,DC!AA45,DC!AG45,DC!AM45,DC!AS45,DC!AY45,DC!BE45,DC!BK45)</f>
        <v>0</v>
      </c>
      <c r="J45">
        <f>SUM(DC!J45,DC!P45,DC!V45,DC!AB45,DC!AH45,DC!AN45,DC!AT45,DC!AZ45,DC!BF45,DC!BL45)</f>
        <v>1</v>
      </c>
    </row>
    <row r="46" spans="1:10">
      <c r="A46">
        <f>DC!A46</f>
        <v>15</v>
      </c>
      <c r="B46" t="str">
        <f>DC!B46</f>
        <v>11:15-12:00</v>
      </c>
      <c r="C46">
        <f>DC!C46</f>
        <v>17</v>
      </c>
      <c r="D46" t="str">
        <f>DC!D46</f>
        <v>11:45-12:30</v>
      </c>
      <c r="E46">
        <f>SUM(DC!E46,DC!K46,DC!Q46,DC!W46,DC!AC46,DC!AI46,DC!AO46,DC!AU46,DC!BA46,DC!BG46)</f>
        <v>0</v>
      </c>
      <c r="F46">
        <f>SUM(DC!F46,DC!L46,DC!R46,DC!X46,DC!AD46,DC!AJ46,DC!AP46,DC!AV46,DC!BB46,DC!BH46)</f>
        <v>0</v>
      </c>
      <c r="G46">
        <f>SUM(DC!G46,DC!M46,DC!S46,DC!Y46,DC!AE46,DC!AK46,DC!AQ46,DC!AW46,DC!BC46,DC!BI46)</f>
        <v>0</v>
      </c>
      <c r="H46">
        <f>SUM(DC!H46,DC!N46,DC!T46,DC!Z46,DC!AF46,DC!AL46,DC!AR46,DC!AX46,DC!BD46,DC!BJ46)</f>
        <v>0</v>
      </c>
      <c r="I46">
        <f>SUM(DC!I46,DC!O46,DC!U46,DC!AA46,DC!AG46,DC!AM46,DC!AS46,DC!AY46,DC!BE46,DC!BK46)</f>
        <v>0</v>
      </c>
      <c r="J46">
        <f>SUM(DC!J46,DC!P46,DC!V46,DC!AB46,DC!AH46,DC!AN46,DC!AT46,DC!AZ46,DC!BF46,DC!BL46)</f>
        <v>1</v>
      </c>
    </row>
    <row r="47" spans="1:10">
      <c r="A47">
        <f>DC!A47</f>
        <v>16</v>
      </c>
      <c r="B47" t="str">
        <f>DC!B47</f>
        <v>11:30-12:15</v>
      </c>
      <c r="C47">
        <f>DC!C47</f>
        <v>17</v>
      </c>
      <c r="D47" t="str">
        <f>DC!D47</f>
        <v>11:45-12:30</v>
      </c>
      <c r="E47">
        <f>SUM(DC!E47,DC!K47,DC!Q47,DC!W47,DC!AC47,DC!AI47,DC!AO47,DC!AU47,DC!BA47,DC!BG47)</f>
        <v>0</v>
      </c>
      <c r="F47">
        <f>SUM(DC!F47,DC!L47,DC!R47,DC!X47,DC!AD47,DC!AJ47,DC!AP47,DC!AV47,DC!BB47,DC!BH47)</f>
        <v>0</v>
      </c>
      <c r="G47">
        <f>SUM(DC!G47,DC!M47,DC!S47,DC!Y47,DC!AE47,DC!AK47,DC!AQ47,DC!AW47,DC!BC47,DC!BI47)</f>
        <v>0</v>
      </c>
      <c r="H47">
        <f>SUM(DC!H47,DC!N47,DC!T47,DC!Z47,DC!AF47,DC!AL47,DC!AR47,DC!AX47,DC!BD47,DC!BJ47)</f>
        <v>0</v>
      </c>
      <c r="I47">
        <f>SUM(DC!I47,DC!O47,DC!U47,DC!AA47,DC!AG47,DC!AM47,DC!AS47,DC!AY47,DC!BE47,DC!BK47)</f>
        <v>0</v>
      </c>
      <c r="J47">
        <f>SUM(DC!J47,DC!P47,DC!V47,DC!AB47,DC!AH47,DC!AN47,DC!AT47,DC!AZ47,DC!BF47,DC!BL47)</f>
        <v>0</v>
      </c>
    </row>
    <row r="48" spans="1:10">
      <c r="A48">
        <f>DC!A48</f>
        <v>16</v>
      </c>
      <c r="B48" t="str">
        <f>DC!B48</f>
        <v>11:30-12:15</v>
      </c>
      <c r="C48">
        <f>DC!C48</f>
        <v>18</v>
      </c>
      <c r="D48" t="str">
        <f>DC!D48</f>
        <v>12:00-13:00</v>
      </c>
      <c r="E48">
        <f>SUM(DC!E48,DC!K48,DC!Q48,DC!W48,DC!AC48,DC!AI48,DC!AO48,DC!AU48,DC!BA48,DC!BG48)</f>
        <v>0</v>
      </c>
      <c r="F48">
        <f>SUM(DC!F48,DC!L48,DC!R48,DC!X48,DC!AD48,DC!AJ48,DC!AP48,DC!AV48,DC!BB48,DC!BH48)</f>
        <v>0</v>
      </c>
      <c r="G48">
        <f>SUM(DC!G48,DC!M48,DC!S48,DC!Y48,DC!AE48,DC!AK48,DC!AQ48,DC!AW48,DC!BC48,DC!BI48)</f>
        <v>0</v>
      </c>
      <c r="H48">
        <f>SUM(DC!H48,DC!N48,DC!T48,DC!Z48,DC!AF48,DC!AL48,DC!AR48,DC!AX48,DC!BD48,DC!BJ48)</f>
        <v>0</v>
      </c>
      <c r="I48">
        <f>SUM(DC!I48,DC!O48,DC!U48,DC!AA48,DC!AG48,DC!AM48,DC!AS48,DC!AY48,DC!BE48,DC!BK48)</f>
        <v>0</v>
      </c>
      <c r="J48">
        <f>SUM(DC!J48,DC!P48,DC!V48,DC!AB48,DC!AH48,DC!AN48,DC!AT48,DC!AZ48,DC!BF48,DC!BL48)</f>
        <v>0</v>
      </c>
    </row>
    <row r="49" spans="1:10">
      <c r="A49">
        <f>DC!A49</f>
        <v>17</v>
      </c>
      <c r="B49" t="str">
        <f>DC!B49</f>
        <v>11:45-12:30</v>
      </c>
      <c r="C49">
        <f>DC!C49</f>
        <v>18</v>
      </c>
      <c r="D49" t="str">
        <f>DC!D49</f>
        <v>12:00-13:00</v>
      </c>
      <c r="E49">
        <f>SUM(DC!E49,DC!K49,DC!Q49,DC!W49,DC!AC49,DC!AI49,DC!AO49,DC!AU49,DC!BA49,DC!BG49)</f>
        <v>0</v>
      </c>
      <c r="F49">
        <f>SUM(DC!F49,DC!L49,DC!R49,DC!X49,DC!AD49,DC!AJ49,DC!AP49,DC!AV49,DC!BB49,DC!BH49)</f>
        <v>0</v>
      </c>
      <c r="G49">
        <f>SUM(DC!G49,DC!M49,DC!S49,DC!Y49,DC!AE49,DC!AK49,DC!AQ49,DC!AW49,DC!BC49,DC!BI49)</f>
        <v>0</v>
      </c>
      <c r="H49">
        <f>SUM(DC!H49,DC!N49,DC!T49,DC!Z49,DC!AF49,DC!AL49,DC!AR49,DC!AX49,DC!BD49,DC!BJ49)</f>
        <v>0</v>
      </c>
      <c r="I49">
        <f>SUM(DC!I49,DC!O49,DC!U49,DC!AA49,DC!AG49,DC!AM49,DC!AS49,DC!AY49,DC!BE49,DC!BK49)</f>
        <v>0</v>
      </c>
      <c r="J49">
        <f>SUM(DC!J49,DC!P49,DC!V49,DC!AB49,DC!AH49,DC!AN49,DC!AT49,DC!AZ49,DC!BF49,DC!BL49)</f>
        <v>0</v>
      </c>
    </row>
    <row r="50" spans="1:10">
      <c r="A50">
        <f>DC!A50</f>
        <v>17</v>
      </c>
      <c r="B50" t="str">
        <f>DC!B50</f>
        <v>11:45-12:30</v>
      </c>
      <c r="C50">
        <f>DC!C50</f>
        <v>19</v>
      </c>
      <c r="D50" t="str">
        <f>DC!D50</f>
        <v>12:15-13:00</v>
      </c>
      <c r="E50">
        <f>SUM(DC!E50,DC!K50,DC!Q50,DC!W50,DC!AC50,DC!AI50,DC!AO50,DC!AU50,DC!BA50,DC!BG50)</f>
        <v>0</v>
      </c>
      <c r="F50">
        <f>SUM(DC!F50,DC!L50,DC!R50,DC!X50,DC!AD50,DC!AJ50,DC!AP50,DC!AV50,DC!BB50,DC!BH50)</f>
        <v>0</v>
      </c>
      <c r="G50">
        <f>SUM(DC!G50,DC!M50,DC!S50,DC!Y50,DC!AE50,DC!AK50,DC!AQ50,DC!AW50,DC!BC50,DC!BI50)</f>
        <v>0</v>
      </c>
      <c r="H50">
        <f>SUM(DC!H50,DC!N50,DC!T50,DC!Z50,DC!AF50,DC!AL50,DC!AR50,DC!AX50,DC!BD50,DC!BJ50)</f>
        <v>0</v>
      </c>
      <c r="I50">
        <f>SUM(DC!I50,DC!O50,DC!U50,DC!AA50,DC!AG50,DC!AM50,DC!AS50,DC!AY50,DC!BE50,DC!BK50)</f>
        <v>0</v>
      </c>
      <c r="J50">
        <f>SUM(DC!J50,DC!P50,DC!V50,DC!AB50,DC!AH50,DC!AN50,DC!AT50,DC!AZ50,DC!BF50,DC!BL50)</f>
        <v>0</v>
      </c>
    </row>
    <row r="51" spans="1:10">
      <c r="A51">
        <f>DC!A51</f>
        <v>18</v>
      </c>
      <c r="B51" t="str">
        <f>DC!B51</f>
        <v>12:00-13:00</v>
      </c>
      <c r="C51">
        <f>DC!C51</f>
        <v>19</v>
      </c>
      <c r="D51" t="str">
        <f>DC!D51</f>
        <v>12:15-13:00</v>
      </c>
      <c r="E51">
        <f>SUM(DC!E51,DC!K51,DC!Q51,DC!W51,DC!AC51,DC!AI51,DC!AO51,DC!AU51,DC!BA51,DC!BG51)</f>
        <v>0</v>
      </c>
      <c r="F51">
        <f>SUM(DC!F51,DC!L51,DC!R51,DC!X51,DC!AD51,DC!AJ51,DC!AP51,DC!AV51,DC!BB51,DC!BH51)</f>
        <v>0</v>
      </c>
      <c r="G51">
        <f>SUM(DC!G51,DC!M51,DC!S51,DC!Y51,DC!AE51,DC!AK51,DC!AQ51,DC!AW51,DC!BC51,DC!BI51)</f>
        <v>0</v>
      </c>
      <c r="H51">
        <f>SUM(DC!H51,DC!N51,DC!T51,DC!Z51,DC!AF51,DC!AL51,DC!AR51,DC!AX51,DC!BD51,DC!BJ51)</f>
        <v>0</v>
      </c>
      <c r="I51">
        <f>SUM(DC!I51,DC!O51,DC!U51,DC!AA51,DC!AG51,DC!AM51,DC!AS51,DC!AY51,DC!BE51,DC!BK51)</f>
        <v>0</v>
      </c>
      <c r="J51">
        <f>SUM(DC!J51,DC!P51,DC!V51,DC!AB51,DC!AH51,DC!AN51,DC!AT51,DC!AZ51,DC!BF51,DC!BL51)</f>
        <v>0</v>
      </c>
    </row>
    <row r="52" spans="1:10">
      <c r="A52">
        <f>DC!A52</f>
        <v>18</v>
      </c>
      <c r="B52" t="str">
        <f>DC!B52</f>
        <v>12:00-13:00</v>
      </c>
      <c r="C52">
        <f>DC!C52</f>
        <v>20</v>
      </c>
      <c r="D52" t="str">
        <f>DC!D52</f>
        <v>12:30-13:15</v>
      </c>
      <c r="E52">
        <f>SUM(DC!E52,DC!K52,DC!Q52,DC!W52,DC!AC52,DC!AI52,DC!AO52,DC!AU52,DC!BA52,DC!BG52)</f>
        <v>0</v>
      </c>
      <c r="F52">
        <f>SUM(DC!F52,DC!L52,DC!R52,DC!X52,DC!AD52,DC!AJ52,DC!AP52,DC!AV52,DC!BB52,DC!BH52)</f>
        <v>0</v>
      </c>
      <c r="G52">
        <f>SUM(DC!G52,DC!M52,DC!S52,DC!Y52,DC!AE52,DC!AK52,DC!AQ52,DC!AW52,DC!BC52,DC!BI52)</f>
        <v>0</v>
      </c>
      <c r="H52">
        <f>SUM(DC!H52,DC!N52,DC!T52,DC!Z52,DC!AF52,DC!AL52,DC!AR52,DC!AX52,DC!BD52,DC!BJ52)</f>
        <v>0</v>
      </c>
      <c r="I52">
        <f>SUM(DC!I52,DC!O52,DC!U52,DC!AA52,DC!AG52,DC!AM52,DC!AS52,DC!AY52,DC!BE52,DC!BK52)</f>
        <v>0</v>
      </c>
      <c r="J52">
        <f>SUM(DC!J52,DC!P52,DC!V52,DC!AB52,DC!AH52,DC!AN52,DC!AT52,DC!AZ52,DC!BF52,DC!BL52)</f>
        <v>0</v>
      </c>
    </row>
    <row r="53" spans="1:10">
      <c r="A53">
        <f>DC!A53</f>
        <v>18</v>
      </c>
      <c r="B53" t="str">
        <f>DC!B53</f>
        <v>12:00-13:00</v>
      </c>
      <c r="C53">
        <f>DC!C53</f>
        <v>21</v>
      </c>
      <c r="D53" t="str">
        <f>DC!D53</f>
        <v>12:45-13:30</v>
      </c>
      <c r="E53">
        <f>SUM(DC!E53,DC!K53,DC!Q53,DC!W53,DC!AC53,DC!AI53,DC!AO53,DC!AU53,DC!BA53,DC!BG53)</f>
        <v>0</v>
      </c>
      <c r="F53">
        <f>SUM(DC!F53,DC!L53,DC!R53,DC!X53,DC!AD53,DC!AJ53,DC!AP53,DC!AV53,DC!BB53,DC!BH53)</f>
        <v>0</v>
      </c>
      <c r="G53">
        <f>SUM(DC!G53,DC!M53,DC!S53,DC!Y53,DC!AE53,DC!AK53,DC!AQ53,DC!AW53,DC!BC53,DC!BI53)</f>
        <v>0</v>
      </c>
      <c r="H53">
        <f>SUM(DC!H53,DC!N53,DC!T53,DC!Z53,DC!AF53,DC!AL53,DC!AR53,DC!AX53,DC!BD53,DC!BJ53)</f>
        <v>0</v>
      </c>
      <c r="I53">
        <f>SUM(DC!I53,DC!O53,DC!U53,DC!AA53,DC!AG53,DC!AM53,DC!AS53,DC!AY53,DC!BE53,DC!BK53)</f>
        <v>0</v>
      </c>
      <c r="J53">
        <f>SUM(DC!J53,DC!P53,DC!V53,DC!AB53,DC!AH53,DC!AN53,DC!AT53,DC!AZ53,DC!BF53,DC!BL53)</f>
        <v>0</v>
      </c>
    </row>
    <row r="54" spans="1:10">
      <c r="A54">
        <f>DC!A54</f>
        <v>19</v>
      </c>
      <c r="B54" t="str">
        <f>DC!B54</f>
        <v>12:15-13:00</v>
      </c>
      <c r="C54">
        <f>DC!C54</f>
        <v>20</v>
      </c>
      <c r="D54" t="str">
        <f>DC!D54</f>
        <v>12:30-13:15</v>
      </c>
      <c r="E54">
        <f>SUM(DC!E54,DC!K54,DC!Q54,DC!W54,DC!AC54,DC!AI54,DC!AO54,DC!AU54,DC!BA54,DC!BG54)</f>
        <v>0</v>
      </c>
      <c r="F54">
        <f>SUM(DC!F54,DC!L54,DC!R54,DC!X54,DC!AD54,DC!AJ54,DC!AP54,DC!AV54,DC!BB54,DC!BH54)</f>
        <v>0</v>
      </c>
      <c r="G54">
        <f>SUM(DC!G54,DC!M54,DC!S54,DC!Y54,DC!AE54,DC!AK54,DC!AQ54,DC!AW54,DC!BC54,DC!BI54)</f>
        <v>0</v>
      </c>
      <c r="H54">
        <f>SUM(DC!H54,DC!N54,DC!T54,DC!Z54,DC!AF54,DC!AL54,DC!AR54,DC!AX54,DC!BD54,DC!BJ54)</f>
        <v>0</v>
      </c>
      <c r="I54">
        <f>SUM(DC!I54,DC!O54,DC!U54,DC!AA54,DC!AG54,DC!AM54,DC!AS54,DC!AY54,DC!BE54,DC!BK54)</f>
        <v>0</v>
      </c>
      <c r="J54">
        <f>SUM(DC!J54,DC!P54,DC!V54,DC!AB54,DC!AH54,DC!AN54,DC!AT54,DC!AZ54,DC!BF54,DC!BL54)</f>
        <v>0</v>
      </c>
    </row>
    <row r="55" spans="1:10">
      <c r="A55">
        <f>DC!A55</f>
        <v>19</v>
      </c>
      <c r="B55" t="str">
        <f>DC!B55</f>
        <v>12:15-13:00</v>
      </c>
      <c r="C55">
        <f>DC!C55</f>
        <v>21</v>
      </c>
      <c r="D55" t="str">
        <f>DC!D55</f>
        <v>12:45-13:30</v>
      </c>
      <c r="E55">
        <f>SUM(DC!E55,DC!K55,DC!Q55,DC!W55,DC!AC55,DC!AI55,DC!AO55,DC!AU55,DC!BA55,DC!BG55)</f>
        <v>0</v>
      </c>
      <c r="F55">
        <f>SUM(DC!F55,DC!L55,DC!R55,DC!X55,DC!AD55,DC!AJ55,DC!AP55,DC!AV55,DC!BB55,DC!BH55)</f>
        <v>0</v>
      </c>
      <c r="G55">
        <f>SUM(DC!G55,DC!M55,DC!S55,DC!Y55,DC!AE55,DC!AK55,DC!AQ55,DC!AW55,DC!BC55,DC!BI55)</f>
        <v>0</v>
      </c>
      <c r="H55">
        <f>SUM(DC!H55,DC!N55,DC!T55,DC!Z55,DC!AF55,DC!AL55,DC!AR55,DC!AX55,DC!BD55,DC!BJ55)</f>
        <v>0</v>
      </c>
      <c r="I55">
        <f>SUM(DC!I55,DC!O55,DC!U55,DC!AA55,DC!AG55,DC!AM55,DC!AS55,DC!AY55,DC!BE55,DC!BK55)</f>
        <v>0</v>
      </c>
      <c r="J55">
        <f>SUM(DC!J55,DC!P55,DC!V55,DC!AB55,DC!AH55,DC!AN55,DC!AT55,DC!AZ55,DC!BF55,DC!BL55)</f>
        <v>0</v>
      </c>
    </row>
    <row r="56" spans="1:10">
      <c r="A56">
        <f>DC!A56</f>
        <v>20</v>
      </c>
      <c r="B56" t="str">
        <f>DC!B56</f>
        <v>12:30-13:15</v>
      </c>
      <c r="C56">
        <f>DC!C56</f>
        <v>21</v>
      </c>
      <c r="D56" t="str">
        <f>DC!D56</f>
        <v>12:45-13:30</v>
      </c>
      <c r="E56">
        <f>SUM(DC!E56,DC!K56,DC!Q56,DC!W56,DC!AC56,DC!AI56,DC!AO56,DC!AU56,DC!BA56,DC!BG56)</f>
        <v>0</v>
      </c>
      <c r="F56">
        <f>SUM(DC!F56,DC!L56,DC!R56,DC!X56,DC!AD56,DC!AJ56,DC!AP56,DC!AV56,DC!BB56,DC!BH56)</f>
        <v>0</v>
      </c>
      <c r="G56">
        <f>SUM(DC!G56,DC!M56,DC!S56,DC!Y56,DC!AE56,DC!AK56,DC!AQ56,DC!AW56,DC!BC56,DC!BI56)</f>
        <v>0</v>
      </c>
      <c r="H56">
        <f>SUM(DC!H56,DC!N56,DC!T56,DC!Z56,DC!AF56,DC!AL56,DC!AR56,DC!AX56,DC!BD56,DC!BJ56)</f>
        <v>0</v>
      </c>
      <c r="I56">
        <f>SUM(DC!I56,DC!O56,DC!U56,DC!AA56,DC!AG56,DC!AM56,DC!AS56,DC!AY56,DC!BE56,DC!BK56)</f>
        <v>0</v>
      </c>
      <c r="J56">
        <f>SUM(DC!J56,DC!P56,DC!V56,DC!AB56,DC!AH56,DC!AN56,DC!AT56,DC!AZ56,DC!BF56,DC!BL56)</f>
        <v>0</v>
      </c>
    </row>
    <row r="57" spans="1:10">
      <c r="A57">
        <f>DC!A57</f>
        <v>20</v>
      </c>
      <c r="B57" t="str">
        <f>DC!B57</f>
        <v>12:30-13:15</v>
      </c>
      <c r="C57">
        <f>DC!C57</f>
        <v>22</v>
      </c>
      <c r="D57" t="str">
        <f>DC!D57</f>
        <v>13:00-14:00</v>
      </c>
      <c r="E57">
        <f>SUM(DC!E57,DC!K57,DC!Q57,DC!W57,DC!AC57,DC!AI57,DC!AO57,DC!AU57,DC!BA57,DC!BG57)</f>
        <v>0</v>
      </c>
      <c r="F57">
        <f>SUM(DC!F57,DC!L57,DC!R57,DC!X57,DC!AD57,DC!AJ57,DC!AP57,DC!AV57,DC!BB57,DC!BH57)</f>
        <v>0</v>
      </c>
      <c r="G57">
        <f>SUM(DC!G57,DC!M57,DC!S57,DC!Y57,DC!AE57,DC!AK57,DC!AQ57,DC!AW57,DC!BC57,DC!BI57)</f>
        <v>0</v>
      </c>
      <c r="H57">
        <f>SUM(DC!H57,DC!N57,DC!T57,DC!Z57,DC!AF57,DC!AL57,DC!AR57,DC!AX57,DC!BD57,DC!BJ57)</f>
        <v>0</v>
      </c>
      <c r="I57">
        <f>SUM(DC!I57,DC!O57,DC!U57,DC!AA57,DC!AG57,DC!AM57,DC!AS57,DC!AY57,DC!BE57,DC!BK57)</f>
        <v>0</v>
      </c>
      <c r="J57">
        <f>SUM(DC!J57,DC!P57,DC!V57,DC!AB57,DC!AH57,DC!AN57,DC!AT57,DC!AZ57,DC!BF57,DC!BL57)</f>
        <v>0</v>
      </c>
    </row>
    <row r="58" spans="1:10">
      <c r="A58">
        <f>DC!A58</f>
        <v>21</v>
      </c>
      <c r="B58" t="str">
        <f>DC!B58</f>
        <v>12:45-13:30</v>
      </c>
      <c r="C58">
        <f>DC!C58</f>
        <v>22</v>
      </c>
      <c r="D58" t="str">
        <f>DC!D58</f>
        <v>13:00-14:00</v>
      </c>
      <c r="E58">
        <f>SUM(DC!E58,DC!K58,DC!Q58,DC!W58,DC!AC58,DC!AI58,DC!AO58,DC!AU58,DC!BA58,DC!BG58)</f>
        <v>0</v>
      </c>
      <c r="F58">
        <f>SUM(DC!F58,DC!L58,DC!R58,DC!X58,DC!AD58,DC!AJ58,DC!AP58,DC!AV58,DC!BB58,DC!BH58)</f>
        <v>0</v>
      </c>
      <c r="G58">
        <f>SUM(DC!G58,DC!M58,DC!S58,DC!Y58,DC!AE58,DC!AK58,DC!AQ58,DC!AW58,DC!BC58,DC!BI58)</f>
        <v>0</v>
      </c>
      <c r="H58">
        <f>SUM(DC!H58,DC!N58,DC!T58,DC!Z58,DC!AF58,DC!AL58,DC!AR58,DC!AX58,DC!BD58,DC!BJ58)</f>
        <v>0</v>
      </c>
      <c r="I58">
        <f>SUM(DC!I58,DC!O58,DC!U58,DC!AA58,DC!AG58,DC!AM58,DC!AS58,DC!AY58,DC!BE58,DC!BK58)</f>
        <v>0</v>
      </c>
      <c r="J58">
        <f>SUM(DC!J58,DC!P58,DC!V58,DC!AB58,DC!AH58,DC!AN58,DC!AT58,DC!AZ58,DC!BF58,DC!BL58)</f>
        <v>0</v>
      </c>
    </row>
    <row r="59" spans="1:10">
      <c r="A59">
        <f>DC!A59</f>
        <v>21</v>
      </c>
      <c r="B59" t="str">
        <f>DC!B59</f>
        <v>12:45-13:30</v>
      </c>
      <c r="C59">
        <f>DC!C59</f>
        <v>23</v>
      </c>
      <c r="D59" t="str">
        <f>DC!D59</f>
        <v>13:15-14:00</v>
      </c>
      <c r="E59">
        <f>SUM(DC!E59,DC!K59,DC!Q59,DC!W59,DC!AC59,DC!AI59,DC!AO59,DC!AU59,DC!BA59,DC!BG59)</f>
        <v>0</v>
      </c>
      <c r="F59">
        <f>SUM(DC!F59,DC!L59,DC!R59,DC!X59,DC!AD59,DC!AJ59,DC!AP59,DC!AV59,DC!BB59,DC!BH59)</f>
        <v>0</v>
      </c>
      <c r="G59">
        <f>SUM(DC!G59,DC!M59,DC!S59,DC!Y59,DC!AE59,DC!AK59,DC!AQ59,DC!AW59,DC!BC59,DC!BI59)</f>
        <v>0</v>
      </c>
      <c r="H59">
        <f>SUM(DC!H59,DC!N59,DC!T59,DC!Z59,DC!AF59,DC!AL59,DC!AR59,DC!AX59,DC!BD59,DC!BJ59)</f>
        <v>0</v>
      </c>
      <c r="I59">
        <f>SUM(DC!I59,DC!O59,DC!U59,DC!AA59,DC!AG59,DC!AM59,DC!AS59,DC!AY59,DC!BE59,DC!BK59)</f>
        <v>0</v>
      </c>
      <c r="J59">
        <f>SUM(DC!J59,DC!P59,DC!V59,DC!AB59,DC!AH59,DC!AN59,DC!AT59,DC!AZ59,DC!BF59,DC!BL59)</f>
        <v>0</v>
      </c>
    </row>
    <row r="60" spans="1:10">
      <c r="A60">
        <f>DC!A60</f>
        <v>22</v>
      </c>
      <c r="B60" t="str">
        <f>DC!B60</f>
        <v>13:00-14:00</v>
      </c>
      <c r="C60">
        <f>DC!C60</f>
        <v>23</v>
      </c>
      <c r="D60" t="str">
        <f>DC!D60</f>
        <v>13:15-14:00</v>
      </c>
      <c r="E60">
        <f>SUM(DC!E60,DC!K60,DC!Q60,DC!W60,DC!AC60,DC!AI60,DC!AO60,DC!AU60,DC!BA60,DC!BG60)</f>
        <v>0</v>
      </c>
      <c r="F60">
        <f>SUM(DC!F60,DC!L60,DC!R60,DC!X60,DC!AD60,DC!AJ60,DC!AP60,DC!AV60,DC!BB60,DC!BH60)</f>
        <v>0</v>
      </c>
      <c r="G60">
        <f>SUM(DC!G60,DC!M60,DC!S60,DC!Y60,DC!AE60,DC!AK60,DC!AQ60,DC!AW60,DC!BC60,DC!BI60)</f>
        <v>0</v>
      </c>
      <c r="H60">
        <f>SUM(DC!H60,DC!N60,DC!T60,DC!Z60,DC!AF60,DC!AL60,DC!AR60,DC!AX60,DC!BD60,DC!BJ60)</f>
        <v>0</v>
      </c>
      <c r="I60">
        <f>SUM(DC!I60,DC!O60,DC!U60,DC!AA60,DC!AG60,DC!AM60,DC!AS60,DC!AY60,DC!BE60,DC!BK60)</f>
        <v>0</v>
      </c>
      <c r="J60">
        <f>SUM(DC!J60,DC!P60,DC!V60,DC!AB60,DC!AH60,DC!AN60,DC!AT60,DC!AZ60,DC!BF60,DC!BL60)</f>
        <v>0</v>
      </c>
    </row>
    <row r="61" spans="1:10">
      <c r="A61">
        <f>DC!A61</f>
        <v>22</v>
      </c>
      <c r="B61" t="str">
        <f>DC!B61</f>
        <v>13:00-14:00</v>
      </c>
      <c r="C61">
        <f>DC!C61</f>
        <v>24</v>
      </c>
      <c r="D61" t="str">
        <f>DC!D61</f>
        <v>13:30-14:15</v>
      </c>
      <c r="E61">
        <f>SUM(DC!E61,DC!K61,DC!Q61,DC!W61,DC!AC61,DC!AI61,DC!AO61,DC!AU61,DC!BA61,DC!BG61)</f>
        <v>0</v>
      </c>
      <c r="F61">
        <f>SUM(DC!F61,DC!L61,DC!R61,DC!X61,DC!AD61,DC!AJ61,DC!AP61,DC!AV61,DC!BB61,DC!BH61)</f>
        <v>0</v>
      </c>
      <c r="G61">
        <f>SUM(DC!G61,DC!M61,DC!S61,DC!Y61,DC!AE61,DC!AK61,DC!AQ61,DC!AW61,DC!BC61,DC!BI61)</f>
        <v>0</v>
      </c>
      <c r="H61">
        <f>SUM(DC!H61,DC!N61,DC!T61,DC!Z61,DC!AF61,DC!AL61,DC!AR61,DC!AX61,DC!BD61,DC!BJ61)</f>
        <v>0</v>
      </c>
      <c r="I61">
        <f>SUM(DC!I61,DC!O61,DC!U61,DC!AA61,DC!AG61,DC!AM61,DC!AS61,DC!AY61,DC!BE61,DC!BK61)</f>
        <v>0</v>
      </c>
      <c r="J61">
        <f>SUM(DC!J61,DC!P61,DC!V61,DC!AB61,DC!AH61,DC!AN61,DC!AT61,DC!AZ61,DC!BF61,DC!BL61)</f>
        <v>0</v>
      </c>
    </row>
    <row r="62" spans="1:10">
      <c r="A62">
        <f>DC!A62</f>
        <v>22</v>
      </c>
      <c r="B62" t="str">
        <f>DC!B62</f>
        <v>13:00-14:00</v>
      </c>
      <c r="C62">
        <f>DC!C62</f>
        <v>25</v>
      </c>
      <c r="D62" t="str">
        <f>DC!D62</f>
        <v>13:45-14:30</v>
      </c>
      <c r="E62">
        <f>SUM(DC!E62,DC!K62,DC!Q62,DC!W62,DC!AC62,DC!AI62,DC!AO62,DC!AU62,DC!BA62,DC!BG62)</f>
        <v>0</v>
      </c>
      <c r="F62">
        <f>SUM(DC!F62,DC!L62,DC!R62,DC!X62,DC!AD62,DC!AJ62,DC!AP62,DC!AV62,DC!BB62,DC!BH62)</f>
        <v>0</v>
      </c>
      <c r="G62">
        <f>SUM(DC!G62,DC!M62,DC!S62,DC!Y62,DC!AE62,DC!AK62,DC!AQ62,DC!AW62,DC!BC62,DC!BI62)</f>
        <v>0</v>
      </c>
      <c r="H62">
        <f>SUM(DC!H62,DC!N62,DC!T62,DC!Z62,DC!AF62,DC!AL62,DC!AR62,DC!AX62,DC!BD62,DC!BJ62)</f>
        <v>0</v>
      </c>
      <c r="I62">
        <f>SUM(DC!I62,DC!O62,DC!U62,DC!AA62,DC!AG62,DC!AM62,DC!AS62,DC!AY62,DC!BE62,DC!BK62)</f>
        <v>0</v>
      </c>
      <c r="J62">
        <f>SUM(DC!J62,DC!P62,DC!V62,DC!AB62,DC!AH62,DC!AN62,DC!AT62,DC!AZ62,DC!BF62,DC!BL62)</f>
        <v>0</v>
      </c>
    </row>
    <row r="63" spans="1:10">
      <c r="A63">
        <f>DC!A63</f>
        <v>23</v>
      </c>
      <c r="B63" t="str">
        <f>DC!B63</f>
        <v>13:15-14:00</v>
      </c>
      <c r="C63">
        <f>DC!C63</f>
        <v>24</v>
      </c>
      <c r="D63" t="str">
        <f>DC!D63</f>
        <v>13:30-14:15</v>
      </c>
      <c r="E63">
        <f>SUM(DC!E63,DC!K63,DC!Q63,DC!W63,DC!AC63,DC!AI63,DC!AO63,DC!AU63,DC!BA63,DC!BG63)</f>
        <v>0</v>
      </c>
      <c r="F63">
        <f>SUM(DC!F63,DC!L63,DC!R63,DC!X63,DC!AD63,DC!AJ63,DC!AP63,DC!AV63,DC!BB63,DC!BH63)</f>
        <v>0</v>
      </c>
      <c r="G63">
        <f>SUM(DC!G63,DC!M63,DC!S63,DC!Y63,DC!AE63,DC!AK63,DC!AQ63,DC!AW63,DC!BC63,DC!BI63)</f>
        <v>0</v>
      </c>
      <c r="H63">
        <f>SUM(DC!H63,DC!N63,DC!T63,DC!Z63,DC!AF63,DC!AL63,DC!AR63,DC!AX63,DC!BD63,DC!BJ63)</f>
        <v>0</v>
      </c>
      <c r="I63">
        <f>SUM(DC!I63,DC!O63,DC!U63,DC!AA63,DC!AG63,DC!AM63,DC!AS63,DC!AY63,DC!BE63,DC!BK63)</f>
        <v>0</v>
      </c>
      <c r="J63">
        <f>SUM(DC!J63,DC!P63,DC!V63,DC!AB63,DC!AH63,DC!AN63,DC!AT63,DC!AZ63,DC!BF63,DC!BL63)</f>
        <v>0</v>
      </c>
    </row>
    <row r="64" spans="1:10">
      <c r="A64">
        <f>DC!A64</f>
        <v>23</v>
      </c>
      <c r="B64" t="str">
        <f>DC!B64</f>
        <v>13:15-14:00</v>
      </c>
      <c r="C64">
        <f>DC!C64</f>
        <v>25</v>
      </c>
      <c r="D64" t="str">
        <f>DC!D64</f>
        <v>13:45-14:30</v>
      </c>
      <c r="E64">
        <f>SUM(DC!E64,DC!K64,DC!Q64,DC!W64,DC!AC64,DC!AI64,DC!AO64,DC!AU64,DC!BA64,DC!BG64)</f>
        <v>0</v>
      </c>
      <c r="F64">
        <f>SUM(DC!F64,DC!L64,DC!R64,DC!X64,DC!AD64,DC!AJ64,DC!AP64,DC!AV64,DC!BB64,DC!BH64)</f>
        <v>0</v>
      </c>
      <c r="G64">
        <f>SUM(DC!G64,DC!M64,DC!S64,DC!Y64,DC!AE64,DC!AK64,DC!AQ64,DC!AW64,DC!BC64,DC!BI64)</f>
        <v>0</v>
      </c>
      <c r="H64">
        <f>SUM(DC!H64,DC!N64,DC!T64,DC!Z64,DC!AF64,DC!AL64,DC!AR64,DC!AX64,DC!BD64,DC!BJ64)</f>
        <v>0</v>
      </c>
      <c r="I64">
        <f>SUM(DC!I64,DC!O64,DC!U64,DC!AA64,DC!AG64,DC!AM64,DC!AS64,DC!AY64,DC!BE64,DC!BK64)</f>
        <v>0</v>
      </c>
      <c r="J64">
        <f>SUM(DC!J64,DC!P64,DC!V64,DC!AB64,DC!AH64,DC!AN64,DC!AT64,DC!AZ64,DC!BF64,DC!BL64)</f>
        <v>0</v>
      </c>
    </row>
    <row r="65" spans="1:10">
      <c r="A65">
        <f>DC!A65</f>
        <v>24</v>
      </c>
      <c r="B65" t="str">
        <f>DC!B65</f>
        <v>13:30-14:15</v>
      </c>
      <c r="C65">
        <f>DC!C65</f>
        <v>25</v>
      </c>
      <c r="D65" t="str">
        <f>DC!D65</f>
        <v>13:45-14:30</v>
      </c>
      <c r="E65">
        <f>SUM(DC!E65,DC!K65,DC!Q65,DC!W65,DC!AC65,DC!AI65,DC!AO65,DC!AU65,DC!BA65,DC!BG65)</f>
        <v>0</v>
      </c>
      <c r="F65">
        <f>SUM(DC!F65,DC!L65,DC!R65,DC!X65,DC!AD65,DC!AJ65,DC!AP65,DC!AV65,DC!BB65,DC!BH65)</f>
        <v>0</v>
      </c>
      <c r="G65">
        <f>SUM(DC!G65,DC!M65,DC!S65,DC!Y65,DC!AE65,DC!AK65,DC!AQ65,DC!AW65,DC!BC65,DC!BI65)</f>
        <v>0</v>
      </c>
      <c r="H65">
        <f>SUM(DC!H65,DC!N65,DC!T65,DC!Z65,DC!AF65,DC!AL65,DC!AR65,DC!AX65,DC!BD65,DC!BJ65)</f>
        <v>0</v>
      </c>
      <c r="I65">
        <f>SUM(DC!I65,DC!O65,DC!U65,DC!AA65,DC!AG65,DC!AM65,DC!AS65,DC!AY65,DC!BE65,DC!BK65)</f>
        <v>0</v>
      </c>
      <c r="J65">
        <f>SUM(DC!J65,DC!P65,DC!V65,DC!AB65,DC!AH65,DC!AN65,DC!AT65,DC!AZ65,DC!BF65,DC!BL65)</f>
        <v>0</v>
      </c>
    </row>
    <row r="66" spans="1:10">
      <c r="A66">
        <f>DC!A66</f>
        <v>24</v>
      </c>
      <c r="B66" t="str">
        <f>DC!B66</f>
        <v>13:30-14:15</v>
      </c>
      <c r="C66">
        <f>DC!C66</f>
        <v>26</v>
      </c>
      <c r="D66" t="str">
        <f>DC!D66</f>
        <v>14:00-15:00</v>
      </c>
      <c r="E66">
        <f>SUM(DC!E66,DC!K66,DC!Q66,DC!W66,DC!AC66,DC!AI66,DC!AO66,DC!AU66,DC!BA66,DC!BG66)</f>
        <v>1</v>
      </c>
      <c r="F66">
        <f>SUM(DC!F66,DC!L66,DC!R66,DC!X66,DC!AD66,DC!AJ66,DC!AP66,DC!AV66,DC!BB66,DC!BH66)</f>
        <v>0</v>
      </c>
      <c r="G66">
        <f>SUM(DC!G66,DC!M66,DC!S66,DC!Y66,DC!AE66,DC!AK66,DC!AQ66,DC!AW66,DC!BC66,DC!BI66)</f>
        <v>0</v>
      </c>
      <c r="H66">
        <f>SUM(DC!H66,DC!N66,DC!T66,DC!Z66,DC!AF66,DC!AL66,DC!AR66,DC!AX66,DC!BD66,DC!BJ66)</f>
        <v>0</v>
      </c>
      <c r="I66">
        <f>SUM(DC!I66,DC!O66,DC!U66,DC!AA66,DC!AG66,DC!AM66,DC!AS66,DC!AY66,DC!BE66,DC!BK66)</f>
        <v>0</v>
      </c>
      <c r="J66">
        <f>SUM(DC!J66,DC!P66,DC!V66,DC!AB66,DC!AH66,DC!AN66,DC!AT66,DC!AZ66,DC!BF66,DC!BL66)</f>
        <v>0</v>
      </c>
    </row>
    <row r="67" spans="1:10">
      <c r="A67">
        <f>DC!A67</f>
        <v>25</v>
      </c>
      <c r="B67" t="str">
        <f>DC!B67</f>
        <v>13:45-14:30</v>
      </c>
      <c r="C67">
        <f>DC!C67</f>
        <v>26</v>
      </c>
      <c r="D67" t="str">
        <f>DC!D67</f>
        <v>14:00-15:00</v>
      </c>
      <c r="E67">
        <f>SUM(DC!E67,DC!K67,DC!Q67,DC!W67,DC!AC67,DC!AI67,DC!AO67,DC!AU67,DC!BA67,DC!BG67)</f>
        <v>1</v>
      </c>
      <c r="F67">
        <f>SUM(DC!F67,DC!L67,DC!R67,DC!X67,DC!AD67,DC!AJ67,DC!AP67,DC!AV67,DC!BB67,DC!BH67)</f>
        <v>0</v>
      </c>
      <c r="G67">
        <f>SUM(DC!G67,DC!M67,DC!S67,DC!Y67,DC!AE67,DC!AK67,DC!AQ67,DC!AW67,DC!BC67,DC!BI67)</f>
        <v>0</v>
      </c>
      <c r="H67">
        <f>SUM(DC!H67,DC!N67,DC!T67,DC!Z67,DC!AF67,DC!AL67,DC!AR67,DC!AX67,DC!BD67,DC!BJ67)</f>
        <v>0</v>
      </c>
      <c r="I67">
        <f>SUM(DC!I67,DC!O67,DC!U67,DC!AA67,DC!AG67,DC!AM67,DC!AS67,DC!AY67,DC!BE67,DC!BK67)</f>
        <v>0</v>
      </c>
      <c r="J67">
        <f>SUM(DC!J67,DC!P67,DC!V67,DC!AB67,DC!AH67,DC!AN67,DC!AT67,DC!AZ67,DC!BF67,DC!BL67)</f>
        <v>0</v>
      </c>
    </row>
    <row r="68" spans="1:10">
      <c r="A68">
        <f>DC!A68</f>
        <v>25</v>
      </c>
      <c r="B68" t="str">
        <f>DC!B68</f>
        <v>13:45-14:30</v>
      </c>
      <c r="C68">
        <f>DC!C68</f>
        <v>27</v>
      </c>
      <c r="D68" t="str">
        <f>DC!D68</f>
        <v>14:15-15:00</v>
      </c>
      <c r="E68">
        <f>SUM(DC!E68,DC!K68,DC!Q68,DC!W68,DC!AC68,DC!AI68,DC!AO68,DC!AU68,DC!BA68,DC!BG68)</f>
        <v>0</v>
      </c>
      <c r="F68">
        <f>SUM(DC!F68,DC!L68,DC!R68,DC!X68,DC!AD68,DC!AJ68,DC!AP68,DC!AV68,DC!BB68,DC!BH68)</f>
        <v>0</v>
      </c>
      <c r="G68">
        <f>SUM(DC!G68,DC!M68,DC!S68,DC!Y68,DC!AE68,DC!AK68,DC!AQ68,DC!AW68,DC!BC68,DC!BI68)</f>
        <v>0</v>
      </c>
      <c r="H68">
        <f>SUM(DC!H68,DC!N68,DC!T68,DC!Z68,DC!AF68,DC!AL68,DC!AR68,DC!AX68,DC!BD68,DC!BJ68)</f>
        <v>0</v>
      </c>
      <c r="I68">
        <f>SUM(DC!I68,DC!O68,DC!U68,DC!AA68,DC!AG68,DC!AM68,DC!AS68,DC!AY68,DC!BE68,DC!BK68)</f>
        <v>0</v>
      </c>
      <c r="J68">
        <f>SUM(DC!J68,DC!P68,DC!V68,DC!AB68,DC!AH68,DC!AN68,DC!AT68,DC!AZ68,DC!BF68,DC!BL68)</f>
        <v>0</v>
      </c>
    </row>
    <row r="69" spans="1:10">
      <c r="A69">
        <f>DC!A69</f>
        <v>26</v>
      </c>
      <c r="B69" t="str">
        <f>DC!B69</f>
        <v>14:00-15:00</v>
      </c>
      <c r="C69">
        <f>DC!C69</f>
        <v>27</v>
      </c>
      <c r="D69" t="str">
        <f>DC!D69</f>
        <v>14:15-15:00</v>
      </c>
      <c r="E69">
        <f>SUM(DC!E69,DC!K69,DC!Q69,DC!W69,DC!AC69,DC!AI69,DC!AO69,DC!AU69,DC!BA69,DC!BG69)</f>
        <v>1</v>
      </c>
      <c r="F69">
        <f>SUM(DC!F69,DC!L69,DC!R69,DC!X69,DC!AD69,DC!AJ69,DC!AP69,DC!AV69,DC!BB69,DC!BH69)</f>
        <v>0</v>
      </c>
      <c r="G69">
        <f>SUM(DC!G69,DC!M69,DC!S69,DC!Y69,DC!AE69,DC!AK69,DC!AQ69,DC!AW69,DC!BC69,DC!BI69)</f>
        <v>0</v>
      </c>
      <c r="H69">
        <f>SUM(DC!H69,DC!N69,DC!T69,DC!Z69,DC!AF69,DC!AL69,DC!AR69,DC!AX69,DC!BD69,DC!BJ69)</f>
        <v>0</v>
      </c>
      <c r="I69">
        <f>SUM(DC!I69,DC!O69,DC!U69,DC!AA69,DC!AG69,DC!AM69,DC!AS69,DC!AY69,DC!BE69,DC!BK69)</f>
        <v>0</v>
      </c>
      <c r="J69">
        <f>SUM(DC!J69,DC!P69,DC!V69,DC!AB69,DC!AH69,DC!AN69,DC!AT69,DC!AZ69,DC!BF69,DC!BL69)</f>
        <v>0</v>
      </c>
    </row>
    <row r="70" spans="1:10">
      <c r="A70">
        <f>DC!A70</f>
        <v>26</v>
      </c>
      <c r="B70" t="str">
        <f>DC!B70</f>
        <v>14:00-15:00</v>
      </c>
      <c r="C70">
        <f>DC!C70</f>
        <v>28</v>
      </c>
      <c r="D70" t="str">
        <f>DC!D70</f>
        <v>14:30-15:15</v>
      </c>
      <c r="E70">
        <f>SUM(DC!E70,DC!K70,DC!Q70,DC!W70,DC!AC70,DC!AI70,DC!AO70,DC!AU70,DC!BA70,DC!BG70)</f>
        <v>1</v>
      </c>
      <c r="F70">
        <f>SUM(DC!F70,DC!L70,DC!R70,DC!X70,DC!AD70,DC!AJ70,DC!AP70,DC!AV70,DC!BB70,DC!BH70)</f>
        <v>0</v>
      </c>
      <c r="G70">
        <f>SUM(DC!G70,DC!M70,DC!S70,DC!Y70,DC!AE70,DC!AK70,DC!AQ70,DC!AW70,DC!BC70,DC!BI70)</f>
        <v>0</v>
      </c>
      <c r="H70">
        <f>SUM(DC!H70,DC!N70,DC!T70,DC!Z70,DC!AF70,DC!AL70,DC!AR70,DC!AX70,DC!BD70,DC!BJ70)</f>
        <v>0</v>
      </c>
      <c r="I70">
        <f>SUM(DC!I70,DC!O70,DC!U70,DC!AA70,DC!AG70,DC!AM70,DC!AS70,DC!AY70,DC!BE70,DC!BK70)</f>
        <v>0</v>
      </c>
      <c r="J70">
        <f>SUM(DC!J70,DC!P70,DC!V70,DC!AB70,DC!AH70,DC!AN70,DC!AT70,DC!AZ70,DC!BF70,DC!BL70)</f>
        <v>0</v>
      </c>
    </row>
    <row r="71" spans="1:10">
      <c r="A71">
        <f>DC!A71</f>
        <v>26</v>
      </c>
      <c r="B71" t="str">
        <f>DC!B71</f>
        <v>14:00-15:00</v>
      </c>
      <c r="C71">
        <f>DC!C71</f>
        <v>29</v>
      </c>
      <c r="D71" t="str">
        <f>DC!D71</f>
        <v>14:45-15:30</v>
      </c>
      <c r="E71">
        <f>SUM(DC!E71,DC!K71,DC!Q71,DC!W71,DC!AC71,DC!AI71,DC!AO71,DC!AU71,DC!BA71,DC!BG71)</f>
        <v>1</v>
      </c>
      <c r="F71">
        <f>SUM(DC!F71,DC!L71,DC!R71,DC!X71,DC!AD71,DC!AJ71,DC!AP71,DC!AV71,DC!BB71,DC!BH71)</f>
        <v>0</v>
      </c>
      <c r="G71">
        <f>SUM(DC!G71,DC!M71,DC!S71,DC!Y71,DC!AE71,DC!AK71,DC!AQ71,DC!AW71,DC!BC71,DC!BI71)</f>
        <v>0</v>
      </c>
      <c r="H71">
        <f>SUM(DC!H71,DC!N71,DC!T71,DC!Z71,DC!AF71,DC!AL71,DC!AR71,DC!AX71,DC!BD71,DC!BJ71)</f>
        <v>0</v>
      </c>
      <c r="I71">
        <f>SUM(DC!I71,DC!O71,DC!U71,DC!AA71,DC!AG71,DC!AM71,DC!AS71,DC!AY71,DC!BE71,DC!BK71)</f>
        <v>0</v>
      </c>
      <c r="J71">
        <f>SUM(DC!J71,DC!P71,DC!V71,DC!AB71,DC!AH71,DC!AN71,DC!AT71,DC!AZ71,DC!BF71,DC!BL71)</f>
        <v>0</v>
      </c>
    </row>
    <row r="72" spans="1:10">
      <c r="A72">
        <f>DC!A72</f>
        <v>27</v>
      </c>
      <c r="B72" t="str">
        <f>DC!B72</f>
        <v>14:15-15:00</v>
      </c>
      <c r="C72">
        <f>DC!C72</f>
        <v>28</v>
      </c>
      <c r="D72" t="str">
        <f>DC!D72</f>
        <v>14:30-15:15</v>
      </c>
      <c r="E72">
        <f>SUM(DC!E72,DC!K72,DC!Q72,DC!W72,DC!AC72,DC!AI72,DC!AO72,DC!AU72,DC!BA72,DC!BG72)</f>
        <v>0</v>
      </c>
      <c r="F72">
        <f>SUM(DC!F72,DC!L72,DC!R72,DC!X72,DC!AD72,DC!AJ72,DC!AP72,DC!AV72,DC!BB72,DC!BH72)</f>
        <v>0</v>
      </c>
      <c r="G72">
        <f>SUM(DC!G72,DC!M72,DC!S72,DC!Y72,DC!AE72,DC!AK72,DC!AQ72,DC!AW72,DC!BC72,DC!BI72)</f>
        <v>0</v>
      </c>
      <c r="H72">
        <f>SUM(DC!H72,DC!N72,DC!T72,DC!Z72,DC!AF72,DC!AL72,DC!AR72,DC!AX72,DC!BD72,DC!BJ72)</f>
        <v>0</v>
      </c>
      <c r="I72">
        <f>SUM(DC!I72,DC!O72,DC!U72,DC!AA72,DC!AG72,DC!AM72,DC!AS72,DC!AY72,DC!BE72,DC!BK72)</f>
        <v>0</v>
      </c>
      <c r="J72">
        <f>SUM(DC!J72,DC!P72,DC!V72,DC!AB72,DC!AH72,DC!AN72,DC!AT72,DC!AZ72,DC!BF72,DC!BL72)</f>
        <v>0</v>
      </c>
    </row>
    <row r="73" spans="1:10">
      <c r="A73">
        <f>DC!A73</f>
        <v>27</v>
      </c>
      <c r="B73" t="str">
        <f>DC!B73</f>
        <v>14:15-15:00</v>
      </c>
      <c r="C73">
        <f>DC!C73</f>
        <v>29</v>
      </c>
      <c r="D73" t="str">
        <f>DC!D73</f>
        <v>14:45-15:30</v>
      </c>
      <c r="E73">
        <f>SUM(DC!E73,DC!K73,DC!Q73,DC!W73,DC!AC73,DC!AI73,DC!AO73,DC!AU73,DC!BA73,DC!BG73)</f>
        <v>0</v>
      </c>
      <c r="F73">
        <f>SUM(DC!F73,DC!L73,DC!R73,DC!X73,DC!AD73,DC!AJ73,DC!AP73,DC!AV73,DC!BB73,DC!BH73)</f>
        <v>0</v>
      </c>
      <c r="G73">
        <f>SUM(DC!G73,DC!M73,DC!S73,DC!Y73,DC!AE73,DC!AK73,DC!AQ73,DC!AW73,DC!BC73,DC!BI73)</f>
        <v>0</v>
      </c>
      <c r="H73">
        <f>SUM(DC!H73,DC!N73,DC!T73,DC!Z73,DC!AF73,DC!AL73,DC!AR73,DC!AX73,DC!BD73,DC!BJ73)</f>
        <v>0</v>
      </c>
      <c r="I73">
        <f>SUM(DC!I73,DC!O73,DC!U73,DC!AA73,DC!AG73,DC!AM73,DC!AS73,DC!AY73,DC!BE73,DC!BK73)</f>
        <v>0</v>
      </c>
      <c r="J73">
        <f>SUM(DC!J73,DC!P73,DC!V73,DC!AB73,DC!AH73,DC!AN73,DC!AT73,DC!AZ73,DC!BF73,DC!BL73)</f>
        <v>0</v>
      </c>
    </row>
    <row r="74" spans="1:10">
      <c r="A74">
        <f>DC!A74</f>
        <v>28</v>
      </c>
      <c r="B74" t="str">
        <f>DC!B74</f>
        <v>14:30-15:15</v>
      </c>
      <c r="C74">
        <f>DC!C74</f>
        <v>29</v>
      </c>
      <c r="D74" t="str">
        <f>DC!D74</f>
        <v>14:45-15:30</v>
      </c>
      <c r="E74">
        <f>SUM(DC!E74,DC!K74,DC!Q74,DC!W74,DC!AC74,DC!AI74,DC!AO74,DC!AU74,DC!BA74,DC!BG74)</f>
        <v>0</v>
      </c>
      <c r="F74">
        <f>SUM(DC!F74,DC!L74,DC!R74,DC!X74,DC!AD74,DC!AJ74,DC!AP74,DC!AV74,DC!BB74,DC!BH74)</f>
        <v>0</v>
      </c>
      <c r="G74">
        <f>SUM(DC!G74,DC!M74,DC!S74,DC!Y74,DC!AE74,DC!AK74,DC!AQ74,DC!AW74,DC!BC74,DC!BI74)</f>
        <v>0</v>
      </c>
      <c r="H74">
        <f>SUM(DC!H74,DC!N74,DC!T74,DC!Z74,DC!AF74,DC!AL74,DC!AR74,DC!AX74,DC!BD74,DC!BJ74)</f>
        <v>0</v>
      </c>
      <c r="I74">
        <f>SUM(DC!I74,DC!O74,DC!U74,DC!AA74,DC!AG74,DC!AM74,DC!AS74,DC!AY74,DC!BE74,DC!BK74)</f>
        <v>0</v>
      </c>
      <c r="J74">
        <f>SUM(DC!J74,DC!P74,DC!V74,DC!AB74,DC!AH74,DC!AN74,DC!AT74,DC!AZ74,DC!BF74,DC!BL74)</f>
        <v>0</v>
      </c>
    </row>
    <row r="75" spans="1:10">
      <c r="A75">
        <f>DC!A75</f>
        <v>28</v>
      </c>
      <c r="B75" t="str">
        <f>DC!B75</f>
        <v>14:30-15:15</v>
      </c>
      <c r="C75">
        <f>DC!C75</f>
        <v>30</v>
      </c>
      <c r="D75" t="str">
        <f>DC!D75</f>
        <v>15:00-16:00</v>
      </c>
      <c r="E75">
        <f>SUM(DC!E75,DC!K75,DC!Q75,DC!W75,DC!AC75,DC!AI75,DC!AO75,DC!AU75,DC!BA75,DC!BG75)</f>
        <v>0</v>
      </c>
      <c r="F75">
        <f>SUM(DC!F75,DC!L75,DC!R75,DC!X75,DC!AD75,DC!AJ75,DC!AP75,DC!AV75,DC!BB75,DC!BH75)</f>
        <v>0</v>
      </c>
      <c r="G75">
        <f>SUM(DC!G75,DC!M75,DC!S75,DC!Y75,DC!AE75,DC!AK75,DC!AQ75,DC!AW75,DC!BC75,DC!BI75)</f>
        <v>0</v>
      </c>
      <c r="H75">
        <f>SUM(DC!H75,DC!N75,DC!T75,DC!Z75,DC!AF75,DC!AL75,DC!AR75,DC!AX75,DC!BD75,DC!BJ75)</f>
        <v>0</v>
      </c>
      <c r="I75">
        <f>SUM(DC!I75,DC!O75,DC!U75,DC!AA75,DC!AG75,DC!AM75,DC!AS75,DC!AY75,DC!BE75,DC!BK75)</f>
        <v>0</v>
      </c>
      <c r="J75">
        <f>SUM(DC!J75,DC!P75,DC!V75,DC!AB75,DC!AH75,DC!AN75,DC!AT75,DC!AZ75,DC!BF75,DC!BL75)</f>
        <v>0</v>
      </c>
    </row>
    <row r="76" spans="1:10">
      <c r="A76">
        <f>DC!A76</f>
        <v>29</v>
      </c>
      <c r="B76" t="str">
        <f>DC!B76</f>
        <v>14:45-15:30</v>
      </c>
      <c r="C76">
        <f>DC!C76</f>
        <v>30</v>
      </c>
      <c r="D76" t="str">
        <f>DC!D76</f>
        <v>15:00-16:00</v>
      </c>
      <c r="E76">
        <f>SUM(DC!E76,DC!K76,DC!Q76,DC!W76,DC!AC76,DC!AI76,DC!AO76,DC!AU76,DC!BA76,DC!BG76)</f>
        <v>0</v>
      </c>
      <c r="F76">
        <f>SUM(DC!F76,DC!L76,DC!R76,DC!X76,DC!AD76,DC!AJ76,DC!AP76,DC!AV76,DC!BB76,DC!BH76)</f>
        <v>0</v>
      </c>
      <c r="G76">
        <f>SUM(DC!G76,DC!M76,DC!S76,DC!Y76,DC!AE76,DC!AK76,DC!AQ76,DC!AW76,DC!BC76,DC!BI76)</f>
        <v>0</v>
      </c>
      <c r="H76">
        <f>SUM(DC!H76,DC!N76,DC!T76,DC!Z76,DC!AF76,DC!AL76,DC!AR76,DC!AX76,DC!BD76,DC!BJ76)</f>
        <v>0</v>
      </c>
      <c r="I76">
        <f>SUM(DC!I76,DC!O76,DC!U76,DC!AA76,DC!AG76,DC!AM76,DC!AS76,DC!AY76,DC!BE76,DC!BK76)</f>
        <v>0</v>
      </c>
      <c r="J76">
        <f>SUM(DC!J76,DC!P76,DC!V76,DC!AB76,DC!AH76,DC!AN76,DC!AT76,DC!AZ76,DC!BF76,DC!BL76)</f>
        <v>0</v>
      </c>
    </row>
    <row r="77" spans="1:10">
      <c r="A77">
        <f>DC!A77</f>
        <v>29</v>
      </c>
      <c r="B77" t="str">
        <f>DC!B77</f>
        <v>14:45-15:30</v>
      </c>
      <c r="C77">
        <f>DC!C77</f>
        <v>31</v>
      </c>
      <c r="D77" t="str">
        <f>DC!D77</f>
        <v>15:15-16:00</v>
      </c>
      <c r="E77">
        <f>SUM(DC!E77,DC!K77,DC!Q77,DC!W77,DC!AC77,DC!AI77,DC!AO77,DC!AU77,DC!BA77,DC!BG77)</f>
        <v>0</v>
      </c>
      <c r="F77">
        <f>SUM(DC!F77,DC!L77,DC!R77,DC!X77,DC!AD77,DC!AJ77,DC!AP77,DC!AV77,DC!BB77,DC!BH77)</f>
        <v>0</v>
      </c>
      <c r="G77">
        <f>SUM(DC!G77,DC!M77,DC!S77,DC!Y77,DC!AE77,DC!AK77,DC!AQ77,DC!AW77,DC!BC77,DC!BI77)</f>
        <v>0</v>
      </c>
      <c r="H77">
        <f>SUM(DC!H77,DC!N77,DC!T77,DC!Z77,DC!AF77,DC!AL77,DC!AR77,DC!AX77,DC!BD77,DC!BJ77)</f>
        <v>0</v>
      </c>
      <c r="I77">
        <f>SUM(DC!I77,DC!O77,DC!U77,DC!AA77,DC!AG77,DC!AM77,DC!AS77,DC!AY77,DC!BE77,DC!BK77)</f>
        <v>0</v>
      </c>
      <c r="J77">
        <f>SUM(DC!J77,DC!P77,DC!V77,DC!AB77,DC!AH77,DC!AN77,DC!AT77,DC!AZ77,DC!BF77,DC!BL77)</f>
        <v>0</v>
      </c>
    </row>
    <row r="78" spans="1:10">
      <c r="A78">
        <f>DC!A78</f>
        <v>30</v>
      </c>
      <c r="B78" t="str">
        <f>DC!B78</f>
        <v>15:00-16:00</v>
      </c>
      <c r="C78">
        <f>DC!C78</f>
        <v>31</v>
      </c>
      <c r="D78" t="str">
        <f>DC!D78</f>
        <v>15:15-16:00</v>
      </c>
      <c r="E78">
        <f>SUM(DC!E78,DC!K78,DC!Q78,DC!W78,DC!AC78,DC!AI78,DC!AO78,DC!AU78,DC!BA78,DC!BG78)</f>
        <v>0</v>
      </c>
      <c r="F78">
        <f>SUM(DC!F78,DC!L78,DC!R78,DC!X78,DC!AD78,DC!AJ78,DC!AP78,DC!AV78,DC!BB78,DC!BH78)</f>
        <v>0</v>
      </c>
      <c r="G78">
        <f>SUM(DC!G78,DC!M78,DC!S78,DC!Y78,DC!AE78,DC!AK78,DC!AQ78,DC!AW78,DC!BC78,DC!BI78)</f>
        <v>0</v>
      </c>
      <c r="H78">
        <f>SUM(DC!H78,DC!N78,DC!T78,DC!Z78,DC!AF78,DC!AL78,DC!AR78,DC!AX78,DC!BD78,DC!BJ78)</f>
        <v>0</v>
      </c>
      <c r="I78">
        <f>SUM(DC!I78,DC!O78,DC!U78,DC!AA78,DC!AG78,DC!AM78,DC!AS78,DC!AY78,DC!BE78,DC!BK78)</f>
        <v>0</v>
      </c>
      <c r="J78">
        <f>SUM(DC!J78,DC!P78,DC!V78,DC!AB78,DC!AH78,DC!AN78,DC!AT78,DC!AZ78,DC!BF78,DC!BL78)</f>
        <v>0</v>
      </c>
    </row>
    <row r="79" spans="1:10">
      <c r="A79">
        <f>DC!A79</f>
        <v>30</v>
      </c>
      <c r="B79" t="str">
        <f>DC!B79</f>
        <v>15:00-16:00</v>
      </c>
      <c r="C79">
        <f>DC!C79</f>
        <v>32</v>
      </c>
      <c r="D79" t="str">
        <f>DC!D79</f>
        <v>15:30-16:15</v>
      </c>
      <c r="E79">
        <f>SUM(DC!E79,DC!K79,DC!Q79,DC!W79,DC!AC79,DC!AI79,DC!AO79,DC!AU79,DC!BA79,DC!BG79)</f>
        <v>0</v>
      </c>
      <c r="F79">
        <f>SUM(DC!F79,DC!L79,DC!R79,DC!X79,DC!AD79,DC!AJ79,DC!AP79,DC!AV79,DC!BB79,DC!BH79)</f>
        <v>0</v>
      </c>
      <c r="G79">
        <f>SUM(DC!G79,DC!M79,DC!S79,DC!Y79,DC!AE79,DC!AK79,DC!AQ79,DC!AW79,DC!BC79,DC!BI79)</f>
        <v>0</v>
      </c>
      <c r="H79">
        <f>SUM(DC!H79,DC!N79,DC!T79,DC!Z79,DC!AF79,DC!AL79,DC!AR79,DC!AX79,DC!BD79,DC!BJ79)</f>
        <v>0</v>
      </c>
      <c r="I79">
        <f>SUM(DC!I79,DC!O79,DC!U79,DC!AA79,DC!AG79,DC!AM79,DC!AS79,DC!AY79,DC!BE79,DC!BK79)</f>
        <v>0</v>
      </c>
      <c r="J79">
        <f>SUM(DC!J79,DC!P79,DC!V79,DC!AB79,DC!AH79,DC!AN79,DC!AT79,DC!AZ79,DC!BF79,DC!BL79)</f>
        <v>0</v>
      </c>
    </row>
    <row r="80" spans="1:10">
      <c r="A80">
        <f>DC!A80</f>
        <v>30</v>
      </c>
      <c r="B80" t="str">
        <f>DC!B80</f>
        <v>15:00-16:00</v>
      </c>
      <c r="C80">
        <f>DC!C80</f>
        <v>33</v>
      </c>
      <c r="D80" t="str">
        <f>DC!D80</f>
        <v>15:45-16:30</v>
      </c>
      <c r="E80">
        <f>SUM(DC!E80,DC!K80,DC!Q80,DC!W80,DC!AC80,DC!AI80,DC!AO80,DC!AU80,DC!BA80,DC!BG80)</f>
        <v>0</v>
      </c>
      <c r="F80">
        <f>SUM(DC!F80,DC!L80,DC!R80,DC!X80,DC!AD80,DC!AJ80,DC!AP80,DC!AV80,DC!BB80,DC!BH80)</f>
        <v>0</v>
      </c>
      <c r="G80">
        <f>SUM(DC!G80,DC!M80,DC!S80,DC!Y80,DC!AE80,DC!AK80,DC!AQ80,DC!AW80,DC!BC80,DC!BI80)</f>
        <v>0</v>
      </c>
      <c r="H80">
        <f>SUM(DC!H80,DC!N80,DC!T80,DC!Z80,DC!AF80,DC!AL80,DC!AR80,DC!AX80,DC!BD80,DC!BJ80)</f>
        <v>0</v>
      </c>
      <c r="I80">
        <f>SUM(DC!I80,DC!O80,DC!U80,DC!AA80,DC!AG80,DC!AM80,DC!AS80,DC!AY80,DC!BE80,DC!BK80)</f>
        <v>0</v>
      </c>
      <c r="J80">
        <f>SUM(DC!J80,DC!P80,DC!V80,DC!AB80,DC!AH80,DC!AN80,DC!AT80,DC!AZ80,DC!BF80,DC!BL80)</f>
        <v>0</v>
      </c>
    </row>
    <row r="81" spans="1:10">
      <c r="A81">
        <f>DC!A81</f>
        <v>31</v>
      </c>
      <c r="B81" t="str">
        <f>DC!B81</f>
        <v>15:15-16:00</v>
      </c>
      <c r="C81">
        <f>DC!C81</f>
        <v>32</v>
      </c>
      <c r="D81" t="str">
        <f>DC!D81</f>
        <v>15:30-16:15</v>
      </c>
      <c r="E81">
        <f>SUM(DC!E81,DC!K81,DC!Q81,DC!W81,DC!AC81,DC!AI81,DC!AO81,DC!AU81,DC!BA81,DC!BG81)</f>
        <v>0</v>
      </c>
      <c r="F81">
        <f>SUM(DC!F81,DC!L81,DC!R81,DC!X81,DC!AD81,DC!AJ81,DC!AP81,DC!AV81,DC!BB81,DC!BH81)</f>
        <v>0</v>
      </c>
      <c r="G81">
        <f>SUM(DC!G81,DC!M81,DC!S81,DC!Y81,DC!AE81,DC!AK81,DC!AQ81,DC!AW81,DC!BC81,DC!BI81)</f>
        <v>0</v>
      </c>
      <c r="H81">
        <f>SUM(DC!H81,DC!N81,DC!T81,DC!Z81,DC!AF81,DC!AL81,DC!AR81,DC!AX81,DC!BD81,DC!BJ81)</f>
        <v>0</v>
      </c>
      <c r="I81">
        <f>SUM(DC!I81,DC!O81,DC!U81,DC!AA81,DC!AG81,DC!AM81,DC!AS81,DC!AY81,DC!BE81,DC!BK81)</f>
        <v>0</v>
      </c>
      <c r="J81">
        <f>SUM(DC!J81,DC!P81,DC!V81,DC!AB81,DC!AH81,DC!AN81,DC!AT81,DC!AZ81,DC!BF81,DC!BL81)</f>
        <v>0</v>
      </c>
    </row>
    <row r="82" spans="1:10">
      <c r="A82">
        <f>DC!A82</f>
        <v>31</v>
      </c>
      <c r="B82" t="str">
        <f>DC!B82</f>
        <v>15:15-16:00</v>
      </c>
      <c r="C82">
        <f>DC!C82</f>
        <v>33</v>
      </c>
      <c r="D82" t="str">
        <f>DC!D82</f>
        <v>15:45-16:30</v>
      </c>
      <c r="E82">
        <f>SUM(DC!E82,DC!K82,DC!Q82,DC!W82,DC!AC82,DC!AI82,DC!AO82,DC!AU82,DC!BA82,DC!BG82)</f>
        <v>0</v>
      </c>
      <c r="F82">
        <f>SUM(DC!F82,DC!L82,DC!R82,DC!X82,DC!AD82,DC!AJ82,DC!AP82,DC!AV82,DC!BB82,DC!BH82)</f>
        <v>0</v>
      </c>
      <c r="G82">
        <f>SUM(DC!G82,DC!M82,DC!S82,DC!Y82,DC!AE82,DC!AK82,DC!AQ82,DC!AW82,DC!BC82,DC!BI82)</f>
        <v>0</v>
      </c>
      <c r="H82">
        <f>SUM(DC!H82,DC!N82,DC!T82,DC!Z82,DC!AF82,DC!AL82,DC!AR82,DC!AX82,DC!BD82,DC!BJ82)</f>
        <v>0</v>
      </c>
      <c r="I82">
        <f>SUM(DC!I82,DC!O82,DC!U82,DC!AA82,DC!AG82,DC!AM82,DC!AS82,DC!AY82,DC!BE82,DC!BK82)</f>
        <v>0</v>
      </c>
      <c r="J82">
        <f>SUM(DC!J82,DC!P82,DC!V82,DC!AB82,DC!AH82,DC!AN82,DC!AT82,DC!AZ82,DC!BF82,DC!BL82)</f>
        <v>0</v>
      </c>
    </row>
    <row r="83" spans="1:10">
      <c r="A83">
        <f>DC!A83</f>
        <v>32</v>
      </c>
      <c r="B83" t="str">
        <f>DC!B83</f>
        <v>15:30-16:15</v>
      </c>
      <c r="C83">
        <f>DC!C83</f>
        <v>33</v>
      </c>
      <c r="D83" t="str">
        <f>DC!D83</f>
        <v>15:45-16:30</v>
      </c>
      <c r="E83">
        <f>SUM(DC!E83,DC!K83,DC!Q83,DC!W83,DC!AC83,DC!AI83,DC!AO83,DC!AU83,DC!BA83,DC!BG83)</f>
        <v>0</v>
      </c>
      <c r="F83">
        <f>SUM(DC!F83,DC!L83,DC!R83,DC!X83,DC!AD83,DC!AJ83,DC!AP83,DC!AV83,DC!BB83,DC!BH83)</f>
        <v>0</v>
      </c>
      <c r="G83">
        <f>SUM(DC!G83,DC!M83,DC!S83,DC!Y83,DC!AE83,DC!AK83,DC!AQ83,DC!AW83,DC!BC83,DC!BI83)</f>
        <v>0</v>
      </c>
      <c r="H83">
        <f>SUM(DC!H83,DC!N83,DC!T83,DC!Z83,DC!AF83,DC!AL83,DC!AR83,DC!AX83,DC!BD83,DC!BJ83)</f>
        <v>0</v>
      </c>
      <c r="I83">
        <f>SUM(DC!I83,DC!O83,DC!U83,DC!AA83,DC!AG83,DC!AM83,DC!AS83,DC!AY83,DC!BE83,DC!BK83)</f>
        <v>0</v>
      </c>
      <c r="J83">
        <f>SUM(DC!J83,DC!P83,DC!V83,DC!AB83,DC!AH83,DC!AN83,DC!AT83,DC!AZ83,DC!BF83,DC!BL83)</f>
        <v>0</v>
      </c>
    </row>
    <row r="84" spans="1:10">
      <c r="A84">
        <f>DC!A84</f>
        <v>32</v>
      </c>
      <c r="B84" t="str">
        <f>DC!B84</f>
        <v>15:30-16:15</v>
      </c>
      <c r="C84">
        <f>DC!C84</f>
        <v>34</v>
      </c>
      <c r="D84" t="str">
        <f>DC!D84</f>
        <v>16:00-17:00</v>
      </c>
      <c r="E84">
        <f>SUM(DC!E84,DC!K84,DC!Q84,DC!W84,DC!AC84,DC!AI84,DC!AO84,DC!AU84,DC!BA84,DC!BG84)</f>
        <v>0</v>
      </c>
      <c r="F84">
        <f>SUM(DC!F84,DC!L84,DC!R84,DC!X84,DC!AD84,DC!AJ84,DC!AP84,DC!AV84,DC!BB84,DC!BH84)</f>
        <v>0</v>
      </c>
      <c r="G84">
        <f>SUM(DC!G84,DC!M84,DC!S84,DC!Y84,DC!AE84,DC!AK84,DC!AQ84,DC!AW84,DC!BC84,DC!BI84)</f>
        <v>0</v>
      </c>
      <c r="H84">
        <f>SUM(DC!H84,DC!N84,DC!T84,DC!Z84,DC!AF84,DC!AL84,DC!AR84,DC!AX84,DC!BD84,DC!BJ84)</f>
        <v>0</v>
      </c>
      <c r="I84">
        <f>SUM(DC!I84,DC!O84,DC!U84,DC!AA84,DC!AG84,DC!AM84,DC!AS84,DC!AY84,DC!BE84,DC!BK84)</f>
        <v>0</v>
      </c>
      <c r="J84">
        <f>SUM(DC!J84,DC!P84,DC!V84,DC!AB84,DC!AH84,DC!AN84,DC!AT84,DC!AZ84,DC!BF84,DC!BL84)</f>
        <v>0</v>
      </c>
    </row>
    <row r="85" spans="1:10">
      <c r="A85">
        <f>DC!A85</f>
        <v>33</v>
      </c>
      <c r="B85" t="str">
        <f>DC!B85</f>
        <v>15:45-16:30</v>
      </c>
      <c r="C85">
        <f>DC!C85</f>
        <v>34</v>
      </c>
      <c r="D85" t="str">
        <f>DC!D85</f>
        <v>16:00-17:00</v>
      </c>
      <c r="E85">
        <f>SUM(DC!E85,DC!K85,DC!Q85,DC!W85,DC!AC85,DC!AI85,DC!AO85,DC!AU85,DC!BA85,DC!BG85)</f>
        <v>0</v>
      </c>
      <c r="F85">
        <f>SUM(DC!F85,DC!L85,DC!R85,DC!X85,DC!AD85,DC!AJ85,DC!AP85,DC!AV85,DC!BB85,DC!BH85)</f>
        <v>0</v>
      </c>
      <c r="G85">
        <f>SUM(DC!G85,DC!M85,DC!S85,DC!Y85,DC!AE85,DC!AK85,DC!AQ85,DC!AW85,DC!BC85,DC!BI85)</f>
        <v>0</v>
      </c>
      <c r="H85">
        <f>SUM(DC!H85,DC!N85,DC!T85,DC!Z85,DC!AF85,DC!AL85,DC!AR85,DC!AX85,DC!BD85,DC!BJ85)</f>
        <v>0</v>
      </c>
      <c r="I85">
        <f>SUM(DC!I85,DC!O85,DC!U85,DC!AA85,DC!AG85,DC!AM85,DC!AS85,DC!AY85,DC!BE85,DC!BK85)</f>
        <v>0</v>
      </c>
      <c r="J85">
        <f>SUM(DC!J85,DC!P85,DC!V85,DC!AB85,DC!AH85,DC!AN85,DC!AT85,DC!AZ85,DC!BF85,DC!BL85)</f>
        <v>0</v>
      </c>
    </row>
    <row r="86" spans="1:10">
      <c r="A86">
        <f>DC!A86</f>
        <v>33</v>
      </c>
      <c r="B86" t="str">
        <f>DC!B86</f>
        <v>15:45-16:30</v>
      </c>
      <c r="C86">
        <f>DC!C86</f>
        <v>35</v>
      </c>
      <c r="D86" t="str">
        <f>DC!D86</f>
        <v>16:15-17:00</v>
      </c>
      <c r="E86">
        <f>SUM(DC!E86,DC!K86,DC!Q86,DC!W86,DC!AC86,DC!AI86,DC!AO86,DC!AU86,DC!BA86,DC!BG86)</f>
        <v>0</v>
      </c>
      <c r="F86">
        <f>SUM(DC!F86,DC!L86,DC!R86,DC!X86,DC!AD86,DC!AJ86,DC!AP86,DC!AV86,DC!BB86,DC!BH86)</f>
        <v>0</v>
      </c>
      <c r="G86">
        <f>SUM(DC!G86,DC!M86,DC!S86,DC!Y86,DC!AE86,DC!AK86,DC!AQ86,DC!AW86,DC!BC86,DC!BI86)</f>
        <v>0</v>
      </c>
      <c r="H86">
        <f>SUM(DC!H86,DC!N86,DC!T86,DC!Z86,DC!AF86,DC!AL86,DC!AR86,DC!AX86,DC!BD86,DC!BJ86)</f>
        <v>0</v>
      </c>
      <c r="I86">
        <f>SUM(DC!I86,DC!O86,DC!U86,DC!AA86,DC!AG86,DC!AM86,DC!AS86,DC!AY86,DC!BE86,DC!BK86)</f>
        <v>0</v>
      </c>
      <c r="J86">
        <f>SUM(DC!J86,DC!P86,DC!V86,DC!AB86,DC!AH86,DC!AN86,DC!AT86,DC!AZ86,DC!BF86,DC!BL86)</f>
        <v>0</v>
      </c>
    </row>
    <row r="87" spans="1:10">
      <c r="A87">
        <f>DC!A87</f>
        <v>34</v>
      </c>
      <c r="B87" t="str">
        <f>DC!B87</f>
        <v>16:00-17:00</v>
      </c>
      <c r="C87">
        <f>DC!C87</f>
        <v>35</v>
      </c>
      <c r="D87" t="str">
        <f>DC!D87</f>
        <v>16:15-17:00</v>
      </c>
      <c r="E87">
        <f>SUM(DC!E87,DC!K87,DC!Q87,DC!W87,DC!AC87,DC!AI87,DC!AO87,DC!AU87,DC!BA87,DC!BG87)</f>
        <v>0</v>
      </c>
      <c r="F87">
        <f>SUM(DC!F87,DC!L87,DC!R87,DC!X87,DC!AD87,DC!AJ87,DC!AP87,DC!AV87,DC!BB87,DC!BH87)</f>
        <v>0</v>
      </c>
      <c r="G87">
        <f>SUM(DC!G87,DC!M87,DC!S87,DC!Y87,DC!AE87,DC!AK87,DC!AQ87,DC!AW87,DC!BC87,DC!BI87)</f>
        <v>0</v>
      </c>
      <c r="H87">
        <f>SUM(DC!H87,DC!N87,DC!T87,DC!Z87,DC!AF87,DC!AL87,DC!AR87,DC!AX87,DC!BD87,DC!BJ87)</f>
        <v>0</v>
      </c>
      <c r="I87">
        <f>SUM(DC!I87,DC!O87,DC!U87,DC!AA87,DC!AG87,DC!AM87,DC!AS87,DC!AY87,DC!BE87,DC!BK87)</f>
        <v>0</v>
      </c>
      <c r="J87">
        <f>SUM(DC!J87,DC!P87,DC!V87,DC!AB87,DC!AH87,DC!AN87,DC!AT87,DC!AZ87,DC!BF87,DC!BL87)</f>
        <v>0</v>
      </c>
    </row>
    <row r="88" spans="1:10">
      <c r="A88">
        <f>DC!A88</f>
        <v>34</v>
      </c>
      <c r="B88" t="str">
        <f>DC!B88</f>
        <v>16:00-17:00</v>
      </c>
      <c r="C88">
        <f>DC!C88</f>
        <v>36</v>
      </c>
      <c r="D88" t="str">
        <f>DC!D88</f>
        <v>16:30-17:15</v>
      </c>
      <c r="E88">
        <f>SUM(DC!E88,DC!K88,DC!Q88,DC!W88,DC!AC88,DC!AI88,DC!AO88,DC!AU88,DC!BA88,DC!BG88)</f>
        <v>0</v>
      </c>
      <c r="F88">
        <f>SUM(DC!F88,DC!L88,DC!R88,DC!X88,DC!AD88,DC!AJ88,DC!AP88,DC!AV88,DC!BB88,DC!BH88)</f>
        <v>0</v>
      </c>
      <c r="G88">
        <f>SUM(DC!G88,DC!M88,DC!S88,DC!Y88,DC!AE88,DC!AK88,DC!AQ88,DC!AW88,DC!BC88,DC!BI88)</f>
        <v>0</v>
      </c>
      <c r="H88">
        <f>SUM(DC!H88,DC!N88,DC!T88,DC!Z88,DC!AF88,DC!AL88,DC!AR88,DC!AX88,DC!BD88,DC!BJ88)</f>
        <v>0</v>
      </c>
      <c r="I88">
        <f>SUM(DC!I88,DC!O88,DC!U88,DC!AA88,DC!AG88,DC!AM88,DC!AS88,DC!AY88,DC!BE88,DC!BK88)</f>
        <v>0</v>
      </c>
      <c r="J88">
        <f>SUM(DC!J88,DC!P88,DC!V88,DC!AB88,DC!AH88,DC!AN88,DC!AT88,DC!AZ88,DC!BF88,DC!BL88)</f>
        <v>0</v>
      </c>
    </row>
    <row r="89" spans="1:10">
      <c r="A89">
        <f>DC!A89</f>
        <v>34</v>
      </c>
      <c r="B89" t="str">
        <f>DC!B89</f>
        <v>16:00-17:00</v>
      </c>
      <c r="C89">
        <f>DC!C89</f>
        <v>37</v>
      </c>
      <c r="D89" t="str">
        <f>DC!D89</f>
        <v>16:45-17:30</v>
      </c>
      <c r="E89">
        <f>SUM(DC!E89,DC!K89,DC!Q89,DC!W89,DC!AC89,DC!AI89,DC!AO89,DC!AU89,DC!BA89,DC!BG89)</f>
        <v>0</v>
      </c>
      <c r="F89">
        <f>SUM(DC!F89,DC!L89,DC!R89,DC!X89,DC!AD89,DC!AJ89,DC!AP89,DC!AV89,DC!BB89,DC!BH89)</f>
        <v>0</v>
      </c>
      <c r="G89">
        <f>SUM(DC!G89,DC!M89,DC!S89,DC!Y89,DC!AE89,DC!AK89,DC!AQ89,DC!AW89,DC!BC89,DC!BI89)</f>
        <v>0</v>
      </c>
      <c r="H89">
        <f>SUM(DC!H89,DC!N89,DC!T89,DC!Z89,DC!AF89,DC!AL89,DC!AR89,DC!AX89,DC!BD89,DC!BJ89)</f>
        <v>0</v>
      </c>
      <c r="I89">
        <f>SUM(DC!I89,DC!O89,DC!U89,DC!AA89,DC!AG89,DC!AM89,DC!AS89,DC!AY89,DC!BE89,DC!BK89)</f>
        <v>0</v>
      </c>
      <c r="J89">
        <f>SUM(DC!J89,DC!P89,DC!V89,DC!AB89,DC!AH89,DC!AN89,DC!AT89,DC!AZ89,DC!BF89,DC!BL89)</f>
        <v>0</v>
      </c>
    </row>
    <row r="90" spans="1:10">
      <c r="A90">
        <f>DC!A90</f>
        <v>35</v>
      </c>
      <c r="B90" t="str">
        <f>DC!B90</f>
        <v>16:15-17:00</v>
      </c>
      <c r="C90">
        <f>DC!C90</f>
        <v>36</v>
      </c>
      <c r="D90" t="str">
        <f>DC!D90</f>
        <v>16:30-17:15</v>
      </c>
      <c r="E90">
        <f>SUM(DC!E90,DC!K90,DC!Q90,DC!W90,DC!AC90,DC!AI90,DC!AO90,DC!AU90,DC!BA90,DC!BG90)</f>
        <v>0</v>
      </c>
      <c r="F90">
        <f>SUM(DC!F90,DC!L90,DC!R90,DC!X90,DC!AD90,DC!AJ90,DC!AP90,DC!AV90,DC!BB90,DC!BH90)</f>
        <v>0</v>
      </c>
      <c r="G90">
        <f>SUM(DC!G90,DC!M90,DC!S90,DC!Y90,DC!AE90,DC!AK90,DC!AQ90,DC!AW90,DC!BC90,DC!BI90)</f>
        <v>0</v>
      </c>
      <c r="H90">
        <f>SUM(DC!H90,DC!N90,DC!T90,DC!Z90,DC!AF90,DC!AL90,DC!AR90,DC!AX90,DC!BD90,DC!BJ90)</f>
        <v>0</v>
      </c>
      <c r="I90">
        <f>SUM(DC!I90,DC!O90,DC!U90,DC!AA90,DC!AG90,DC!AM90,DC!AS90,DC!AY90,DC!BE90,DC!BK90)</f>
        <v>0</v>
      </c>
      <c r="J90">
        <f>SUM(DC!J90,DC!P90,DC!V90,DC!AB90,DC!AH90,DC!AN90,DC!AT90,DC!AZ90,DC!BF90,DC!BL90)</f>
        <v>0</v>
      </c>
    </row>
    <row r="91" spans="1:10">
      <c r="A91">
        <f>DC!A91</f>
        <v>35</v>
      </c>
      <c r="B91" t="str">
        <f>DC!B91</f>
        <v>16:15-17:00</v>
      </c>
      <c r="C91">
        <f>DC!C91</f>
        <v>37</v>
      </c>
      <c r="D91" t="str">
        <f>DC!D91</f>
        <v>16:45-17:30</v>
      </c>
      <c r="E91">
        <f>SUM(DC!E91,DC!K91,DC!Q91,DC!W91,DC!AC91,DC!AI91,DC!AO91,DC!AU91,DC!BA91,DC!BG91)</f>
        <v>0</v>
      </c>
      <c r="F91">
        <f>SUM(DC!F91,DC!L91,DC!R91,DC!X91,DC!AD91,DC!AJ91,DC!AP91,DC!AV91,DC!BB91,DC!BH91)</f>
        <v>0</v>
      </c>
      <c r="G91">
        <f>SUM(DC!G91,DC!M91,DC!S91,DC!Y91,DC!AE91,DC!AK91,DC!AQ91,DC!AW91,DC!BC91,DC!BI91)</f>
        <v>0</v>
      </c>
      <c r="H91">
        <f>SUM(DC!H91,DC!N91,DC!T91,DC!Z91,DC!AF91,DC!AL91,DC!AR91,DC!AX91,DC!BD91,DC!BJ91)</f>
        <v>0</v>
      </c>
      <c r="I91">
        <f>SUM(DC!I91,DC!O91,DC!U91,DC!AA91,DC!AG91,DC!AM91,DC!AS91,DC!AY91,DC!BE91,DC!BK91)</f>
        <v>0</v>
      </c>
      <c r="J91">
        <f>SUM(DC!J91,DC!P91,DC!V91,DC!AB91,DC!AH91,DC!AN91,DC!AT91,DC!AZ91,DC!BF91,DC!BL91)</f>
        <v>0</v>
      </c>
    </row>
    <row r="92" spans="1:10">
      <c r="A92">
        <f>DC!A92</f>
        <v>36</v>
      </c>
      <c r="B92" t="str">
        <f>DC!B92</f>
        <v>16:30-17:15</v>
      </c>
      <c r="C92">
        <f>DC!C92</f>
        <v>37</v>
      </c>
      <c r="D92" t="str">
        <f>DC!D92</f>
        <v>16:45-17:30</v>
      </c>
      <c r="E92">
        <f>SUM(DC!E92,DC!K92,DC!Q92,DC!W92,DC!AC92,DC!AI92,DC!AO92,DC!AU92,DC!BA92,DC!BG92)</f>
        <v>0</v>
      </c>
      <c r="F92">
        <f>SUM(DC!F92,DC!L92,DC!R92,DC!X92,DC!AD92,DC!AJ92,DC!AP92,DC!AV92,DC!BB92,DC!BH92)</f>
        <v>0</v>
      </c>
      <c r="G92">
        <f>SUM(DC!G92,DC!M92,DC!S92,DC!Y92,DC!AE92,DC!AK92,DC!AQ92,DC!AW92,DC!BC92,DC!BI92)</f>
        <v>0</v>
      </c>
      <c r="H92">
        <f>SUM(DC!H92,DC!N92,DC!T92,DC!Z92,DC!AF92,DC!AL92,DC!AR92,DC!AX92,DC!BD92,DC!BJ92)</f>
        <v>0</v>
      </c>
      <c r="I92">
        <f>SUM(DC!I92,DC!O92,DC!U92,DC!AA92,DC!AG92,DC!AM92,DC!AS92,DC!AY92,DC!BE92,DC!BK92)</f>
        <v>0</v>
      </c>
      <c r="J92">
        <f>SUM(DC!J92,DC!P92,DC!V92,DC!AB92,DC!AH92,DC!AN92,DC!AT92,DC!AZ92,DC!BF92,DC!BL92)</f>
        <v>0</v>
      </c>
    </row>
    <row r="93" spans="1:10">
      <c r="A93">
        <f>DC!A93</f>
        <v>36</v>
      </c>
      <c r="B93" t="str">
        <f>DC!B93</f>
        <v>16:30-17:15</v>
      </c>
      <c r="C93">
        <f>DC!C93</f>
        <v>38</v>
      </c>
      <c r="D93" t="str">
        <f>DC!D93</f>
        <v>17:00-18:00</v>
      </c>
      <c r="E93">
        <f>SUM(DC!E93,DC!K93,DC!Q93,DC!W93,DC!AC93,DC!AI93,DC!AO93,DC!AU93,DC!BA93,DC!BG93)</f>
        <v>0</v>
      </c>
      <c r="F93">
        <f>SUM(DC!F93,DC!L93,DC!R93,DC!X93,DC!AD93,DC!AJ93,DC!AP93,DC!AV93,DC!BB93,DC!BH93)</f>
        <v>0</v>
      </c>
      <c r="G93">
        <f>SUM(DC!G93,DC!M93,DC!S93,DC!Y93,DC!AE93,DC!AK93,DC!AQ93,DC!AW93,DC!BC93,DC!BI93)</f>
        <v>0</v>
      </c>
      <c r="H93">
        <f>SUM(DC!H93,DC!N93,DC!T93,DC!Z93,DC!AF93,DC!AL93,DC!AR93,DC!AX93,DC!BD93,DC!BJ93)</f>
        <v>0</v>
      </c>
      <c r="I93">
        <f>SUM(DC!I93,DC!O93,DC!U93,DC!AA93,DC!AG93,DC!AM93,DC!AS93,DC!AY93,DC!BE93,DC!BK93)</f>
        <v>0</v>
      </c>
      <c r="J93">
        <f>SUM(DC!J93,DC!P93,DC!V93,DC!AB93,DC!AH93,DC!AN93,DC!AT93,DC!AZ93,DC!BF93,DC!BL93)</f>
        <v>0</v>
      </c>
    </row>
    <row r="94" spans="1:10">
      <c r="A94">
        <f>DC!A94</f>
        <v>37</v>
      </c>
      <c r="B94" t="str">
        <f>DC!B94</f>
        <v>16:45-17:30</v>
      </c>
      <c r="C94">
        <f>DC!C94</f>
        <v>38</v>
      </c>
      <c r="D94" t="str">
        <f>DC!D94</f>
        <v>17:00-18:00</v>
      </c>
      <c r="E94">
        <f>SUM(DC!E94,DC!K94,DC!Q94,DC!W94,DC!AC94,DC!AI94,DC!AO94,DC!AU94,DC!BA94,DC!BG94)</f>
        <v>0</v>
      </c>
      <c r="F94">
        <f>SUM(DC!F94,DC!L94,DC!R94,DC!X94,DC!AD94,DC!AJ94,DC!AP94,DC!AV94,DC!BB94,DC!BH94)</f>
        <v>0</v>
      </c>
      <c r="G94">
        <f>SUM(DC!G94,DC!M94,DC!S94,DC!Y94,DC!AE94,DC!AK94,DC!AQ94,DC!AW94,DC!BC94,DC!BI94)</f>
        <v>0</v>
      </c>
      <c r="H94">
        <f>SUM(DC!H94,DC!N94,DC!T94,DC!Z94,DC!AF94,DC!AL94,DC!AR94,DC!AX94,DC!BD94,DC!BJ94)</f>
        <v>0</v>
      </c>
      <c r="I94">
        <f>SUM(DC!I94,DC!O94,DC!U94,DC!AA94,DC!AG94,DC!AM94,DC!AS94,DC!AY94,DC!BE94,DC!BK94)</f>
        <v>0</v>
      </c>
      <c r="J94">
        <f>SUM(DC!J94,DC!P94,DC!V94,DC!AB94,DC!AH94,DC!AN94,DC!AT94,DC!AZ94,DC!BF94,DC!BL94)</f>
        <v>0</v>
      </c>
    </row>
    <row r="95" spans="1:10">
      <c r="A95">
        <f>DC!A95</f>
        <v>37</v>
      </c>
      <c r="B95" t="str">
        <f>DC!B95</f>
        <v>16:45-17:30</v>
      </c>
      <c r="C95">
        <f>DC!C95</f>
        <v>39</v>
      </c>
      <c r="D95" t="str">
        <f>DC!D95</f>
        <v>17:15-18:00</v>
      </c>
      <c r="E95">
        <f>SUM(DC!E95,DC!K95,DC!Q95,DC!W95,DC!AC95,DC!AI95,DC!AO95,DC!AU95,DC!BA95,DC!BG95)</f>
        <v>0</v>
      </c>
      <c r="F95">
        <f>SUM(DC!F95,DC!L95,DC!R95,DC!X95,DC!AD95,DC!AJ95,DC!AP95,DC!AV95,DC!BB95,DC!BH95)</f>
        <v>1</v>
      </c>
      <c r="G95">
        <f>SUM(DC!G95,DC!M95,DC!S95,DC!Y95,DC!AE95,DC!AK95,DC!AQ95,DC!AW95,DC!BC95,DC!BI95)</f>
        <v>0</v>
      </c>
      <c r="H95">
        <f>SUM(DC!H95,DC!N95,DC!T95,DC!Z95,DC!AF95,DC!AL95,DC!AR95,DC!AX95,DC!BD95,DC!BJ95)</f>
        <v>1</v>
      </c>
      <c r="I95">
        <f>SUM(DC!I95,DC!O95,DC!U95,DC!AA95,DC!AG95,DC!AM95,DC!AS95,DC!AY95,DC!BE95,DC!BK95)</f>
        <v>0</v>
      </c>
      <c r="J95">
        <f>SUM(DC!J95,DC!P95,DC!V95,DC!AB95,DC!AH95,DC!AN95,DC!AT95,DC!AZ95,DC!BF95,DC!BL95)</f>
        <v>0</v>
      </c>
    </row>
    <row r="96" spans="1:10">
      <c r="A96">
        <f>DC!A96</f>
        <v>38</v>
      </c>
      <c r="B96" t="str">
        <f>DC!B96</f>
        <v>17:00-18:00</v>
      </c>
      <c r="C96">
        <f>DC!C96</f>
        <v>39</v>
      </c>
      <c r="D96" t="str">
        <f>DC!D96</f>
        <v>17:15-18:00</v>
      </c>
      <c r="E96">
        <f>SUM(DC!E96,DC!K96,DC!Q96,DC!W96,DC!AC96,DC!AI96,DC!AO96,DC!AU96,DC!BA96,DC!BG96)</f>
        <v>0</v>
      </c>
      <c r="F96">
        <f>SUM(DC!F96,DC!L96,DC!R96,DC!X96,DC!AD96,DC!AJ96,DC!AP96,DC!AV96,DC!BB96,DC!BH96)</f>
        <v>1</v>
      </c>
      <c r="G96">
        <f>SUM(DC!G96,DC!M96,DC!S96,DC!Y96,DC!AE96,DC!AK96,DC!AQ96,DC!AW96,DC!BC96,DC!BI96)</f>
        <v>0</v>
      </c>
      <c r="H96">
        <f>SUM(DC!H96,DC!N96,DC!T96,DC!Z96,DC!AF96,DC!AL96,DC!AR96,DC!AX96,DC!BD96,DC!BJ96)</f>
        <v>1</v>
      </c>
      <c r="I96">
        <f>SUM(DC!I96,DC!O96,DC!U96,DC!AA96,DC!AG96,DC!AM96,DC!AS96,DC!AY96,DC!BE96,DC!BK96)</f>
        <v>0</v>
      </c>
      <c r="J96">
        <f>SUM(DC!J96,DC!P96,DC!V96,DC!AB96,DC!AH96,DC!AN96,DC!AT96,DC!AZ96,DC!BF96,DC!BL96)</f>
        <v>0</v>
      </c>
    </row>
    <row r="97" spans="1:10">
      <c r="A97">
        <f>DC!A97</f>
        <v>38</v>
      </c>
      <c r="B97" t="str">
        <f>DC!B97</f>
        <v>17:00-18:00</v>
      </c>
      <c r="C97">
        <f>DC!C97</f>
        <v>40</v>
      </c>
      <c r="D97" t="str">
        <f>DC!D97</f>
        <v>17:30-18:15</v>
      </c>
      <c r="E97">
        <f>SUM(DC!E97,DC!K97,DC!Q97,DC!W97,DC!AC97,DC!AI97,DC!AO97,DC!AU97,DC!BA97,DC!BG97)</f>
        <v>0</v>
      </c>
      <c r="F97">
        <f>SUM(DC!F97,DC!L97,DC!R97,DC!X97,DC!AD97,DC!AJ97,DC!AP97,DC!AV97,DC!BB97,DC!BH97)</f>
        <v>0</v>
      </c>
      <c r="G97">
        <f>SUM(DC!G97,DC!M97,DC!S97,DC!Y97,DC!AE97,DC!AK97,DC!AQ97,DC!AW97,DC!BC97,DC!BI97)</f>
        <v>0</v>
      </c>
      <c r="H97">
        <f>SUM(DC!H97,DC!N97,DC!T97,DC!Z97,DC!AF97,DC!AL97,DC!AR97,DC!AX97,DC!BD97,DC!BJ97)</f>
        <v>0</v>
      </c>
      <c r="I97">
        <f>SUM(DC!I97,DC!O97,DC!U97,DC!AA97,DC!AG97,DC!AM97,DC!AS97,DC!AY97,DC!BE97,DC!BK97)</f>
        <v>0</v>
      </c>
      <c r="J97">
        <f>SUM(DC!J97,DC!P97,DC!V97,DC!AB97,DC!AH97,DC!AN97,DC!AT97,DC!AZ97,DC!BF97,DC!BL97)</f>
        <v>0</v>
      </c>
    </row>
    <row r="98" spans="1:10">
      <c r="A98">
        <f>DC!A98</f>
        <v>38</v>
      </c>
      <c r="B98" t="str">
        <f>DC!B98</f>
        <v>17:00-18:00</v>
      </c>
      <c r="C98">
        <f>DC!C98</f>
        <v>41</v>
      </c>
      <c r="D98" t="str">
        <f>DC!D98</f>
        <v>17:45-18:30</v>
      </c>
      <c r="E98">
        <f>SUM(DC!E98,DC!K98,DC!Q98,DC!W98,DC!AC98,DC!AI98,DC!AO98,DC!AU98,DC!BA98,DC!BG98)</f>
        <v>0</v>
      </c>
      <c r="F98">
        <f>SUM(DC!F98,DC!L98,DC!R98,DC!X98,DC!AD98,DC!AJ98,DC!AP98,DC!AV98,DC!BB98,DC!BH98)</f>
        <v>0</v>
      </c>
      <c r="G98">
        <f>SUM(DC!G98,DC!M98,DC!S98,DC!Y98,DC!AE98,DC!AK98,DC!AQ98,DC!AW98,DC!BC98,DC!BI98)</f>
        <v>0</v>
      </c>
      <c r="H98">
        <f>SUM(DC!H98,DC!N98,DC!T98,DC!Z98,DC!AF98,DC!AL98,DC!AR98,DC!AX98,DC!BD98,DC!BJ98)</f>
        <v>0</v>
      </c>
      <c r="I98">
        <f>SUM(DC!I98,DC!O98,DC!U98,DC!AA98,DC!AG98,DC!AM98,DC!AS98,DC!AY98,DC!BE98,DC!BK98)</f>
        <v>0</v>
      </c>
      <c r="J98">
        <f>SUM(DC!J98,DC!P98,DC!V98,DC!AB98,DC!AH98,DC!AN98,DC!AT98,DC!AZ98,DC!BF98,DC!BL98)</f>
        <v>0</v>
      </c>
    </row>
    <row r="99" spans="1:10">
      <c r="A99">
        <f>DC!A99</f>
        <v>39</v>
      </c>
      <c r="B99" t="str">
        <f>DC!B99</f>
        <v>17:15-18:00</v>
      </c>
      <c r="C99">
        <f>DC!C99</f>
        <v>40</v>
      </c>
      <c r="D99" t="str">
        <f>DC!D99</f>
        <v>17:30-18:15</v>
      </c>
      <c r="E99">
        <f>SUM(DC!E99,DC!K99,DC!Q99,DC!W99,DC!AC99,DC!AI99,DC!AO99,DC!AU99,DC!BA99,DC!BG99)</f>
        <v>0</v>
      </c>
      <c r="F99">
        <f>SUM(DC!F99,DC!L99,DC!R99,DC!X99,DC!AD99,DC!AJ99,DC!AP99,DC!AV99,DC!BB99,DC!BH99)</f>
        <v>1</v>
      </c>
      <c r="G99">
        <f>SUM(DC!G99,DC!M99,DC!S99,DC!Y99,DC!AE99,DC!AK99,DC!AQ99,DC!AW99,DC!BC99,DC!BI99)</f>
        <v>0</v>
      </c>
      <c r="H99">
        <f>SUM(DC!H99,DC!N99,DC!T99,DC!Z99,DC!AF99,DC!AL99,DC!AR99,DC!AX99,DC!BD99,DC!BJ99)</f>
        <v>1</v>
      </c>
      <c r="I99">
        <f>SUM(DC!I99,DC!O99,DC!U99,DC!AA99,DC!AG99,DC!AM99,DC!AS99,DC!AY99,DC!BE99,DC!BK99)</f>
        <v>0</v>
      </c>
      <c r="J99">
        <f>SUM(DC!J99,DC!P99,DC!V99,DC!AB99,DC!AH99,DC!AN99,DC!AT99,DC!AZ99,DC!BF99,DC!BL99)</f>
        <v>0</v>
      </c>
    </row>
    <row r="100" spans="1:10">
      <c r="A100">
        <f>DC!A100</f>
        <v>39</v>
      </c>
      <c r="B100" t="str">
        <f>DC!B100</f>
        <v>17:15-18:00</v>
      </c>
      <c r="C100">
        <f>DC!C100</f>
        <v>41</v>
      </c>
      <c r="D100" t="str">
        <f>DC!D100</f>
        <v>17:45-18:30</v>
      </c>
      <c r="E100">
        <f>SUM(DC!E100,DC!K100,DC!Q100,DC!W100,DC!AC100,DC!AI100,DC!AO100,DC!AU100,DC!BA100,DC!BG100)</f>
        <v>0</v>
      </c>
      <c r="F100">
        <f>SUM(DC!F100,DC!L100,DC!R100,DC!X100,DC!AD100,DC!AJ100,DC!AP100,DC!AV100,DC!BB100,DC!BH100)</f>
        <v>1</v>
      </c>
      <c r="G100">
        <f>SUM(DC!G100,DC!M100,DC!S100,DC!Y100,DC!AE100,DC!AK100,DC!AQ100,DC!AW100,DC!BC100,DC!BI100)</f>
        <v>0</v>
      </c>
      <c r="H100">
        <f>SUM(DC!H100,DC!N100,DC!T100,DC!Z100,DC!AF100,DC!AL100,DC!AR100,DC!AX100,DC!BD100,DC!BJ100)</f>
        <v>1</v>
      </c>
      <c r="I100">
        <f>SUM(DC!I100,DC!O100,DC!U100,DC!AA100,DC!AG100,DC!AM100,DC!AS100,DC!AY100,DC!BE100,DC!BK100)</f>
        <v>0</v>
      </c>
      <c r="J100">
        <f>SUM(DC!J100,DC!P100,DC!V100,DC!AB100,DC!AH100,DC!AN100,DC!AT100,DC!AZ100,DC!BF100,DC!BL100)</f>
        <v>0</v>
      </c>
    </row>
    <row r="101" spans="1:10">
      <c r="A101">
        <f>DC!A101</f>
        <v>40</v>
      </c>
      <c r="B101" t="str">
        <f>DC!B101</f>
        <v>17:30-18:15</v>
      </c>
      <c r="C101">
        <f>DC!C101</f>
        <v>41</v>
      </c>
      <c r="D101" t="str">
        <f>DC!D101</f>
        <v>17:45-18:30</v>
      </c>
      <c r="E101">
        <f>SUM(DC!E101,DC!K101,DC!Q101,DC!W101,DC!AC101,DC!AI101,DC!AO101,DC!AU101,DC!BA101,DC!BG101)</f>
        <v>0</v>
      </c>
      <c r="F101">
        <f>SUM(DC!F101,DC!L101,DC!R101,DC!X101,DC!AD101,DC!AJ101,DC!AP101,DC!AV101,DC!BB101,DC!BH101)</f>
        <v>0</v>
      </c>
      <c r="G101">
        <f>SUM(DC!G101,DC!M101,DC!S101,DC!Y101,DC!AE101,DC!AK101,DC!AQ101,DC!AW101,DC!BC101,DC!BI101)</f>
        <v>0</v>
      </c>
      <c r="H101">
        <f>SUM(DC!H101,DC!N101,DC!T101,DC!Z101,DC!AF101,DC!AL101,DC!AR101,DC!AX101,DC!BD101,DC!BJ101)</f>
        <v>0</v>
      </c>
      <c r="I101">
        <f>SUM(DC!I101,DC!O101,DC!U101,DC!AA101,DC!AG101,DC!AM101,DC!AS101,DC!AY101,DC!BE101,DC!BK101)</f>
        <v>0</v>
      </c>
      <c r="J101">
        <f>SUM(DC!J101,DC!P101,DC!V101,DC!AB101,DC!AH101,DC!AN101,DC!AT101,DC!AZ101,DC!BF101,DC!BL101)</f>
        <v>0</v>
      </c>
    </row>
    <row r="102" spans="1:10">
      <c r="A102">
        <f>DC!A102</f>
        <v>40</v>
      </c>
      <c r="B102" t="str">
        <f>DC!B102</f>
        <v>17:30-18:15</v>
      </c>
      <c r="C102">
        <f>DC!C102</f>
        <v>42</v>
      </c>
      <c r="D102" t="str">
        <f>DC!D102</f>
        <v>18:00-19:00</v>
      </c>
      <c r="E102">
        <f>SUM(DC!E102,DC!K102,DC!Q102,DC!W102,DC!AC102,DC!AI102,DC!AO102,DC!AU102,DC!BA102,DC!BG102)</f>
        <v>0</v>
      </c>
      <c r="F102">
        <f>SUM(DC!F102,DC!L102,DC!R102,DC!X102,DC!AD102,DC!AJ102,DC!AP102,DC!AV102,DC!BB102,DC!BH102)</f>
        <v>0</v>
      </c>
      <c r="G102">
        <f>SUM(DC!G102,DC!M102,DC!S102,DC!Y102,DC!AE102,DC!AK102,DC!AQ102,DC!AW102,DC!BC102,DC!BI102)</f>
        <v>0</v>
      </c>
      <c r="H102">
        <f>SUM(DC!H102,DC!N102,DC!T102,DC!Z102,DC!AF102,DC!AL102,DC!AR102,DC!AX102,DC!BD102,DC!BJ102)</f>
        <v>0</v>
      </c>
      <c r="I102">
        <f>SUM(DC!I102,DC!O102,DC!U102,DC!AA102,DC!AG102,DC!AM102,DC!AS102,DC!AY102,DC!BE102,DC!BK102)</f>
        <v>0</v>
      </c>
      <c r="J102">
        <f>SUM(DC!J102,DC!P102,DC!V102,DC!AB102,DC!AH102,DC!AN102,DC!AT102,DC!AZ102,DC!BF102,DC!BL102)</f>
        <v>0</v>
      </c>
    </row>
    <row r="103" spans="1:10">
      <c r="A103">
        <f>DC!A103</f>
        <v>41</v>
      </c>
      <c r="B103" t="str">
        <f>DC!B103</f>
        <v>17:45-18:30</v>
      </c>
      <c r="C103">
        <f>DC!C103</f>
        <v>42</v>
      </c>
      <c r="D103" t="str">
        <f>DC!D103</f>
        <v>18:00-19:00</v>
      </c>
      <c r="E103">
        <f>SUM(DC!E103,DC!K103,DC!Q103,DC!W103,DC!AC103,DC!AI103,DC!AO103,DC!AU103,DC!BA103,DC!BG103)</f>
        <v>0</v>
      </c>
      <c r="F103">
        <f>SUM(DC!F103,DC!L103,DC!R103,DC!X103,DC!AD103,DC!AJ103,DC!AP103,DC!AV103,DC!BB103,DC!BH103)</f>
        <v>0</v>
      </c>
      <c r="G103">
        <f>SUM(DC!G103,DC!M103,DC!S103,DC!Y103,DC!AE103,DC!AK103,DC!AQ103,DC!AW103,DC!BC103,DC!BI103)</f>
        <v>0</v>
      </c>
      <c r="H103">
        <f>SUM(DC!H103,DC!N103,DC!T103,DC!Z103,DC!AF103,DC!AL103,DC!AR103,DC!AX103,DC!BD103,DC!BJ103)</f>
        <v>0</v>
      </c>
      <c r="I103">
        <f>SUM(DC!I103,DC!O103,DC!U103,DC!AA103,DC!AG103,DC!AM103,DC!AS103,DC!AY103,DC!BE103,DC!BK103)</f>
        <v>0</v>
      </c>
      <c r="J103">
        <f>SUM(DC!J103,DC!P103,DC!V103,DC!AB103,DC!AH103,DC!AN103,DC!AT103,DC!AZ103,DC!BF103,DC!BL103)</f>
        <v>0</v>
      </c>
    </row>
    <row r="104" spans="1:10">
      <c r="A104">
        <f>DC!A104</f>
        <v>41</v>
      </c>
      <c r="B104" t="str">
        <f>DC!B104</f>
        <v>17:45-18:30</v>
      </c>
      <c r="C104">
        <f>DC!C104</f>
        <v>43</v>
      </c>
      <c r="D104" t="str">
        <f>DC!D104</f>
        <v>18:15-19:00</v>
      </c>
      <c r="E104">
        <f>SUM(DC!E104,DC!K104,DC!Q104,DC!W104,DC!AC104,DC!AI104,DC!AO104,DC!AU104,DC!BA104,DC!BG104)</f>
        <v>0</v>
      </c>
      <c r="F104">
        <f>SUM(DC!F104,DC!L104,DC!R104,DC!X104,DC!AD104,DC!AJ104,DC!AP104,DC!AV104,DC!BB104,DC!BH104)</f>
        <v>0</v>
      </c>
      <c r="G104">
        <f>SUM(DC!G104,DC!M104,DC!S104,DC!Y104,DC!AE104,DC!AK104,DC!AQ104,DC!AW104,DC!BC104,DC!BI104)</f>
        <v>0</v>
      </c>
      <c r="H104">
        <f>SUM(DC!H104,DC!N104,DC!T104,DC!Z104,DC!AF104,DC!AL104,DC!AR104,DC!AX104,DC!BD104,DC!BJ104)</f>
        <v>0</v>
      </c>
      <c r="I104">
        <f>SUM(DC!I104,DC!O104,DC!U104,DC!AA104,DC!AG104,DC!AM104,DC!AS104,DC!AY104,DC!BE104,DC!BK104)</f>
        <v>0</v>
      </c>
      <c r="J104">
        <f>SUM(DC!J104,DC!P104,DC!V104,DC!AB104,DC!AH104,DC!AN104,DC!AT104,DC!AZ104,DC!BF104,DC!BL104)</f>
        <v>0</v>
      </c>
    </row>
    <row r="105" spans="1:10">
      <c r="A105">
        <f>DC!A105</f>
        <v>42</v>
      </c>
      <c r="B105" t="str">
        <f>DC!B105</f>
        <v>18:00-19:00</v>
      </c>
      <c r="C105">
        <f>DC!C105</f>
        <v>43</v>
      </c>
      <c r="D105" t="str">
        <f>DC!D105</f>
        <v>18:15-19:00</v>
      </c>
      <c r="E105">
        <f>SUM(DC!E105,DC!K105,DC!Q105,DC!W105,DC!AC105,DC!AI105,DC!AO105,DC!AU105,DC!BA105,DC!BG105)</f>
        <v>0</v>
      </c>
      <c r="F105">
        <f>SUM(DC!F105,DC!L105,DC!R105,DC!X105,DC!AD105,DC!AJ105,DC!AP105,DC!AV105,DC!BB105,DC!BH105)</f>
        <v>0</v>
      </c>
      <c r="G105">
        <f>SUM(DC!G105,DC!M105,DC!S105,DC!Y105,DC!AE105,DC!AK105,DC!AQ105,DC!AW105,DC!BC105,DC!BI105)</f>
        <v>0</v>
      </c>
      <c r="H105">
        <f>SUM(DC!H105,DC!N105,DC!T105,DC!Z105,DC!AF105,DC!AL105,DC!AR105,DC!AX105,DC!BD105,DC!BJ105)</f>
        <v>0</v>
      </c>
      <c r="I105">
        <f>SUM(DC!I105,DC!O105,DC!U105,DC!AA105,DC!AG105,DC!AM105,DC!AS105,DC!AY105,DC!BE105,DC!BK105)</f>
        <v>0</v>
      </c>
      <c r="J105">
        <f>SUM(DC!J105,DC!P105,DC!V105,DC!AB105,DC!AH105,DC!AN105,DC!AT105,DC!AZ105,DC!BF105,DC!BL105)</f>
        <v>0</v>
      </c>
    </row>
    <row r="106" spans="1:10">
      <c r="A106">
        <f>DC!A106</f>
        <v>42</v>
      </c>
      <c r="B106" t="str">
        <f>DC!B106</f>
        <v>18:00-19:00</v>
      </c>
      <c r="C106">
        <f>DC!C106</f>
        <v>44</v>
      </c>
      <c r="D106" t="str">
        <f>DC!D106</f>
        <v>18:30-19:15</v>
      </c>
      <c r="E106">
        <f>SUM(DC!E106,DC!K106,DC!Q106,DC!W106,DC!AC106,DC!AI106,DC!AO106,DC!AU106,DC!BA106,DC!BG106)</f>
        <v>0</v>
      </c>
      <c r="F106">
        <f>SUM(DC!F106,DC!L106,DC!R106,DC!X106,DC!AD106,DC!AJ106,DC!AP106,DC!AV106,DC!BB106,DC!BH106)</f>
        <v>0</v>
      </c>
      <c r="G106">
        <f>SUM(DC!G106,DC!M106,DC!S106,DC!Y106,DC!AE106,DC!AK106,DC!AQ106,DC!AW106,DC!BC106,DC!BI106)</f>
        <v>0</v>
      </c>
      <c r="H106">
        <f>SUM(DC!H106,DC!N106,DC!T106,DC!Z106,DC!AF106,DC!AL106,DC!AR106,DC!AX106,DC!BD106,DC!BJ106)</f>
        <v>0</v>
      </c>
      <c r="I106">
        <f>SUM(DC!I106,DC!O106,DC!U106,DC!AA106,DC!AG106,DC!AM106,DC!AS106,DC!AY106,DC!BE106,DC!BK106)</f>
        <v>0</v>
      </c>
      <c r="J106">
        <f>SUM(DC!J106,DC!P106,DC!V106,DC!AB106,DC!AH106,DC!AN106,DC!AT106,DC!AZ106,DC!BF106,DC!BL106)</f>
        <v>0</v>
      </c>
    </row>
    <row r="107" spans="1:10">
      <c r="A107">
        <f>DC!A107</f>
        <v>42</v>
      </c>
      <c r="B107" t="str">
        <f>DC!B107</f>
        <v>18:00-19:00</v>
      </c>
      <c r="C107">
        <f>DC!C107</f>
        <v>45</v>
      </c>
      <c r="D107" t="str">
        <f>DC!D107</f>
        <v>18:45-19:30</v>
      </c>
      <c r="E107">
        <f>SUM(DC!E107,DC!K107,DC!Q107,DC!W107,DC!AC107,DC!AI107,DC!AO107,DC!AU107,DC!BA107,DC!BG107)</f>
        <v>0</v>
      </c>
      <c r="F107">
        <f>SUM(DC!F107,DC!L107,DC!R107,DC!X107,DC!AD107,DC!AJ107,DC!AP107,DC!AV107,DC!BB107,DC!BH107)</f>
        <v>0</v>
      </c>
      <c r="G107">
        <f>SUM(DC!G107,DC!M107,DC!S107,DC!Y107,DC!AE107,DC!AK107,DC!AQ107,DC!AW107,DC!BC107,DC!BI107)</f>
        <v>0</v>
      </c>
      <c r="H107">
        <f>SUM(DC!H107,DC!N107,DC!T107,DC!Z107,DC!AF107,DC!AL107,DC!AR107,DC!AX107,DC!BD107,DC!BJ107)</f>
        <v>0</v>
      </c>
      <c r="I107">
        <f>SUM(DC!I107,DC!O107,DC!U107,DC!AA107,DC!AG107,DC!AM107,DC!AS107,DC!AY107,DC!BE107,DC!BK107)</f>
        <v>0</v>
      </c>
      <c r="J107">
        <f>SUM(DC!J107,DC!P107,DC!V107,DC!AB107,DC!AH107,DC!AN107,DC!AT107,DC!AZ107,DC!BF107,DC!BL107)</f>
        <v>0</v>
      </c>
    </row>
    <row r="108" spans="1:10">
      <c r="A108">
        <f>DC!A108</f>
        <v>43</v>
      </c>
      <c r="B108" t="str">
        <f>DC!B108</f>
        <v>18:15-19:00</v>
      </c>
      <c r="C108">
        <f>DC!C108</f>
        <v>44</v>
      </c>
      <c r="D108" t="str">
        <f>DC!D108</f>
        <v>18:30-19:15</v>
      </c>
      <c r="E108">
        <f>SUM(DC!E108,DC!K108,DC!Q108,DC!W108,DC!AC108,DC!AI108,DC!AO108,DC!AU108,DC!BA108,DC!BG108)</f>
        <v>0</v>
      </c>
      <c r="F108">
        <f>SUM(DC!F108,DC!L108,DC!R108,DC!X108,DC!AD108,DC!AJ108,DC!AP108,DC!AV108,DC!BB108,DC!BH108)</f>
        <v>0</v>
      </c>
      <c r="G108">
        <f>SUM(DC!G108,DC!M108,DC!S108,DC!Y108,DC!AE108,DC!AK108,DC!AQ108,DC!AW108,DC!BC108,DC!BI108)</f>
        <v>0</v>
      </c>
      <c r="H108">
        <f>SUM(DC!H108,DC!N108,DC!T108,DC!Z108,DC!AF108,DC!AL108,DC!AR108,DC!AX108,DC!BD108,DC!BJ108)</f>
        <v>0</v>
      </c>
      <c r="I108">
        <f>SUM(DC!I108,DC!O108,DC!U108,DC!AA108,DC!AG108,DC!AM108,DC!AS108,DC!AY108,DC!BE108,DC!BK108)</f>
        <v>0</v>
      </c>
      <c r="J108">
        <f>SUM(DC!J108,DC!P108,DC!V108,DC!AB108,DC!AH108,DC!AN108,DC!AT108,DC!AZ108,DC!BF108,DC!BL108)</f>
        <v>0</v>
      </c>
    </row>
    <row r="109" spans="1:10">
      <c r="A109">
        <f>DC!A109</f>
        <v>43</v>
      </c>
      <c r="B109" t="str">
        <f>DC!B109</f>
        <v>18:15-19:00</v>
      </c>
      <c r="C109">
        <f>DC!C109</f>
        <v>45</v>
      </c>
      <c r="D109" t="str">
        <f>DC!D109</f>
        <v>18:45-19:30</v>
      </c>
      <c r="E109">
        <f>SUM(DC!E109,DC!K109,DC!Q109,DC!W109,DC!AC109,DC!AI109,DC!AO109,DC!AU109,DC!BA109,DC!BG109)</f>
        <v>0</v>
      </c>
      <c r="F109">
        <f>SUM(DC!F109,DC!L109,DC!R109,DC!X109,DC!AD109,DC!AJ109,DC!AP109,DC!AV109,DC!BB109,DC!BH109)</f>
        <v>0</v>
      </c>
      <c r="G109">
        <f>SUM(DC!G109,DC!M109,DC!S109,DC!Y109,DC!AE109,DC!AK109,DC!AQ109,DC!AW109,DC!BC109,DC!BI109)</f>
        <v>0</v>
      </c>
      <c r="H109">
        <f>SUM(DC!H109,DC!N109,DC!T109,DC!Z109,DC!AF109,DC!AL109,DC!AR109,DC!AX109,DC!BD109,DC!BJ109)</f>
        <v>0</v>
      </c>
      <c r="I109">
        <f>SUM(DC!I109,DC!O109,DC!U109,DC!AA109,DC!AG109,DC!AM109,DC!AS109,DC!AY109,DC!BE109,DC!BK109)</f>
        <v>0</v>
      </c>
      <c r="J109">
        <f>SUM(DC!J109,DC!P109,DC!V109,DC!AB109,DC!AH109,DC!AN109,DC!AT109,DC!AZ109,DC!BF109,DC!BL109)</f>
        <v>0</v>
      </c>
    </row>
    <row r="110" spans="1:10">
      <c r="A110">
        <f>DC!A110</f>
        <v>44</v>
      </c>
      <c r="B110" t="str">
        <f>DC!B110</f>
        <v>18:30-19:15</v>
      </c>
      <c r="C110">
        <f>DC!C110</f>
        <v>45</v>
      </c>
      <c r="D110" t="str">
        <f>DC!D110</f>
        <v>18:45-19:30</v>
      </c>
      <c r="E110">
        <f>SUM(DC!E110,DC!K110,DC!Q110,DC!W110,DC!AC110,DC!AI110,DC!AO110,DC!AU110,DC!BA110,DC!BG110)</f>
        <v>0</v>
      </c>
      <c r="F110">
        <f>SUM(DC!F110,DC!L110,DC!R110,DC!X110,DC!AD110,DC!AJ110,DC!AP110,DC!AV110,DC!BB110,DC!BH110)</f>
        <v>0</v>
      </c>
      <c r="G110">
        <f>SUM(DC!G110,DC!M110,DC!S110,DC!Y110,DC!AE110,DC!AK110,DC!AQ110,DC!AW110,DC!BC110,DC!BI110)</f>
        <v>0</v>
      </c>
      <c r="H110">
        <f>SUM(DC!H110,DC!N110,DC!T110,DC!Z110,DC!AF110,DC!AL110,DC!AR110,DC!AX110,DC!BD110,DC!BJ110)</f>
        <v>0</v>
      </c>
      <c r="I110">
        <f>SUM(DC!I110,DC!O110,DC!U110,DC!AA110,DC!AG110,DC!AM110,DC!AS110,DC!AY110,DC!BE110,DC!BK110)</f>
        <v>0</v>
      </c>
      <c r="J110">
        <f>SUM(DC!J110,DC!P110,DC!V110,DC!AB110,DC!AH110,DC!AN110,DC!AT110,DC!AZ110,DC!BF110,DC!BL110)</f>
        <v>0</v>
      </c>
    </row>
    <row r="111" spans="1:10">
      <c r="A111">
        <f>DC!A111</f>
        <v>44</v>
      </c>
      <c r="B111" t="str">
        <f>DC!B111</f>
        <v>18:30-19:15</v>
      </c>
      <c r="C111">
        <f>DC!C111</f>
        <v>46</v>
      </c>
      <c r="D111" t="str">
        <f>DC!D111</f>
        <v>19:00-20:00</v>
      </c>
      <c r="E111">
        <f>SUM(DC!E111,DC!K111,DC!Q111,DC!W111,DC!AC111,DC!AI111,DC!AO111,DC!AU111,DC!BA111,DC!BG111)</f>
        <v>0</v>
      </c>
      <c r="F111">
        <f>SUM(DC!F111,DC!L111,DC!R111,DC!X111,DC!AD111,DC!AJ111,DC!AP111,DC!AV111,DC!BB111,DC!BH111)</f>
        <v>0</v>
      </c>
      <c r="G111">
        <f>SUM(DC!G111,DC!M111,DC!S111,DC!Y111,DC!AE111,DC!AK111,DC!AQ111,DC!AW111,DC!BC111,DC!BI111)</f>
        <v>0</v>
      </c>
      <c r="H111">
        <f>SUM(DC!H111,DC!N111,DC!T111,DC!Z111,DC!AF111,DC!AL111,DC!AR111,DC!AX111,DC!BD111,DC!BJ111)</f>
        <v>0</v>
      </c>
      <c r="I111">
        <f>SUM(DC!I111,DC!O111,DC!U111,DC!AA111,DC!AG111,DC!AM111,DC!AS111,DC!AY111,DC!BE111,DC!BK111)</f>
        <v>0</v>
      </c>
      <c r="J111">
        <f>SUM(DC!J111,DC!P111,DC!V111,DC!AB111,DC!AH111,DC!AN111,DC!AT111,DC!AZ111,DC!BF111,DC!BL111)</f>
        <v>0</v>
      </c>
    </row>
    <row r="112" spans="1:10">
      <c r="A112">
        <f>DC!A112</f>
        <v>45</v>
      </c>
      <c r="B112" t="str">
        <f>DC!B112</f>
        <v>18:45-19:30</v>
      </c>
      <c r="C112">
        <f>DC!C112</f>
        <v>46</v>
      </c>
      <c r="D112" t="str">
        <f>DC!D112</f>
        <v>19:00-20:00</v>
      </c>
      <c r="E112">
        <f>SUM(DC!E112,DC!K112,DC!Q112,DC!W112,DC!AC112,DC!AI112,DC!AO112,DC!AU112,DC!BA112,DC!BG112)</f>
        <v>0</v>
      </c>
      <c r="F112">
        <f>SUM(DC!F112,DC!L112,DC!R112,DC!X112,DC!AD112,DC!AJ112,DC!AP112,DC!AV112,DC!BB112,DC!BH112)</f>
        <v>0</v>
      </c>
      <c r="G112">
        <f>SUM(DC!G112,DC!M112,DC!S112,DC!Y112,DC!AE112,DC!AK112,DC!AQ112,DC!AW112,DC!BC112,DC!BI112)</f>
        <v>0</v>
      </c>
      <c r="H112">
        <f>SUM(DC!H112,DC!N112,DC!T112,DC!Z112,DC!AF112,DC!AL112,DC!AR112,DC!AX112,DC!BD112,DC!BJ112)</f>
        <v>0</v>
      </c>
      <c r="I112">
        <f>SUM(DC!I112,DC!O112,DC!U112,DC!AA112,DC!AG112,DC!AM112,DC!AS112,DC!AY112,DC!BE112,DC!BK112)</f>
        <v>0</v>
      </c>
      <c r="J112">
        <f>SUM(DC!J112,DC!P112,DC!V112,DC!AB112,DC!AH112,DC!AN112,DC!AT112,DC!AZ112,DC!BF112,DC!BL112)</f>
        <v>0</v>
      </c>
    </row>
    <row r="113" spans="1:10">
      <c r="A113">
        <f>DC!A113</f>
        <v>45</v>
      </c>
      <c r="B113" t="str">
        <f>DC!B113</f>
        <v>18:45-19:30</v>
      </c>
      <c r="C113">
        <f>DC!C113</f>
        <v>47</v>
      </c>
      <c r="D113" t="str">
        <f>DC!D113</f>
        <v>19:15-20:00</v>
      </c>
      <c r="E113">
        <f>SUM(DC!E113,DC!K113,DC!Q113,DC!W113,DC!AC113,DC!AI113,DC!AO113,DC!AU113,DC!BA113,DC!BG113)</f>
        <v>0</v>
      </c>
      <c r="F113">
        <f>SUM(DC!F113,DC!L113,DC!R113,DC!X113,DC!AD113,DC!AJ113,DC!AP113,DC!AV113,DC!BB113,DC!BH113)</f>
        <v>0</v>
      </c>
      <c r="G113">
        <f>SUM(DC!G113,DC!M113,DC!S113,DC!Y113,DC!AE113,DC!AK113,DC!AQ113,DC!AW113,DC!BC113,DC!BI113)</f>
        <v>0</v>
      </c>
      <c r="H113">
        <f>SUM(DC!H113,DC!N113,DC!T113,DC!Z113,DC!AF113,DC!AL113,DC!AR113,DC!AX113,DC!BD113,DC!BJ113)</f>
        <v>0</v>
      </c>
      <c r="I113">
        <f>SUM(DC!I113,DC!O113,DC!U113,DC!AA113,DC!AG113,DC!AM113,DC!AS113,DC!AY113,DC!BE113,DC!BK113)</f>
        <v>0</v>
      </c>
      <c r="J113">
        <f>SUM(DC!J113,DC!P113,DC!V113,DC!AB113,DC!AH113,DC!AN113,DC!AT113,DC!AZ113,DC!BF113,DC!BL113)</f>
        <v>0</v>
      </c>
    </row>
    <row r="114" spans="1:10">
      <c r="A114">
        <f>DC!A114</f>
        <v>46</v>
      </c>
      <c r="B114" t="str">
        <f>DC!B114</f>
        <v>19:00-20:00</v>
      </c>
      <c r="C114">
        <f>DC!C114</f>
        <v>47</v>
      </c>
      <c r="D114" t="str">
        <f>DC!D114</f>
        <v>19:15-20:00</v>
      </c>
      <c r="E114">
        <f>SUM(DC!E114,DC!K114,DC!Q114,DC!W114,DC!AC114,DC!AI114,DC!AO114,DC!AU114,DC!BA114,DC!BG114)</f>
        <v>0</v>
      </c>
      <c r="F114">
        <f>SUM(DC!F114,DC!L114,DC!R114,DC!X114,DC!AD114,DC!AJ114,DC!AP114,DC!AV114,DC!BB114,DC!BH114)</f>
        <v>0</v>
      </c>
      <c r="G114">
        <f>SUM(DC!G114,DC!M114,DC!S114,DC!Y114,DC!AE114,DC!AK114,DC!AQ114,DC!AW114,DC!BC114,DC!BI114)</f>
        <v>0</v>
      </c>
      <c r="H114">
        <f>SUM(DC!H114,DC!N114,DC!T114,DC!Z114,DC!AF114,DC!AL114,DC!AR114,DC!AX114,DC!BD114,DC!BJ114)</f>
        <v>0</v>
      </c>
      <c r="I114">
        <f>SUM(DC!I114,DC!O114,DC!U114,DC!AA114,DC!AG114,DC!AM114,DC!AS114,DC!AY114,DC!BE114,DC!BK114)</f>
        <v>0</v>
      </c>
      <c r="J114">
        <f>SUM(DC!J114,DC!P114,DC!V114,DC!AB114,DC!AH114,DC!AN114,DC!AT114,DC!AZ114,DC!BF114,DC!BL114)</f>
        <v>0</v>
      </c>
    </row>
    <row r="115" spans="1:10">
      <c r="A115">
        <f>DC!A115</f>
        <v>46</v>
      </c>
      <c r="B115" t="str">
        <f>DC!B115</f>
        <v>19:00-20:00</v>
      </c>
      <c r="C115">
        <f>DC!C115</f>
        <v>48</v>
      </c>
      <c r="D115" t="str">
        <f>DC!D115</f>
        <v>19:30-20:15</v>
      </c>
      <c r="E115">
        <f>SUM(DC!E115,DC!K115,DC!Q115,DC!W115,DC!AC115,DC!AI115,DC!AO115,DC!AU115,DC!BA115,DC!BG115)</f>
        <v>0</v>
      </c>
      <c r="F115">
        <f>SUM(DC!F115,DC!L115,DC!R115,DC!X115,DC!AD115,DC!AJ115,DC!AP115,DC!AV115,DC!BB115,DC!BH115)</f>
        <v>0</v>
      </c>
      <c r="G115">
        <f>SUM(DC!G115,DC!M115,DC!S115,DC!Y115,DC!AE115,DC!AK115,DC!AQ115,DC!AW115,DC!BC115,DC!BI115)</f>
        <v>0</v>
      </c>
      <c r="H115">
        <f>SUM(DC!H115,DC!N115,DC!T115,DC!Z115,DC!AF115,DC!AL115,DC!AR115,DC!AX115,DC!BD115,DC!BJ115)</f>
        <v>0</v>
      </c>
      <c r="I115">
        <f>SUM(DC!I115,DC!O115,DC!U115,DC!AA115,DC!AG115,DC!AM115,DC!AS115,DC!AY115,DC!BE115,DC!BK115)</f>
        <v>0</v>
      </c>
      <c r="J115">
        <f>SUM(DC!J115,DC!P115,DC!V115,DC!AB115,DC!AH115,DC!AN115,DC!AT115,DC!AZ115,DC!BF115,DC!BL115)</f>
        <v>0</v>
      </c>
    </row>
    <row r="116" spans="1:10">
      <c r="A116">
        <f>DC!A116</f>
        <v>46</v>
      </c>
      <c r="B116" t="str">
        <f>DC!B116</f>
        <v>19:00-20:00</v>
      </c>
      <c r="C116">
        <f>DC!C116</f>
        <v>49</v>
      </c>
      <c r="D116" t="str">
        <f>DC!D116</f>
        <v>19:45-20:30</v>
      </c>
      <c r="E116">
        <f>SUM(DC!E116,DC!K116,DC!Q116,DC!W116,DC!AC116,DC!AI116,DC!AO116,DC!AU116,DC!BA116,DC!BG116)</f>
        <v>0</v>
      </c>
      <c r="F116">
        <f>SUM(DC!F116,DC!L116,DC!R116,DC!X116,DC!AD116,DC!AJ116,DC!AP116,DC!AV116,DC!BB116,DC!BH116)</f>
        <v>0</v>
      </c>
      <c r="G116">
        <f>SUM(DC!G116,DC!M116,DC!S116,DC!Y116,DC!AE116,DC!AK116,DC!AQ116,DC!AW116,DC!BC116,DC!BI116)</f>
        <v>0</v>
      </c>
      <c r="H116">
        <f>SUM(DC!H116,DC!N116,DC!T116,DC!Z116,DC!AF116,DC!AL116,DC!AR116,DC!AX116,DC!BD116,DC!BJ116)</f>
        <v>0</v>
      </c>
      <c r="I116">
        <f>SUM(DC!I116,DC!O116,DC!U116,DC!AA116,DC!AG116,DC!AM116,DC!AS116,DC!AY116,DC!BE116,DC!BK116)</f>
        <v>0</v>
      </c>
      <c r="J116">
        <f>SUM(DC!J116,DC!P116,DC!V116,DC!AB116,DC!AH116,DC!AN116,DC!AT116,DC!AZ116,DC!BF116,DC!BL116)</f>
        <v>0</v>
      </c>
    </row>
    <row r="117" spans="1:10">
      <c r="A117">
        <f>DC!A117</f>
        <v>47</v>
      </c>
      <c r="B117" t="str">
        <f>DC!B117</f>
        <v>19:15-20:00</v>
      </c>
      <c r="C117">
        <f>DC!C117</f>
        <v>48</v>
      </c>
      <c r="D117" t="str">
        <f>DC!D117</f>
        <v>19:30-20:15</v>
      </c>
      <c r="E117">
        <f>SUM(DC!E117,DC!K117,DC!Q117,DC!W117,DC!AC117,DC!AI117,DC!AO117,DC!AU117,DC!BA117,DC!BG117)</f>
        <v>0</v>
      </c>
      <c r="F117">
        <f>SUM(DC!F117,DC!L117,DC!R117,DC!X117,DC!AD117,DC!AJ117,DC!AP117,DC!AV117,DC!BB117,DC!BH117)</f>
        <v>0</v>
      </c>
      <c r="G117">
        <f>SUM(DC!G117,DC!M117,DC!S117,DC!Y117,DC!AE117,DC!AK117,DC!AQ117,DC!AW117,DC!BC117,DC!BI117)</f>
        <v>0</v>
      </c>
      <c r="H117">
        <f>SUM(DC!H117,DC!N117,DC!T117,DC!Z117,DC!AF117,DC!AL117,DC!AR117,DC!AX117,DC!BD117,DC!BJ117)</f>
        <v>0</v>
      </c>
      <c r="I117">
        <f>SUM(DC!I117,DC!O117,DC!U117,DC!AA117,DC!AG117,DC!AM117,DC!AS117,DC!AY117,DC!BE117,DC!BK117)</f>
        <v>0</v>
      </c>
      <c r="J117">
        <f>SUM(DC!J117,DC!P117,DC!V117,DC!AB117,DC!AH117,DC!AN117,DC!AT117,DC!AZ117,DC!BF117,DC!BL117)</f>
        <v>0</v>
      </c>
    </row>
    <row r="118" spans="1:10">
      <c r="A118">
        <f>DC!A118</f>
        <v>47</v>
      </c>
      <c r="B118" t="str">
        <f>DC!B118</f>
        <v>19:15-20:00</v>
      </c>
      <c r="C118">
        <f>DC!C118</f>
        <v>49</v>
      </c>
      <c r="D118" t="str">
        <f>DC!D118</f>
        <v>19:45-20:30</v>
      </c>
      <c r="E118">
        <f>SUM(DC!E118,DC!K118,DC!Q118,DC!W118,DC!AC118,DC!AI118,DC!AO118,DC!AU118,DC!BA118,DC!BG118)</f>
        <v>0</v>
      </c>
      <c r="F118">
        <f>SUM(DC!F118,DC!L118,DC!R118,DC!X118,DC!AD118,DC!AJ118,DC!AP118,DC!AV118,DC!BB118,DC!BH118)</f>
        <v>0</v>
      </c>
      <c r="G118">
        <f>SUM(DC!G118,DC!M118,DC!S118,DC!Y118,DC!AE118,DC!AK118,DC!AQ118,DC!AW118,DC!BC118,DC!BI118)</f>
        <v>0</v>
      </c>
      <c r="H118">
        <f>SUM(DC!H118,DC!N118,DC!T118,DC!Z118,DC!AF118,DC!AL118,DC!AR118,DC!AX118,DC!BD118,DC!BJ118)</f>
        <v>0</v>
      </c>
      <c r="I118">
        <f>SUM(DC!I118,DC!O118,DC!U118,DC!AA118,DC!AG118,DC!AM118,DC!AS118,DC!AY118,DC!BE118,DC!BK118)</f>
        <v>0</v>
      </c>
      <c r="J118">
        <f>SUM(DC!J118,DC!P118,DC!V118,DC!AB118,DC!AH118,DC!AN118,DC!AT118,DC!AZ118,DC!BF118,DC!BL118)</f>
        <v>0</v>
      </c>
    </row>
    <row r="119" spans="1:10">
      <c r="A119">
        <f>DC!A119</f>
        <v>48</v>
      </c>
      <c r="B119" t="str">
        <f>DC!B119</f>
        <v>19:30-20:15</v>
      </c>
      <c r="C119">
        <f>DC!C119</f>
        <v>49</v>
      </c>
      <c r="D119" t="str">
        <f>DC!D119</f>
        <v>19:45-20:30</v>
      </c>
      <c r="E119">
        <f>SUM(DC!E119,DC!K119,DC!Q119,DC!W119,DC!AC119,DC!AI119,DC!AO119,DC!AU119,DC!BA119,DC!BG119)</f>
        <v>0</v>
      </c>
      <c r="F119">
        <f>SUM(DC!F119,DC!L119,DC!R119,DC!X119,DC!AD119,DC!AJ119,DC!AP119,DC!AV119,DC!BB119,DC!BH119)</f>
        <v>0</v>
      </c>
      <c r="G119">
        <f>SUM(DC!G119,DC!M119,DC!S119,DC!Y119,DC!AE119,DC!AK119,DC!AQ119,DC!AW119,DC!BC119,DC!BI119)</f>
        <v>0</v>
      </c>
      <c r="H119">
        <f>SUM(DC!H119,DC!N119,DC!T119,DC!Z119,DC!AF119,DC!AL119,DC!AR119,DC!AX119,DC!BD119,DC!BJ119)</f>
        <v>0</v>
      </c>
      <c r="I119">
        <f>SUM(DC!I119,DC!O119,DC!U119,DC!AA119,DC!AG119,DC!AM119,DC!AS119,DC!AY119,DC!BE119,DC!BK119)</f>
        <v>0</v>
      </c>
      <c r="J119">
        <f>SUM(DC!J119,DC!P119,DC!V119,DC!AB119,DC!AH119,DC!AN119,DC!AT119,DC!AZ119,DC!BF119,DC!BL119)</f>
        <v>0</v>
      </c>
    </row>
    <row r="120" spans="1:10">
      <c r="B120"/>
      <c r="D120"/>
    </row>
    <row r="121" spans="1:10">
      <c r="B121"/>
      <c r="D121"/>
    </row>
    <row r="122" spans="1:10">
      <c r="B122"/>
      <c r="D122"/>
    </row>
    <row r="123" spans="1:10">
      <c r="B123"/>
      <c r="D123"/>
    </row>
    <row r="124" spans="1:10">
      <c r="B124"/>
      <c r="D124"/>
    </row>
    <row r="125" spans="1:10">
      <c r="B125"/>
      <c r="D125"/>
    </row>
    <row r="126" spans="1:10">
      <c r="B126"/>
      <c r="D126"/>
    </row>
    <row r="127" spans="1:10">
      <c r="B127"/>
      <c r="D127"/>
    </row>
    <row r="128" spans="1:10">
      <c r="B128"/>
      <c r="D128"/>
    </row>
    <row r="129" spans="2:4">
      <c r="B129"/>
      <c r="D129"/>
    </row>
    <row r="130" spans="2:4">
      <c r="B130"/>
      <c r="D130"/>
    </row>
    <row r="131" spans="2:4">
      <c r="B131"/>
      <c r="D131"/>
    </row>
    <row r="132" spans="2:4">
      <c r="B132"/>
      <c r="D132"/>
    </row>
    <row r="133" spans="2:4">
      <c r="B133"/>
      <c r="D133"/>
    </row>
    <row r="134" spans="2:4">
      <c r="B134"/>
      <c r="D134"/>
    </row>
    <row r="135" spans="2:4">
      <c r="B135"/>
      <c r="D135"/>
    </row>
    <row r="136" spans="2:4">
      <c r="B136"/>
      <c r="D136"/>
    </row>
    <row r="137" spans="2:4">
      <c r="B137"/>
      <c r="D137"/>
    </row>
    <row r="138" spans="2:4">
      <c r="B138"/>
      <c r="D138"/>
    </row>
    <row r="139" spans="2:4">
      <c r="B139"/>
      <c r="D139"/>
    </row>
    <row r="140" spans="2:4">
      <c r="B140"/>
      <c r="D140"/>
    </row>
    <row r="141" spans="2:4">
      <c r="B141"/>
      <c r="D141"/>
    </row>
    <row r="142" spans="2:4">
      <c r="B142"/>
      <c r="D142"/>
    </row>
    <row r="143" spans="2:4">
      <c r="B143"/>
      <c r="D143"/>
    </row>
    <row r="144" spans="2:4">
      <c r="B144"/>
      <c r="D144"/>
    </row>
    <row r="145" spans="2:4">
      <c r="B145"/>
      <c r="D145"/>
    </row>
    <row r="146" spans="2:4">
      <c r="B146"/>
      <c r="D146"/>
    </row>
    <row r="147" spans="2:4">
      <c r="B147"/>
      <c r="D147"/>
    </row>
    <row r="148" spans="2:4">
      <c r="B148"/>
      <c r="D148"/>
    </row>
    <row r="149" spans="2:4">
      <c r="B149"/>
      <c r="D149"/>
    </row>
    <row r="150" spans="2:4">
      <c r="B150"/>
      <c r="D150"/>
    </row>
    <row r="151" spans="2:4">
      <c r="B151"/>
      <c r="D151"/>
    </row>
    <row r="152" spans="2:4">
      <c r="B152"/>
      <c r="D152"/>
    </row>
    <row r="153" spans="2:4">
      <c r="B153"/>
      <c r="D153"/>
    </row>
    <row r="154" spans="2:4">
      <c r="B154"/>
      <c r="D154"/>
    </row>
    <row r="155" spans="2:4">
      <c r="B155"/>
      <c r="D155"/>
    </row>
    <row r="156" spans="2:4">
      <c r="B156"/>
      <c r="D156"/>
    </row>
    <row r="157" spans="2:4">
      <c r="B157"/>
      <c r="D157"/>
    </row>
    <row r="158" spans="2:4">
      <c r="B158"/>
      <c r="D158"/>
    </row>
    <row r="159" spans="2:4">
      <c r="B159"/>
      <c r="D159"/>
    </row>
    <row r="160" spans="2:4">
      <c r="B160"/>
      <c r="D160"/>
    </row>
    <row r="161" spans="2:4">
      <c r="B161"/>
      <c r="D161"/>
    </row>
    <row r="162" spans="2:4">
      <c r="B162"/>
      <c r="D162"/>
    </row>
    <row r="163" spans="2:4">
      <c r="B163"/>
      <c r="D163"/>
    </row>
    <row r="164" spans="2:4">
      <c r="B164"/>
      <c r="D164"/>
    </row>
    <row r="165" spans="2:4">
      <c r="B165"/>
      <c r="D165"/>
    </row>
    <row r="166" spans="2:4">
      <c r="B166"/>
      <c r="D16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СВ</vt:lpstr>
      <vt:lpstr>DV</vt:lpstr>
      <vt:lpstr>Constraints</vt:lpstr>
      <vt:lpstr>AC</vt:lpstr>
      <vt:lpstr>DC</vt:lpstr>
      <vt:lpstr>Audiences</vt:lpstr>
      <vt:lpstr>Расписание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asan</dc:creator>
  <cp:lastModifiedBy>asan</cp:lastModifiedBy>
  <cp:lastPrinted>2018-01-21T00:52:42Z</cp:lastPrinted>
  <dcterms:created xsi:type="dcterms:W3CDTF">2018-01-11T09:07:35Z</dcterms:created>
  <dcterms:modified xsi:type="dcterms:W3CDTF">2018-01-21T00:54:15Z</dcterms:modified>
</cp:coreProperties>
</file>